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026年EA118C楼工作\11、上下电\"/>
    </mc:Choice>
  </mc:AlternateContent>
  <xr:revisionPtr revIDLastSave="0" documentId="13_ncr:1_{BFE26CCD-66FA-4341-B600-63185866265A}" xr6:coauthVersionLast="47" xr6:coauthVersionMax="47" xr10:uidLastSave="{00000000-0000-0000-0000-000000000000}"/>
  <bookViews>
    <workbookView xWindow="-103" yWindow="-103" windowWidth="22149" windowHeight="13200" tabRatio="745" activeTab="1" xr2:uid="{00000000-000D-0000-FFFF-FFFF00000000}"/>
  </bookViews>
  <sheets>
    <sheet name="机柜上电汇总表" sheetId="3" r:id="rId1"/>
    <sheet name="机柜下电统计表" sheetId="18" r:id="rId2"/>
    <sheet name="机柜上下电时间统计" sheetId="17" r:id="rId3"/>
    <sheet name="202-M1机柜平面图" sheetId="10" r:id="rId4"/>
    <sheet name="201-M2机柜平面图 " sheetId="4" r:id="rId5"/>
    <sheet name="302-M3机柜平面图 " sheetId="13" r:id="rId6"/>
    <sheet name="301-M4机柜平面图" sheetId="16" r:id="rId7"/>
    <sheet name="402-M5机柜平面图" sheetId="14" r:id="rId8"/>
    <sheet name="401-M6机柜平面图" sheetId="15" r:id="rId9"/>
  </sheets>
  <functionGroups builtInGroupCount="19"/>
  <definedNames>
    <definedName name="_xlnm._FilterDatabase" localSheetId="4" hidden="1">'201-M2机柜平面图 '!$D$8:$AO$8</definedName>
    <definedName name="_xlnm._FilterDatabase" localSheetId="3" hidden="1">'202-M1机柜平面图'!$D$8:$AO$8</definedName>
    <definedName name="_xlnm._FilterDatabase" localSheetId="6" hidden="1">'301-M4机柜平面图'!$D$8:$AO$8</definedName>
    <definedName name="_xlnm._FilterDatabase" localSheetId="5" hidden="1">'302-M3机柜平面图 '!$D$8:$AO$8</definedName>
    <definedName name="_xlnm._FilterDatabase" localSheetId="8" hidden="1">'401-M6机柜平面图'!$D$8:$AO$8</definedName>
    <definedName name="_xlnm._FilterDatabase" localSheetId="7" hidden="1">'402-M5机柜平面图'!$D$8:$AO$8</definedName>
    <definedName name="_xlnm._FilterDatabase" localSheetId="2" hidden="1">机柜上下电时间统计!$A$1:$M$1126</definedName>
    <definedName name="_xlnm._FilterDatabase" localSheetId="1" hidden="1">机柜下电统计表!$A$1:$M$155</definedName>
    <definedName name="颜色" localSheetId="3">'202-M1机柜平面图'!$J$9</definedName>
    <definedName name="颜色" localSheetId="6">'301-M4机柜平面图'!$J$9</definedName>
    <definedName name="颜色" localSheetId="5">'302-M3机柜平面图 '!$J$9</definedName>
    <definedName name="颜色" localSheetId="8">'401-M6机柜平面图'!$J$9</definedName>
    <definedName name="颜色" localSheetId="7">'402-M5机柜平面图'!$J$9</definedName>
    <definedName name="颜色">'201-M2机柜平面图 '!$J$9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3" l="1"/>
  <c r="D7" i="3"/>
  <c r="I10" i="3"/>
  <c r="J10" i="3" s="1"/>
  <c r="H10" i="3"/>
  <c r="G10" i="3"/>
  <c r="F10" i="3"/>
  <c r="E10" i="3"/>
  <c r="B10" i="3"/>
  <c r="J9" i="3"/>
  <c r="H9" i="3"/>
  <c r="G9" i="3"/>
  <c r="J8" i="3"/>
  <c r="H8" i="3"/>
  <c r="J7" i="3"/>
  <c r="H7" i="3"/>
  <c r="J6" i="3"/>
  <c r="H6" i="3"/>
  <c r="G6" i="3"/>
  <c r="H5" i="3"/>
  <c r="G5" i="3"/>
  <c r="J4" i="3"/>
  <c r="H4" i="3"/>
  <c r="G4" i="3"/>
  <c r="F40" i="10"/>
  <c r="F42" i="15"/>
  <c r="F41" i="13"/>
  <c r="F41" i="15"/>
  <c r="F40" i="13"/>
  <c r="F40" i="15"/>
  <c r="F39" i="13"/>
  <c r="F42" i="14"/>
  <c r="F41" i="14"/>
  <c r="F40" i="14"/>
  <c r="H36" i="14"/>
  <c r="H35" i="14"/>
  <c r="H34" i="14"/>
  <c r="H33" i="14"/>
  <c r="F41" i="16"/>
  <c r="F40" i="16"/>
  <c r="F42" i="10"/>
  <c r="F39" i="16"/>
  <c r="F41" i="10"/>
  <c r="F41" i="4"/>
  <c r="F42" i="4"/>
  <c r="F40" i="4"/>
  <c r="F45" i="10" l="1"/>
  <c r="O3" i="3" s="1"/>
  <c r="F46" i="10"/>
  <c r="O4" i="3" s="1"/>
  <c r="F42" i="16"/>
  <c r="C7" i="3" s="1"/>
  <c r="D4" i="3"/>
  <c r="F47" i="10"/>
  <c r="O5" i="3" s="1"/>
  <c r="F43" i="4"/>
  <c r="C5" i="3" s="1"/>
  <c r="F43" i="14"/>
  <c r="C8" i="3" s="1"/>
  <c r="D5" i="3"/>
  <c r="D8" i="3"/>
  <c r="F42" i="13"/>
  <c r="C6" i="3" s="1"/>
  <c r="F43" i="15"/>
  <c r="C9" i="3" s="1"/>
  <c r="D6" i="3"/>
  <c r="D9" i="3"/>
  <c r="F43" i="10"/>
  <c r="C4" i="3" l="1"/>
  <c r="C10" i="3" s="1"/>
  <c r="F48" i="10"/>
  <c r="D10" i="3"/>
  <c r="F49" i="10" l="1"/>
  <c r="O7" i="3" s="1"/>
  <c r="O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F3" authorId="0" shapeId="0" xr:uid="{00000000-0006-0000-0000-000001000000}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此列需手动填写</t>
        </r>
      </text>
    </comment>
    <comment ref="I3" authorId="0" shapeId="0" xr:uid="{00000000-0006-0000-0000-000002000000}">
      <text>
        <r>
          <rPr>
            <b/>
            <sz val="9"/>
            <rFont val="宋体"/>
            <charset val="134"/>
          </rPr>
          <t>汪建波:此列需手动填写</t>
        </r>
      </text>
    </comment>
  </commentList>
</comments>
</file>

<file path=xl/sharedStrings.xml><?xml version="1.0" encoding="utf-8"?>
<sst xmlns="http://schemas.openxmlformats.org/spreadsheetml/2006/main" count="10099" uniqueCount="703">
  <si>
    <t>C楼机柜上电情况汇总表</t>
  </si>
  <si>
    <t>机房名称</t>
  </si>
  <si>
    <t>机柜总数</t>
  </si>
  <si>
    <t>已上电</t>
  </si>
  <si>
    <t>未上电</t>
  </si>
  <si>
    <t>其中网络机柜</t>
  </si>
  <si>
    <t>其中服务器机柜</t>
  </si>
  <si>
    <t>网络机柜总数</t>
  </si>
  <si>
    <t>服务器机柜总数</t>
  </si>
  <si>
    <t>202-M1机房</t>
  </si>
  <si>
    <t>201-M2机房</t>
  </si>
  <si>
    <t>302-M3机房</t>
  </si>
  <si>
    <t>301-M4机房</t>
  </si>
  <si>
    <t>402-M5机房</t>
  </si>
  <si>
    <t>401-M6机房</t>
  </si>
  <si>
    <t>总计</t>
  </si>
  <si>
    <t>C栋2022年上、下电总数量统计</t>
  </si>
  <si>
    <r>
      <rPr>
        <b/>
        <sz val="11"/>
        <color theme="1"/>
        <rFont val="宋体"/>
        <charset val="134"/>
        <scheme val="minor"/>
      </rPr>
      <t>C栋202</t>
    </r>
    <r>
      <rPr>
        <b/>
        <sz val="11"/>
        <color theme="1"/>
        <rFont val="宋体"/>
        <charset val="134"/>
        <scheme val="minor"/>
      </rPr>
      <t>3</t>
    </r>
    <r>
      <rPr>
        <b/>
        <sz val="11"/>
        <color theme="1"/>
        <rFont val="宋体"/>
        <charset val="134"/>
        <scheme val="minor"/>
      </rPr>
      <t>年上、下电总数量统计</t>
    </r>
  </si>
  <si>
    <r>
      <rPr>
        <b/>
        <sz val="11"/>
        <color theme="1"/>
        <rFont val="宋体"/>
        <charset val="134"/>
        <scheme val="minor"/>
      </rPr>
      <t>C栋2024</t>
    </r>
    <r>
      <rPr>
        <b/>
        <sz val="11"/>
        <color theme="1"/>
        <rFont val="宋体"/>
        <charset val="134"/>
        <scheme val="minor"/>
      </rPr>
      <t>年上、下电总数量统计</t>
    </r>
  </si>
  <si>
    <t>C栋2025年上、下电总数量统计</t>
  </si>
  <si>
    <t>C栋2026年上、下电总数量统计</t>
  </si>
  <si>
    <t>序号</t>
  </si>
  <si>
    <t>日期</t>
  </si>
  <si>
    <t>上电数量（个）</t>
  </si>
  <si>
    <t>下电数量（个）</t>
  </si>
  <si>
    <t>现场上电总数量（个）</t>
  </si>
  <si>
    <t>2022.6.28</t>
  </si>
  <si>
    <t>2023.4.10</t>
  </si>
  <si>
    <t>2024.1.10</t>
  </si>
  <si>
    <r>
      <rPr>
        <sz val="11"/>
        <color theme="1"/>
        <rFont val="宋体"/>
        <charset val="134"/>
        <scheme val="minor"/>
      </rPr>
      <t>202</t>
    </r>
    <r>
      <rPr>
        <sz val="11"/>
        <color theme="1"/>
        <rFont val="宋体"/>
        <charset val="134"/>
        <scheme val="minor"/>
      </rPr>
      <t>5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2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11</t>
    </r>
  </si>
  <si>
    <t>2026.6.30</t>
  </si>
  <si>
    <t>2022.6.30</t>
  </si>
  <si>
    <t>2023.4.17</t>
  </si>
  <si>
    <r>
      <rPr>
        <sz val="11"/>
        <color theme="1"/>
        <rFont val="宋体"/>
        <charset val="134"/>
        <scheme val="minor"/>
      </rPr>
      <t>2024.1.1</t>
    </r>
    <r>
      <rPr>
        <sz val="11"/>
        <color theme="1"/>
        <rFont val="宋体"/>
        <charset val="134"/>
        <scheme val="minor"/>
      </rPr>
      <t>5</t>
    </r>
  </si>
  <si>
    <r>
      <rPr>
        <sz val="11"/>
        <color theme="1"/>
        <rFont val="宋体"/>
        <charset val="134"/>
        <scheme val="minor"/>
      </rPr>
      <t>2025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6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5</t>
    </r>
  </si>
  <si>
    <t>2026.7.2</t>
  </si>
  <si>
    <t>2022.8.4</t>
  </si>
  <si>
    <t>2023.5.6</t>
  </si>
  <si>
    <r>
      <rPr>
        <sz val="11"/>
        <color theme="1"/>
        <rFont val="宋体"/>
        <charset val="134"/>
        <scheme val="minor"/>
      </rPr>
      <t>2024.1.</t>
    </r>
    <r>
      <rPr>
        <sz val="11"/>
        <color theme="1"/>
        <rFont val="宋体"/>
        <charset val="134"/>
        <scheme val="minor"/>
      </rPr>
      <t>22</t>
    </r>
  </si>
  <si>
    <r>
      <rPr>
        <sz val="11"/>
        <color theme="1"/>
        <rFont val="宋体"/>
        <charset val="134"/>
        <scheme val="minor"/>
      </rPr>
      <t>2025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6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12</t>
    </r>
  </si>
  <si>
    <t>2022.9.5</t>
  </si>
  <si>
    <t>2023.5.12</t>
  </si>
  <si>
    <t>2024.1.26</t>
  </si>
  <si>
    <r>
      <rPr>
        <sz val="11"/>
        <color theme="1"/>
        <rFont val="宋体"/>
        <charset val="134"/>
        <scheme val="minor"/>
      </rPr>
      <t>2025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6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17</t>
    </r>
  </si>
  <si>
    <t>2022.10.28</t>
  </si>
  <si>
    <r>
      <rPr>
        <sz val="11"/>
        <color theme="1"/>
        <rFont val="宋体"/>
        <charset val="134"/>
        <scheme val="minor"/>
      </rPr>
      <t>2</t>
    </r>
    <r>
      <rPr>
        <sz val="11"/>
        <color theme="1"/>
        <rFont val="宋体"/>
        <charset val="134"/>
        <scheme val="minor"/>
      </rPr>
      <t>023.5.15</t>
    </r>
  </si>
  <si>
    <r>
      <rPr>
        <sz val="11"/>
        <color theme="1"/>
        <rFont val="宋体"/>
        <charset val="134"/>
        <scheme val="minor"/>
      </rPr>
      <t>2024.</t>
    </r>
    <r>
      <rPr>
        <sz val="11"/>
        <color theme="1"/>
        <rFont val="宋体"/>
        <charset val="134"/>
        <scheme val="minor"/>
      </rPr>
      <t>5</t>
    </r>
    <r>
      <rPr>
        <sz val="11"/>
        <color theme="1"/>
        <rFont val="宋体"/>
        <charset val="134"/>
        <scheme val="minor"/>
      </rPr>
      <t>.2</t>
    </r>
    <r>
      <rPr>
        <sz val="11"/>
        <color theme="1"/>
        <rFont val="宋体"/>
        <charset val="134"/>
        <scheme val="minor"/>
      </rPr>
      <t>3</t>
    </r>
  </si>
  <si>
    <r>
      <rPr>
        <sz val="11"/>
        <color theme="1"/>
        <rFont val="宋体"/>
        <charset val="134"/>
        <scheme val="minor"/>
      </rPr>
      <t>2025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6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23</t>
    </r>
  </si>
  <si>
    <t>2022.11.2</t>
  </si>
  <si>
    <t>2023.5.16</t>
  </si>
  <si>
    <r>
      <rPr>
        <sz val="11"/>
        <color theme="1"/>
        <rFont val="宋体"/>
        <charset val="134"/>
        <scheme val="minor"/>
      </rPr>
      <t>2024.6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17</t>
    </r>
  </si>
  <si>
    <r>
      <rPr>
        <sz val="11"/>
        <color theme="1"/>
        <rFont val="宋体"/>
        <charset val="134"/>
        <scheme val="minor"/>
      </rPr>
      <t>2025</t>
    </r>
    <r>
      <rPr>
        <sz val="11"/>
        <color theme="1"/>
        <rFont val="宋体"/>
        <charset val="134"/>
        <scheme val="minor"/>
      </rPr>
      <t>.6.25</t>
    </r>
  </si>
  <si>
    <t>2022.11.6</t>
  </si>
  <si>
    <t>2023.5.19</t>
  </si>
  <si>
    <t>2024.7.19</t>
  </si>
  <si>
    <t>2025.7.22</t>
  </si>
  <si>
    <t>2022.11.24</t>
  </si>
  <si>
    <t>2023.8.24</t>
  </si>
  <si>
    <r>
      <rPr>
        <sz val="11"/>
        <color theme="1"/>
        <rFont val="宋体"/>
        <charset val="134"/>
        <scheme val="minor"/>
      </rPr>
      <t>2024.</t>
    </r>
    <r>
      <rPr>
        <sz val="11"/>
        <color theme="1"/>
        <rFont val="宋体"/>
        <charset val="134"/>
        <scheme val="minor"/>
      </rPr>
      <t>8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2</t>
    </r>
  </si>
  <si>
    <t>2025.7.30</t>
  </si>
  <si>
    <r>
      <rPr>
        <sz val="11"/>
        <color theme="1"/>
        <rFont val="宋体"/>
        <charset val="134"/>
        <scheme val="minor"/>
      </rPr>
      <t>2023.8.2</t>
    </r>
    <r>
      <rPr>
        <sz val="11"/>
        <color theme="1"/>
        <rFont val="宋体"/>
        <charset val="134"/>
        <scheme val="minor"/>
      </rPr>
      <t>5</t>
    </r>
  </si>
  <si>
    <t>2025.8.04</t>
  </si>
  <si>
    <t>2023.8.29</t>
  </si>
  <si>
    <t>2025.8.19</t>
  </si>
  <si>
    <r>
      <rPr>
        <sz val="11"/>
        <color theme="1"/>
        <rFont val="宋体"/>
        <charset val="134"/>
        <scheme val="minor"/>
      </rPr>
      <t>2023.</t>
    </r>
    <r>
      <rPr>
        <sz val="11"/>
        <color theme="1"/>
        <rFont val="宋体"/>
        <charset val="134"/>
        <scheme val="minor"/>
      </rPr>
      <t>10</t>
    </r>
    <r>
      <rPr>
        <sz val="11"/>
        <color theme="1"/>
        <rFont val="宋体"/>
        <charset val="134"/>
        <scheme val="minor"/>
      </rPr>
      <t>.9</t>
    </r>
  </si>
  <si>
    <t>2025.8.22</t>
  </si>
  <si>
    <r>
      <rPr>
        <sz val="11"/>
        <color theme="1"/>
        <rFont val="宋体"/>
        <charset val="134"/>
        <scheme val="minor"/>
      </rPr>
      <t>2023.1</t>
    </r>
    <r>
      <rPr>
        <sz val="11"/>
        <color theme="1"/>
        <rFont val="宋体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16</t>
    </r>
  </si>
  <si>
    <t>2025.10.13</t>
  </si>
  <si>
    <r>
      <rPr>
        <sz val="11"/>
        <color theme="1"/>
        <rFont val="宋体"/>
        <charset val="134"/>
        <scheme val="minor"/>
      </rPr>
      <t>2023.1</t>
    </r>
    <r>
      <rPr>
        <sz val="11"/>
        <color theme="1"/>
        <rFont val="宋体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17</t>
    </r>
  </si>
  <si>
    <t>2025.10.28</t>
  </si>
  <si>
    <r>
      <rPr>
        <sz val="11"/>
        <color theme="1"/>
        <rFont val="宋体"/>
        <charset val="134"/>
        <scheme val="minor"/>
      </rPr>
      <t>2023.1</t>
    </r>
    <r>
      <rPr>
        <sz val="11"/>
        <color theme="1"/>
        <rFont val="宋体"/>
        <charset val="134"/>
        <scheme val="minor"/>
      </rPr>
      <t>2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7</t>
    </r>
  </si>
  <si>
    <t>机房</t>
  </si>
  <si>
    <t>包间系统名称</t>
  </si>
  <si>
    <t>机架</t>
  </si>
  <si>
    <t>操作类型</t>
  </si>
  <si>
    <t>期望完成时间</t>
  </si>
  <si>
    <t>实际完成时间</t>
  </si>
  <si>
    <t>机柜类型</t>
  </si>
  <si>
    <r>
      <rPr>
        <sz val="9"/>
        <color theme="1"/>
        <rFont val="宋体"/>
        <charset val="134"/>
      </rPr>
      <t>机柜功率（</t>
    </r>
    <r>
      <rPr>
        <sz val="9"/>
        <color theme="1"/>
        <rFont val="Arial"/>
        <family val="2"/>
      </rPr>
      <t>W</t>
    </r>
    <r>
      <rPr>
        <sz val="9"/>
        <color theme="1"/>
        <rFont val="宋体"/>
        <charset val="134"/>
      </rPr>
      <t>）</t>
    </r>
  </si>
  <si>
    <t>结果</t>
  </si>
  <si>
    <t>EA118</t>
  </si>
  <si>
    <t>EA118-C4-1</t>
  </si>
  <si>
    <t>D03</t>
  </si>
  <si>
    <t>上正式电</t>
  </si>
  <si>
    <t>下正式电</t>
  </si>
  <si>
    <t>服务器机柜</t>
  </si>
  <si>
    <t>成功</t>
  </si>
  <si>
    <t>D04</t>
  </si>
  <si>
    <t>D05</t>
  </si>
  <si>
    <t>D06</t>
  </si>
  <si>
    <t>D07</t>
  </si>
  <si>
    <t>D08</t>
  </si>
  <si>
    <t>D09</t>
  </si>
  <si>
    <t>D10</t>
  </si>
  <si>
    <t>EA118-C4-2</t>
  </si>
  <si>
    <t>A14</t>
  </si>
  <si>
    <t xml:space="preserve">      2020/8/4 23:59</t>
  </si>
  <si>
    <t>A15</t>
  </si>
  <si>
    <t>A16</t>
  </si>
  <si>
    <t>B05</t>
  </si>
  <si>
    <t>B06</t>
  </si>
  <si>
    <t>B07</t>
  </si>
  <si>
    <t>B08</t>
  </si>
  <si>
    <t>B09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</si>
  <si>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</si>
  <si>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</si>
  <si>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</si>
  <si>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</si>
  <si>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</si>
  <si>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</si>
  <si>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</si>
  <si>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</si>
  <si>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</si>
  <si>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C07</t>
  </si>
  <si>
    <t>C08</t>
  </si>
  <si>
    <t>C09</t>
  </si>
  <si>
    <t>C10</t>
  </si>
  <si>
    <t>C11</t>
  </si>
  <si>
    <t>C12</t>
  </si>
  <si>
    <t>C13</t>
  </si>
  <si>
    <t>C14</t>
  </si>
  <si>
    <t>C15</t>
  </si>
  <si>
    <t>C16</t>
  </si>
  <si>
    <t>D13</t>
  </si>
  <si>
    <t>D14</t>
  </si>
  <si>
    <t>D15</t>
  </si>
  <si>
    <t>D16</t>
  </si>
  <si>
    <t>D17</t>
  </si>
  <si>
    <t>D18</t>
  </si>
  <si>
    <t>E05</t>
  </si>
  <si>
    <t>E06</t>
  </si>
  <si>
    <t>E07</t>
  </si>
  <si>
    <t>E08</t>
  </si>
  <si>
    <t>E09</t>
  </si>
  <si>
    <t>E10</t>
  </si>
  <si>
    <t>E11</t>
  </si>
  <si>
    <t>E12</t>
  </si>
  <si>
    <t>E13</t>
  </si>
  <si>
    <t>E14</t>
  </si>
  <si>
    <t>E15</t>
  </si>
  <si>
    <t>E16</t>
  </si>
  <si>
    <t>F03</t>
  </si>
  <si>
    <t>F04</t>
  </si>
  <si>
    <t>F05</t>
  </si>
  <si>
    <t>F06</t>
  </si>
  <si>
    <t>F07</t>
  </si>
  <si>
    <t>F08</t>
  </si>
  <si>
    <t>F09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</si>
  <si>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</si>
  <si>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</si>
  <si>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</si>
  <si>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</si>
  <si>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</si>
  <si>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</si>
  <si>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</si>
  <si>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</si>
  <si>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</si>
  <si>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G03</t>
  </si>
  <si>
    <t>G04</t>
  </si>
  <si>
    <t>G05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</si>
  <si>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</si>
  <si>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</si>
  <si>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</si>
  <si>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</si>
  <si>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</si>
  <si>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</si>
  <si>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</si>
  <si>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</si>
  <si>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</si>
  <si>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</si>
  <si>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</si>
  <si>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EA118-C3-1</t>
  </si>
  <si>
    <t>E02</t>
  </si>
  <si>
    <t>上测试电</t>
  </si>
  <si>
    <t>下测试电</t>
  </si>
  <si>
    <r>
      <rPr>
        <sz val="11"/>
        <color theme="1"/>
        <rFont val="宋体"/>
        <charset val="134"/>
      </rPr>
      <t>服务器机柜</t>
    </r>
  </si>
  <si>
    <r>
      <rPr>
        <sz val="11"/>
        <color theme="1"/>
        <rFont val="宋体"/>
        <charset val="134"/>
      </rPr>
      <t>成功</t>
    </r>
  </si>
  <si>
    <t>E03</t>
  </si>
  <si>
    <t>E04</t>
  </si>
  <si>
    <t>F02</t>
  </si>
  <si>
    <t>EA118-C3-2</t>
  </si>
  <si>
    <t>D02</t>
  </si>
  <si>
    <t>测试电转正式电</t>
  </si>
  <si>
    <t>正式电转测试电</t>
  </si>
  <si>
    <t>网络机柜</t>
  </si>
  <si>
    <t>A03</t>
  </si>
  <si>
    <t>A07</t>
  </si>
  <si>
    <t>A10</t>
  </si>
  <si>
    <t>1、测试电转正式电
2、正式电转测试电
3、下测试电</t>
  </si>
  <si>
    <r>
      <rPr>
        <sz val="9"/>
        <color theme="1"/>
        <rFont val="Arial"/>
        <family val="2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2025/6/9  21:10:17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2025-06-10 20:00:13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2025/6/12  14:05:04</t>
    </r>
  </si>
  <si>
    <r>
      <rPr>
        <sz val="9"/>
        <color theme="1"/>
        <rFont val="Arial"/>
        <family val="2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2025/6/8  21:10:23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2025-06-09 20:00:19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2025/6/12  17:14:35</t>
    </r>
  </si>
  <si>
    <t>A09</t>
  </si>
  <si>
    <t>A06</t>
  </si>
  <si>
    <t>A04</t>
  </si>
  <si>
    <r>
      <rPr>
        <sz val="9"/>
        <color theme="1"/>
        <rFont val="微软雅黑"/>
        <charset val="134"/>
      </rPr>
      <t>1</t>
    </r>
    <r>
      <rPr>
        <sz val="9"/>
        <color theme="1"/>
        <rFont val="微软雅黑"/>
        <charset val="134"/>
      </rPr>
      <t>、测试电转正式电</t>
    </r>
    <r>
      <rPr>
        <sz val="9"/>
        <color theme="1"/>
        <rFont val="Arial"/>
        <family val="2"/>
      </rPr>
      <t xml:space="preserve">
2</t>
    </r>
    <r>
      <rPr>
        <sz val="9"/>
        <color theme="1"/>
        <rFont val="微软雅黑"/>
        <charset val="134"/>
      </rPr>
      <t>、正式电转测试电</t>
    </r>
    <r>
      <rPr>
        <sz val="9"/>
        <color theme="1"/>
        <rFont val="Arial"/>
        <family val="2"/>
      </rPr>
      <t xml:space="preserve">
3</t>
    </r>
    <r>
      <rPr>
        <sz val="9"/>
        <color theme="1"/>
        <rFont val="微软雅黑"/>
        <charset val="134"/>
      </rPr>
      <t>、下测试电</t>
    </r>
  </si>
  <si>
    <r>
      <rPr>
        <sz val="9"/>
        <color theme="1"/>
        <rFont val="Arial"/>
        <family val="2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2022/8/25  10:11:43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2023/12/22 16:10:58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2025/8/15  9:56:55</t>
    </r>
  </si>
  <si>
    <r>
      <rPr>
        <sz val="9"/>
        <color theme="1"/>
        <rFont val="Arial"/>
        <family val="2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2022/8/24  13:50:39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2023/12/25 17:10:52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2025/8/22  17:16:33</t>
    </r>
  </si>
  <si>
    <r>
      <rPr>
        <sz val="9"/>
        <color theme="1"/>
        <rFont val="Arial"/>
        <family val="2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2022/8/25  10:11:46</t>
    </r>
    <r>
      <rPr>
        <sz val="9"/>
        <color theme="1"/>
        <rFont val="宋体"/>
        <charset val="134"/>
      </rPr>
      <t xml:space="preserve">
</t>
    </r>
    <r>
      <rPr>
        <sz val="9"/>
        <color theme="1"/>
        <rFont val="Arial"/>
        <family val="2"/>
      </rPr>
      <t>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2024/5/9 9:55:21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2025/8/15  9:56:55</t>
    </r>
  </si>
  <si>
    <r>
      <rPr>
        <sz val="9"/>
        <color theme="1"/>
        <rFont val="Arial"/>
        <family val="2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2022/8/24  13:50:33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2024/5/9 16:59:00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2025/8/22  17:16:30</t>
    </r>
  </si>
  <si>
    <r>
      <rPr>
        <sz val="9"/>
        <color theme="1"/>
        <rFont val="Arial"/>
        <family val="2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2022/8/25  10:01:50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2023/12/22 16:10:58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2025/8/15  9:56:55</t>
    </r>
  </si>
  <si>
    <r>
      <rPr>
        <sz val="9"/>
        <color theme="1"/>
        <rFont val="Arial"/>
        <family val="2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2022/8/24  13:50:27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2023/12/25 17:10:52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2025/8/22  17:16:26</t>
    </r>
  </si>
  <si>
    <r>
      <rPr>
        <sz val="9"/>
        <color theme="1"/>
        <rFont val="Arial"/>
        <family val="2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2022/8/25  10:42:11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2023/12/22 16:10:58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2025/8/15  9:56:55</t>
    </r>
  </si>
  <si>
    <r>
      <rPr>
        <sz val="9"/>
        <color theme="1"/>
        <rFont val="Arial"/>
        <family val="2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2022/8/24  13:50:53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2023/12/25 17:10:52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2025/8/22  17:16:37</t>
    </r>
  </si>
  <si>
    <t>G02</t>
  </si>
  <si>
    <r>
      <rPr>
        <sz val="9"/>
        <color theme="1"/>
        <rFont val="Arial"/>
        <family val="2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2022/8/25  10:42:11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2024/2/20  15:08:22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2025/8/15  9:56:55</t>
    </r>
  </si>
  <si>
    <r>
      <rPr>
        <sz val="9"/>
        <color theme="1"/>
        <rFont val="Arial"/>
        <family val="2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2022/8/24  13:51:11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2024/2/22  17:02:16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2025/8/22  17:16:43</t>
    </r>
  </si>
  <si>
    <t>G01</t>
  </si>
  <si>
    <r>
      <rPr>
        <sz val="9"/>
        <color theme="1"/>
        <rFont val="Arial"/>
        <family val="2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2022/8/25  10:22:12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2023/12/6  14:50:23
3</t>
    </r>
    <r>
      <rPr>
        <sz val="9"/>
        <color theme="1"/>
        <rFont val="宋体"/>
        <charset val="134"/>
      </rPr>
      <t>、2</t>
    </r>
    <r>
      <rPr>
        <sz val="9"/>
        <color theme="1"/>
        <rFont val="Arial"/>
        <family val="2"/>
      </rPr>
      <t>025/8/15  9:56:55</t>
    </r>
  </si>
  <si>
    <r>
      <rPr>
        <sz val="9"/>
        <color theme="1"/>
        <rFont val="Arial"/>
        <family val="2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2022/8/24  13:50:59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2023/12/7  10:23:00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2025/8/22  17:16:40</t>
    </r>
  </si>
  <si>
    <t>A11</t>
  </si>
  <si>
    <t>1、正式电转测试电
2、下测试电</t>
  </si>
  <si>
    <r>
      <rPr>
        <sz val="9"/>
        <color theme="1"/>
        <rFont val="Arial"/>
        <family val="2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2025-10-10 22:00:07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2025/10/17  14:50:11</t>
    </r>
  </si>
  <si>
    <r>
      <rPr>
        <sz val="9"/>
        <color theme="1"/>
        <rFont val="Arial"/>
        <family val="2"/>
      </rPr>
      <t>1</t>
    </r>
    <r>
      <rPr>
        <sz val="9"/>
        <color theme="1"/>
        <rFont val="宋体"/>
        <charset val="134"/>
      </rPr>
      <t>、2025-10-09 22:00:18
2、</t>
    </r>
    <r>
      <rPr>
        <sz val="9"/>
        <color theme="1"/>
        <rFont val="Arial"/>
        <family val="2"/>
      </rPr>
      <t>2025/10/28  16:01:17</t>
    </r>
  </si>
  <si>
    <t>A12</t>
  </si>
  <si>
    <r>
      <rPr>
        <sz val="9"/>
        <color theme="1"/>
        <rFont val="Arial"/>
        <family val="2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2025-10-09 22:00:18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2025/10/28  16:01:17</t>
    </r>
  </si>
  <si>
    <t>C03</t>
  </si>
  <si>
    <t xml:space="preserve">上测试电
</t>
  </si>
  <si>
    <t xml:space="preserve">2021/9/18  17:39:06
</t>
  </si>
  <si>
    <t xml:space="preserve">2021/9/18  17:40:39
</t>
  </si>
  <si>
    <t>1、转正式电
2、转测试电
3、下测试电</t>
  </si>
  <si>
    <r>
      <rPr>
        <sz val="9"/>
        <color theme="1"/>
        <rFont val="Arial"/>
        <family val="2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2021/12/9  16:41:46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2023/12/7  14:50:23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2025/10/17  14:50:15</t>
    </r>
  </si>
  <si>
    <r>
      <rPr>
        <sz val="9"/>
        <color theme="1"/>
        <rFont val="Arial"/>
        <family val="2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2021/12/8  14:31:54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2023/12/7  9:19:34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2025/10/28  16:02:15</t>
    </r>
  </si>
  <si>
    <t>C04</t>
  </si>
  <si>
    <r>
      <rPr>
        <sz val="9"/>
        <color theme="1"/>
        <rFont val="宋体"/>
        <charset val="134"/>
      </rPr>
      <t>1、</t>
    </r>
    <r>
      <rPr>
        <sz val="9"/>
        <color theme="1"/>
        <rFont val="Arial"/>
        <family val="2"/>
      </rPr>
      <t>2021/12/9  16:16:48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2023/12/7  14:50:23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2025/10/17  14:50:15</t>
    </r>
  </si>
  <si>
    <r>
      <rPr>
        <sz val="9"/>
        <color theme="1"/>
        <rFont val="宋体"/>
        <charset val="134"/>
      </rPr>
      <t>1、</t>
    </r>
    <r>
      <rPr>
        <sz val="9"/>
        <color theme="1"/>
        <rFont val="Arial"/>
        <family val="2"/>
      </rPr>
      <t>2021/12/8  14:32:04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2023/12/7  9:19:34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2025/10/28  16:02:15</t>
    </r>
  </si>
  <si>
    <t>C05</t>
  </si>
  <si>
    <r>
      <rPr>
        <sz val="9"/>
        <color theme="1"/>
        <rFont val="宋体"/>
        <charset val="134"/>
      </rPr>
      <t>1、</t>
    </r>
    <r>
      <rPr>
        <sz val="9"/>
        <color theme="1"/>
        <rFont val="Arial"/>
        <family val="2"/>
      </rPr>
      <t>2022/1/19  18:17:39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2023/12/7  14:50:23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2025/10/17  14:50:17</t>
    </r>
  </si>
  <si>
    <r>
      <rPr>
        <sz val="9"/>
        <color theme="1"/>
        <rFont val="宋体"/>
        <charset val="134"/>
      </rPr>
      <t>1、</t>
    </r>
    <r>
      <rPr>
        <sz val="9"/>
        <color theme="1"/>
        <rFont val="Arial"/>
        <family val="2"/>
      </rPr>
      <t>2022/1/18  9:45:08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2023/12/7  9:19:34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2025/10/28  16:02:44</t>
    </r>
  </si>
  <si>
    <t>C06</t>
  </si>
  <si>
    <r>
      <rPr>
        <sz val="9"/>
        <color theme="1"/>
        <rFont val="宋体"/>
        <charset val="134"/>
      </rPr>
      <t>1、</t>
    </r>
    <r>
      <rPr>
        <sz val="9"/>
        <color theme="1"/>
        <rFont val="Arial"/>
        <family val="2"/>
      </rPr>
      <t>2022/1/30  21:47:15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2023/12/7  14:50:23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2025/10/17  14:50:17</t>
    </r>
  </si>
  <si>
    <r>
      <rPr>
        <sz val="9"/>
        <color theme="1"/>
        <rFont val="宋体"/>
        <charset val="134"/>
      </rPr>
      <t>1、</t>
    </r>
    <r>
      <rPr>
        <sz val="9"/>
        <color theme="1"/>
        <rFont val="Arial"/>
        <family val="2"/>
      </rPr>
      <t>2022/1/30  9:01:30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2023/12/7  9:19:34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2025/10/28  16:02:53</t>
    </r>
  </si>
  <si>
    <r>
      <rPr>
        <sz val="9"/>
        <color theme="1"/>
        <rFont val="宋体"/>
        <charset val="134"/>
      </rPr>
      <t>1、</t>
    </r>
    <r>
      <rPr>
        <sz val="9"/>
        <color theme="1"/>
        <rFont val="Arial"/>
        <family val="2"/>
      </rPr>
      <t>2021/12/9  16:42:53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2023/12/7  14:50:23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2025/10/17  14:50:16</t>
    </r>
  </si>
  <si>
    <r>
      <rPr>
        <sz val="9"/>
        <color theme="1"/>
        <rFont val="宋体"/>
        <charset val="134"/>
      </rPr>
      <t>1、</t>
    </r>
    <r>
      <rPr>
        <sz val="9"/>
        <color theme="1"/>
        <rFont val="Arial"/>
        <family val="2"/>
      </rPr>
      <t>2021/12/8  14:32:18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2023/12/7  9:19:34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2025/10/28  16:03:16</t>
    </r>
  </si>
  <si>
    <r>
      <rPr>
        <sz val="9"/>
        <color theme="1"/>
        <rFont val="宋体"/>
        <charset val="134"/>
      </rPr>
      <t>1、</t>
    </r>
    <r>
      <rPr>
        <sz val="9"/>
        <color theme="1"/>
        <rFont val="Arial"/>
        <family val="2"/>
      </rPr>
      <t>2022/1/8  21:25:52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2023/12/7  14:50:23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2025/10/17  14:50:16</t>
    </r>
  </si>
  <si>
    <r>
      <rPr>
        <sz val="9"/>
        <color theme="1"/>
        <rFont val="宋体"/>
        <charset val="134"/>
      </rPr>
      <t>1、</t>
    </r>
    <r>
      <rPr>
        <sz val="9"/>
        <color theme="1"/>
        <rFont val="Arial"/>
        <family val="2"/>
      </rPr>
      <t>2022/1/7  11:04:34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2023/12/7  9:19:34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2025/10/28  16:03:06</t>
    </r>
  </si>
  <si>
    <t xml:space="preserve">2021/9/27  20:34:41
</t>
  </si>
  <si>
    <t xml:space="preserve">2021/9/27  17:03:02
</t>
  </si>
  <si>
    <r>
      <rPr>
        <sz val="9"/>
        <color theme="1"/>
        <rFont val="Arial"/>
        <family val="2"/>
      </rPr>
      <t>1</t>
    </r>
    <r>
      <rPr>
        <sz val="9"/>
        <color theme="1"/>
        <rFont val="微软雅黑"/>
        <charset val="134"/>
      </rPr>
      <t>、</t>
    </r>
    <r>
      <rPr>
        <sz val="9"/>
        <color theme="1"/>
        <rFont val="Arial"/>
        <family val="2"/>
      </rPr>
      <t>2021/12/9  16:42:37
2</t>
    </r>
    <r>
      <rPr>
        <sz val="9"/>
        <color theme="1"/>
        <rFont val="微软雅黑"/>
        <charset val="134"/>
      </rPr>
      <t>、</t>
    </r>
    <r>
      <rPr>
        <sz val="9"/>
        <color theme="1"/>
        <rFont val="Arial"/>
        <family val="2"/>
      </rPr>
      <t>2023/12/23  16:10:58
3</t>
    </r>
    <r>
      <rPr>
        <sz val="9"/>
        <color theme="1"/>
        <rFont val="微软雅黑"/>
        <charset val="134"/>
      </rPr>
      <t>、</t>
    </r>
    <r>
      <rPr>
        <sz val="9"/>
        <color theme="1"/>
        <rFont val="Arial"/>
        <family val="2"/>
      </rPr>
      <t>2025/10/17  14:50:13</t>
    </r>
  </si>
  <si>
    <r>
      <rPr>
        <sz val="9"/>
        <color theme="1"/>
        <rFont val="Arial"/>
        <family val="2"/>
      </rPr>
      <t>1</t>
    </r>
    <r>
      <rPr>
        <sz val="9"/>
        <color theme="1"/>
        <rFont val="微软雅黑"/>
        <charset val="134"/>
      </rPr>
      <t>、</t>
    </r>
    <r>
      <rPr>
        <sz val="9"/>
        <color theme="1"/>
        <rFont val="Arial"/>
        <family val="2"/>
      </rPr>
      <t>2021/12/8  14:32:54
2</t>
    </r>
    <r>
      <rPr>
        <sz val="9"/>
        <color theme="1"/>
        <rFont val="微软雅黑"/>
        <charset val="134"/>
      </rPr>
      <t>、</t>
    </r>
    <r>
      <rPr>
        <sz val="9"/>
        <color theme="1"/>
        <rFont val="Arial"/>
        <family val="2"/>
      </rPr>
      <t>2023/12/25 15:17:51
3</t>
    </r>
    <r>
      <rPr>
        <sz val="9"/>
        <color theme="1"/>
        <rFont val="微软雅黑"/>
        <charset val="134"/>
      </rPr>
      <t>、</t>
    </r>
    <r>
      <rPr>
        <sz val="9"/>
        <color theme="1"/>
        <rFont val="Arial"/>
        <family val="2"/>
      </rPr>
      <t>2025/10/28  16:03:32</t>
    </r>
  </si>
  <si>
    <r>
      <rPr>
        <sz val="9"/>
        <color theme="1"/>
        <rFont val="Arial"/>
        <family val="2"/>
      </rPr>
      <t>1</t>
    </r>
    <r>
      <rPr>
        <sz val="9"/>
        <color theme="1"/>
        <rFont val="微软雅黑"/>
        <charset val="134"/>
      </rPr>
      <t>、</t>
    </r>
    <r>
      <rPr>
        <sz val="9"/>
        <color theme="1"/>
        <rFont val="Arial"/>
        <family val="2"/>
      </rPr>
      <t>2022/1/8  21:25:53
2</t>
    </r>
    <r>
      <rPr>
        <sz val="9"/>
        <color theme="1"/>
        <rFont val="微软雅黑"/>
        <charset val="134"/>
      </rPr>
      <t>、</t>
    </r>
    <r>
      <rPr>
        <sz val="9"/>
        <color theme="1"/>
        <rFont val="Arial"/>
        <family val="2"/>
      </rPr>
      <t>2023/12/7  14:50:23
3</t>
    </r>
    <r>
      <rPr>
        <sz val="9"/>
        <color theme="1"/>
        <rFont val="微软雅黑"/>
        <charset val="134"/>
      </rPr>
      <t>、</t>
    </r>
    <r>
      <rPr>
        <sz val="9"/>
        <color theme="1"/>
        <rFont val="Arial"/>
        <family val="2"/>
      </rPr>
      <t>2025/10/17  14:50:13</t>
    </r>
  </si>
  <si>
    <r>
      <rPr>
        <sz val="9"/>
        <color theme="1"/>
        <rFont val="Arial"/>
        <family val="2"/>
      </rPr>
      <t>1</t>
    </r>
    <r>
      <rPr>
        <sz val="9"/>
        <color theme="1"/>
        <rFont val="微软雅黑"/>
        <charset val="134"/>
      </rPr>
      <t>、</t>
    </r>
    <r>
      <rPr>
        <sz val="9"/>
        <color theme="1"/>
        <rFont val="Arial"/>
        <family val="2"/>
      </rPr>
      <t>2022/1/7  11:04:42
2</t>
    </r>
    <r>
      <rPr>
        <sz val="9"/>
        <color theme="1"/>
        <rFont val="微软雅黑"/>
        <charset val="134"/>
      </rPr>
      <t>、</t>
    </r>
    <r>
      <rPr>
        <sz val="9"/>
        <color theme="1"/>
        <rFont val="Arial"/>
        <family val="2"/>
      </rPr>
      <t>2023/12/7  9:19:34
3</t>
    </r>
    <r>
      <rPr>
        <sz val="9"/>
        <color theme="1"/>
        <rFont val="微软雅黑"/>
        <charset val="134"/>
      </rPr>
      <t>、</t>
    </r>
    <r>
      <rPr>
        <sz val="9"/>
        <color theme="1"/>
        <rFont val="Arial"/>
        <family val="2"/>
      </rPr>
      <t>2025/10/28  16:03:54</t>
    </r>
  </si>
  <si>
    <r>
      <rPr>
        <sz val="9"/>
        <color theme="1"/>
        <rFont val="Arial"/>
        <family val="2"/>
      </rPr>
      <t>1</t>
    </r>
    <r>
      <rPr>
        <sz val="9"/>
        <color theme="1"/>
        <rFont val="微软雅黑"/>
        <charset val="134"/>
      </rPr>
      <t>、</t>
    </r>
    <r>
      <rPr>
        <sz val="9"/>
        <color theme="1"/>
        <rFont val="Arial"/>
        <family val="2"/>
      </rPr>
      <t>2021/12/9  16:42:26
2</t>
    </r>
    <r>
      <rPr>
        <sz val="9"/>
        <color theme="1"/>
        <rFont val="微软雅黑"/>
        <charset val="134"/>
      </rPr>
      <t>、</t>
    </r>
    <r>
      <rPr>
        <sz val="9"/>
        <color theme="1"/>
        <rFont val="Arial"/>
        <family val="2"/>
      </rPr>
      <t>2023/12/7  14:50:23
3</t>
    </r>
    <r>
      <rPr>
        <sz val="9"/>
        <color theme="1"/>
        <rFont val="微软雅黑"/>
        <charset val="134"/>
      </rPr>
      <t>、</t>
    </r>
    <r>
      <rPr>
        <sz val="9"/>
        <color theme="1"/>
        <rFont val="Arial"/>
        <family val="2"/>
      </rPr>
      <t>2025/10/17  14:50:15</t>
    </r>
  </si>
  <si>
    <r>
      <rPr>
        <sz val="9"/>
        <color theme="1"/>
        <rFont val="Arial"/>
        <family val="2"/>
      </rPr>
      <t>1</t>
    </r>
    <r>
      <rPr>
        <sz val="9"/>
        <color theme="1"/>
        <rFont val="微软雅黑"/>
        <charset val="134"/>
      </rPr>
      <t>、</t>
    </r>
    <r>
      <rPr>
        <sz val="9"/>
        <color theme="1"/>
        <rFont val="Arial"/>
        <family val="2"/>
      </rPr>
      <t>2021/12/8  14:33:03
2</t>
    </r>
    <r>
      <rPr>
        <sz val="9"/>
        <color theme="1"/>
        <rFont val="微软雅黑"/>
        <charset val="134"/>
      </rPr>
      <t>、</t>
    </r>
    <r>
      <rPr>
        <sz val="9"/>
        <color theme="1"/>
        <rFont val="Arial"/>
        <family val="2"/>
      </rPr>
      <t>2023/12/7  9:19:34
3</t>
    </r>
    <r>
      <rPr>
        <sz val="9"/>
        <color theme="1"/>
        <rFont val="微软雅黑"/>
        <charset val="134"/>
      </rPr>
      <t>、</t>
    </r>
    <r>
      <rPr>
        <sz val="9"/>
        <color theme="1"/>
        <rFont val="Arial"/>
        <family val="2"/>
      </rPr>
      <t>2025/10/28  16:04:06</t>
    </r>
  </si>
  <si>
    <r>
      <rPr>
        <sz val="9"/>
        <color theme="1"/>
        <rFont val="Arial"/>
        <family val="2"/>
      </rPr>
      <t>1</t>
    </r>
    <r>
      <rPr>
        <sz val="9"/>
        <color theme="1"/>
        <rFont val="微软雅黑"/>
        <charset val="134"/>
      </rPr>
      <t>、</t>
    </r>
    <r>
      <rPr>
        <sz val="9"/>
        <color theme="1"/>
        <rFont val="Arial"/>
        <family val="2"/>
      </rPr>
      <t>2022/1/14  17:46:18
2</t>
    </r>
    <r>
      <rPr>
        <sz val="9"/>
        <color theme="1"/>
        <rFont val="微软雅黑"/>
        <charset val="134"/>
      </rPr>
      <t>、</t>
    </r>
    <r>
      <rPr>
        <sz val="9"/>
        <color theme="1"/>
        <rFont val="Arial"/>
        <family val="2"/>
      </rPr>
      <t>2023/12/7  14:50:23
3</t>
    </r>
    <r>
      <rPr>
        <sz val="9"/>
        <color theme="1"/>
        <rFont val="微软雅黑"/>
        <charset val="134"/>
      </rPr>
      <t>、</t>
    </r>
    <r>
      <rPr>
        <sz val="9"/>
        <color theme="1"/>
        <rFont val="Arial"/>
        <family val="2"/>
      </rPr>
      <t>2025/10/17  14:50:15</t>
    </r>
  </si>
  <si>
    <r>
      <rPr>
        <sz val="9"/>
        <color theme="1"/>
        <rFont val="Arial"/>
        <family val="2"/>
      </rPr>
      <t>1</t>
    </r>
    <r>
      <rPr>
        <sz val="9"/>
        <color theme="1"/>
        <rFont val="微软雅黑"/>
        <charset val="134"/>
      </rPr>
      <t>、</t>
    </r>
    <r>
      <rPr>
        <sz val="9"/>
        <color theme="1"/>
        <rFont val="Arial"/>
        <family val="2"/>
      </rPr>
      <t>2022/1/13  13:15:20
2</t>
    </r>
    <r>
      <rPr>
        <sz val="9"/>
        <color theme="1"/>
        <rFont val="微软雅黑"/>
        <charset val="134"/>
      </rPr>
      <t>、</t>
    </r>
    <r>
      <rPr>
        <sz val="9"/>
        <color theme="1"/>
        <rFont val="Arial"/>
        <family val="2"/>
      </rPr>
      <t>2023/12/7  9:19:34
3</t>
    </r>
    <r>
      <rPr>
        <sz val="9"/>
        <color theme="1"/>
        <rFont val="微软雅黑"/>
        <charset val="134"/>
      </rPr>
      <t>、</t>
    </r>
    <r>
      <rPr>
        <sz val="9"/>
        <color theme="1"/>
        <rFont val="Arial"/>
        <family val="2"/>
      </rPr>
      <t>2025/10/28  16:04:17</t>
    </r>
  </si>
  <si>
    <r>
      <rPr>
        <sz val="9"/>
        <color theme="1"/>
        <rFont val="Arial"/>
        <family val="2"/>
      </rPr>
      <t>1</t>
    </r>
    <r>
      <rPr>
        <sz val="9"/>
        <color theme="1"/>
        <rFont val="微软雅黑"/>
        <charset val="134"/>
      </rPr>
      <t>、</t>
    </r>
    <r>
      <rPr>
        <sz val="9"/>
        <color theme="1"/>
        <rFont val="Arial"/>
        <family val="2"/>
      </rPr>
      <t>2021/12/8  14:33:03
2</t>
    </r>
    <r>
      <rPr>
        <sz val="9"/>
        <color theme="1"/>
        <rFont val="微软雅黑"/>
        <charset val="134"/>
      </rPr>
      <t>、</t>
    </r>
    <r>
      <rPr>
        <sz val="9"/>
        <color theme="1"/>
        <rFont val="Arial"/>
        <family val="2"/>
      </rPr>
      <t>2023/12/7  9:19:34
3</t>
    </r>
    <r>
      <rPr>
        <sz val="9"/>
        <color theme="1"/>
        <rFont val="微软雅黑"/>
        <charset val="134"/>
      </rPr>
      <t>、</t>
    </r>
    <r>
      <rPr>
        <sz val="9"/>
        <color theme="1"/>
        <rFont val="Arial"/>
        <family val="2"/>
      </rPr>
      <t>2025/10/28  16:04:30</t>
    </r>
  </si>
  <si>
    <t>A02</t>
  </si>
  <si>
    <r>
      <rPr>
        <sz val="11"/>
        <color theme="1"/>
        <rFont val="宋体"/>
        <charset val="134"/>
      </rPr>
      <t>序号</t>
    </r>
  </si>
  <si>
    <r>
      <rPr>
        <sz val="11"/>
        <color theme="1"/>
        <rFont val="宋体"/>
        <charset val="134"/>
      </rPr>
      <t>机房</t>
    </r>
  </si>
  <si>
    <r>
      <rPr>
        <sz val="11"/>
        <color theme="1"/>
        <rFont val="宋体"/>
        <charset val="134"/>
      </rPr>
      <t>包间系统名称</t>
    </r>
  </si>
  <si>
    <t>机柜号</t>
  </si>
  <si>
    <r>
      <rPr>
        <sz val="11"/>
        <color theme="1"/>
        <rFont val="宋体"/>
        <charset val="134"/>
      </rPr>
      <t>操作类型</t>
    </r>
  </si>
  <si>
    <r>
      <rPr>
        <sz val="11"/>
        <color theme="1"/>
        <rFont val="宋体"/>
        <charset val="134"/>
      </rPr>
      <t>实际完成时间</t>
    </r>
  </si>
  <si>
    <r>
      <rPr>
        <sz val="11"/>
        <color theme="1"/>
        <rFont val="宋体"/>
        <charset val="134"/>
      </rPr>
      <t>机柜类型</t>
    </r>
  </si>
  <si>
    <r>
      <rPr>
        <sz val="11"/>
        <color theme="1"/>
        <rFont val="宋体"/>
        <charset val="134"/>
      </rPr>
      <t>机柜功率（</t>
    </r>
    <r>
      <rPr>
        <sz val="11"/>
        <color theme="1"/>
        <rFont val="Arial"/>
        <family val="2"/>
      </rPr>
      <t>W</t>
    </r>
    <r>
      <rPr>
        <sz val="11"/>
        <color theme="1"/>
        <rFont val="宋体"/>
        <charset val="134"/>
      </rPr>
      <t>）</t>
    </r>
  </si>
  <si>
    <r>
      <rPr>
        <sz val="11"/>
        <color theme="1"/>
        <rFont val="宋体"/>
        <charset val="134"/>
      </rPr>
      <t>结果</t>
    </r>
  </si>
  <si>
    <t>B01</t>
  </si>
  <si>
    <t>转正式电</t>
  </si>
  <si>
    <t>C01</t>
  </si>
  <si>
    <t>E01</t>
  </si>
  <si>
    <t>F01</t>
  </si>
  <si>
    <t>I01</t>
  </si>
  <si>
    <t>J01</t>
  </si>
  <si>
    <t>D01</t>
  </si>
  <si>
    <t>H01</t>
  </si>
  <si>
    <t>A01</t>
  </si>
  <si>
    <t>EA118-C2-1</t>
  </si>
  <si>
    <t>EA118-C2-2</t>
  </si>
  <si>
    <t>A05</t>
  </si>
  <si>
    <t>转测试电</t>
  </si>
  <si>
    <t>A13</t>
  </si>
  <si>
    <t>B03</t>
  </si>
  <si>
    <t>B04</t>
  </si>
  <si>
    <t>D11</t>
  </si>
  <si>
    <t>D12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</si>
  <si>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</si>
  <si>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</si>
  <si>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</si>
  <si>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</si>
  <si>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</si>
  <si>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</si>
  <si>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</si>
  <si>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</si>
  <si>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</si>
  <si>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</si>
  <si>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</si>
  <si>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</si>
  <si>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</si>
  <si>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</si>
  <si>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</si>
  <si>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</si>
  <si>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I05</t>
  </si>
  <si>
    <t>I06</t>
  </si>
  <si>
    <t>I07</t>
  </si>
  <si>
    <t>I08</t>
  </si>
  <si>
    <t>I09</t>
  </si>
  <si>
    <t>I10</t>
  </si>
  <si>
    <t>I11</t>
  </si>
  <si>
    <t>I12</t>
  </si>
  <si>
    <t>I13</t>
  </si>
  <si>
    <t>I14</t>
  </si>
  <si>
    <t>I15</t>
  </si>
  <si>
    <t>I16</t>
  </si>
  <si>
    <t>J03</t>
  </si>
  <si>
    <t>J04</t>
  </si>
  <si>
    <t>J05</t>
  </si>
  <si>
    <t>J06</t>
  </si>
  <si>
    <t>J07</t>
  </si>
  <si>
    <t>J08</t>
  </si>
  <si>
    <t>J09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</si>
  <si>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</si>
  <si>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</si>
  <si>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</si>
  <si>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</si>
  <si>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</si>
  <si>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</si>
  <si>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</si>
  <si>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</si>
  <si>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</si>
  <si>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A08</t>
  </si>
  <si>
    <t>C02</t>
  </si>
  <si>
    <t>2021-04-03 15:50:04</t>
  </si>
  <si>
    <t>2021-04-03 16:04:55</t>
  </si>
  <si>
    <t>2021-04-12 10:46:07</t>
  </si>
  <si>
    <t>2021-04-12 11:38:23</t>
  </si>
  <si>
    <t>2021-04-12 10:45:37</t>
  </si>
  <si>
    <t>2021-04-12 11:38:27</t>
  </si>
  <si>
    <t>2021-04-03 15:50:07</t>
  </si>
  <si>
    <t>2021-04-03 16:04:29</t>
  </si>
  <si>
    <t>2021-04-03 15:50:13</t>
  </si>
  <si>
    <t>2021-04-03 16:04:53</t>
  </si>
  <si>
    <t>2021-04-03 16:06:40</t>
  </si>
  <si>
    <t>2021-04-06 16:20:52</t>
  </si>
  <si>
    <t>2021-04-08 16:11:01</t>
  </si>
  <si>
    <t>2021-04-20 15:27:31</t>
  </si>
  <si>
    <t>2021-04-21 09:22:06</t>
  </si>
  <si>
    <t>2021-04-21 09:22:13</t>
  </si>
  <si>
    <t>2021-04-19 18:16:02</t>
  </si>
  <si>
    <t>2021-04-20 09:24:31</t>
  </si>
  <si>
    <t>2021-04-19 18:11:44</t>
  </si>
  <si>
    <t>2021-04-20 09:25:06</t>
  </si>
  <si>
    <t>2021-04-19 17:30:31</t>
  </si>
  <si>
    <t>2021-04-20 09:25:30</t>
  </si>
  <si>
    <t>2021-04-19 17:31:31</t>
  </si>
  <si>
    <t>2021-04-20 09:24:57</t>
  </si>
  <si>
    <t>2021-04-20 09:24:40</t>
  </si>
  <si>
    <t>2021-04-19 18:11:56</t>
  </si>
  <si>
    <t>2021-04-20 09:25:51</t>
  </si>
  <si>
    <t>2021-05-15 08:27:55</t>
  </si>
  <si>
    <t>2021-05-21 13:10:31</t>
  </si>
  <si>
    <t>2021-05-21 13:10:39</t>
  </si>
  <si>
    <t>2021-05-10 15:07:18</t>
  </si>
  <si>
    <t>2021-05-11 12:54:04</t>
  </si>
  <si>
    <t>2021-05-10 15:07:51</t>
  </si>
  <si>
    <t>2021-05-11 12:54:08</t>
  </si>
  <si>
    <t>2021-05-10 15:08:56</t>
  </si>
  <si>
    <t>2021-05-11 12:54:12</t>
  </si>
  <si>
    <t>2021-05-10 15:10:07</t>
  </si>
  <si>
    <t>2021-05-11 12:54:17</t>
  </si>
  <si>
    <t>2021-05-10 15:10:26</t>
  </si>
  <si>
    <t>2021-05-11 12:54:22</t>
  </si>
  <si>
    <t>2021-05-10 15:10:39</t>
  </si>
  <si>
    <t>2021-05-11 12:54:26</t>
  </si>
  <si>
    <t>2021-05-15 08:27:54</t>
  </si>
  <si>
    <t>2021-05-21 13:10:48</t>
  </si>
  <si>
    <t>H02</t>
  </si>
  <si>
    <t>2021-04-29 10:37:40</t>
  </si>
  <si>
    <t>2021-04-29 17:50:22</t>
  </si>
  <si>
    <t>I02</t>
  </si>
  <si>
    <t>2021-04-28 22:12:13</t>
  </si>
  <si>
    <t>2021-04-29 17:50:29</t>
  </si>
  <si>
    <t>I03</t>
  </si>
  <si>
    <t>2021-04-28 22:25:48</t>
  </si>
  <si>
    <t>2021-04-29 17:50:36</t>
  </si>
  <si>
    <t>I04</t>
  </si>
  <si>
    <t>2021-04-28 22:21:51</t>
  </si>
  <si>
    <t>2021-04-29 17:50:42</t>
  </si>
  <si>
    <t>2021-07-27 14:57:12</t>
  </si>
  <si>
    <t>2021-07-27 16:54:50</t>
  </si>
  <si>
    <t>2021-07-27 14:59:45</t>
  </si>
  <si>
    <t>2021-07-27 16:54:59</t>
  </si>
  <si>
    <t>2021-07-27 14:42:58</t>
  </si>
  <si>
    <t>2021-07-27 16:55:04</t>
  </si>
  <si>
    <t>2021-07-27 14:44:27</t>
  </si>
  <si>
    <t>2021-07-27 16:55:09</t>
  </si>
  <si>
    <t>2021-07-27 14:47:52</t>
  </si>
  <si>
    <t>2021-07-27 16:55:14</t>
  </si>
  <si>
    <t>2021-07-27 14:51:00</t>
  </si>
  <si>
    <t>2021-07-27 16:55:19</t>
  </si>
  <si>
    <t>2021-08-09 16:42:58</t>
  </si>
  <si>
    <t>2021-08-09 18:07:04</t>
  </si>
  <si>
    <t>2021-08-10 11:18:45</t>
  </si>
  <si>
    <t>2021-08-10 13:11:24</t>
  </si>
  <si>
    <t>2021-08-09 16:44:39</t>
  </si>
  <si>
    <t>2021-08-09 18:07:13</t>
  </si>
  <si>
    <t>2021-08-10 11:18:18</t>
  </si>
  <si>
    <t>2021-08-10 13:11:33</t>
  </si>
  <si>
    <t>2021-08-09 16:43:07</t>
  </si>
  <si>
    <t>2021-08-09 18:07:17</t>
  </si>
  <si>
    <t>2021-08-10 11:23:26</t>
  </si>
  <si>
    <t>2021.5.13</t>
  </si>
  <si>
    <t>2021-05-31 11:06:45</t>
  </si>
  <si>
    <t>2021-05-31 16:23:56</t>
  </si>
  <si>
    <t>2021-06-07 16:23:07</t>
  </si>
  <si>
    <t>2021-06-08 09:05:43</t>
  </si>
  <si>
    <t>2021-06-08 15:01:05</t>
  </si>
  <si>
    <t>2021-06-08 16:21:45</t>
  </si>
  <si>
    <t>2021-06-08 16:21:53</t>
  </si>
  <si>
    <t>2021-06-08 16:22:00</t>
  </si>
  <si>
    <t>2021-06-08 15:10:22</t>
  </si>
  <si>
    <t>2021-06-08 16:22:35</t>
  </si>
  <si>
    <t>2021-07-23 15:45:11</t>
  </si>
  <si>
    <t>2021-07-23 16:48:49</t>
  </si>
  <si>
    <t>2021-07-26 10:29:47</t>
  </si>
  <si>
    <t>2021-07-27 16:54:25</t>
  </si>
  <si>
    <t>2021-07-05 14:52:53</t>
  </si>
  <si>
    <t>2021-07-05 16:53:01</t>
  </si>
  <si>
    <t>2021-07-05 16:53:31</t>
  </si>
  <si>
    <t>2021-07-05 14:52:52</t>
  </si>
  <si>
    <t>2021-07-05 16:53:42</t>
  </si>
  <si>
    <t>2021-07-05 16:53:50</t>
  </si>
  <si>
    <t>2021-07-05 16:59:26</t>
  </si>
  <si>
    <t>2021-07-05 16:59:33</t>
  </si>
  <si>
    <t>2021-07-05 16:59:41</t>
  </si>
  <si>
    <t>2021-07-05 16:59:51</t>
  </si>
  <si>
    <t>2021-07-12 10:30:38</t>
  </si>
  <si>
    <t>2021-07-13 16:21:45</t>
  </si>
  <si>
    <t>2021-07-13 16:21:49</t>
  </si>
  <si>
    <t>2021-06-28 16:20:35</t>
  </si>
  <si>
    <t>2021-06-29 13:06:44</t>
  </si>
  <si>
    <t>2021-06-28 16:18:31</t>
  </si>
  <si>
    <t>2021-06-29 13:06:51</t>
  </si>
  <si>
    <t>2021-07-21 10:47:20</t>
  </si>
  <si>
    <t>2021-07-21 16:46:48</t>
  </si>
  <si>
    <t>2021-07-21 10:47:09</t>
  </si>
  <si>
    <t>2021-07-21 16:46:54</t>
  </si>
  <si>
    <t>2021-08-25 13:40:13</t>
  </si>
  <si>
    <t>2021-08-25 14:38:43</t>
  </si>
  <si>
    <t>2021-08-25 13:40:16</t>
  </si>
  <si>
    <t>2021-08-25 14:38:48</t>
  </si>
  <si>
    <t>2021-09-01 22:40:13</t>
  </si>
  <si>
    <t>2021-09-02 10:53:55</t>
  </si>
  <si>
    <t>2021-09-01 22:40:12</t>
  </si>
  <si>
    <t>2021-09-02 10:54:23</t>
  </si>
  <si>
    <t>1、测试电转正式电
2、正式电转测试电
3、测试电转正式电
4、正式电转测试电
5、测试电转正式电</t>
  </si>
  <si>
    <t>1、2021-07-27 14:44:08
2、2023/12/7 14:50:23
3、 2026-03-31 21:10:18
4、 2026-05-11 20:00:18
5、 2026-05-15 21:10:28</t>
  </si>
  <si>
    <t>1、2021-07-27 16:53:24
2、2023/12/7 9:19:34
3、2026-03-30 21:10:37
4、2026-05-10 20:00:36
5、 2026-05-14 21:10:47</t>
  </si>
  <si>
    <t>2021-07-27 14:50:50</t>
  </si>
  <si>
    <t>2021-07-27 16:53:29</t>
  </si>
  <si>
    <t>B02</t>
  </si>
  <si>
    <t>2021-07-30 16:15:41</t>
  </si>
  <si>
    <t>2021-07-30 17:28:41</t>
  </si>
  <si>
    <t>2021-07-30 16:20:47</t>
  </si>
  <si>
    <t>2021-07-30 17:28:45</t>
  </si>
  <si>
    <t>2021-07-28 16:45:32</t>
  </si>
  <si>
    <t>2021-07-29 08:59:34</t>
  </si>
  <si>
    <t>2021-07-30 16:31:47</t>
  </si>
  <si>
    <t>2021-07-30 17:29:00</t>
  </si>
  <si>
    <t>2021-07-30 16:01:48</t>
  </si>
  <si>
    <t>2021-07-30 17:29:11</t>
  </si>
  <si>
    <t>2021-07-30 16:05:34</t>
  </si>
  <si>
    <t>2021-07-30 17:29:16</t>
  </si>
  <si>
    <t>2021-07-28 16:45:28</t>
  </si>
  <si>
    <t>2021-07-29 08:59:44</t>
  </si>
  <si>
    <t>1、测试电转正式电
2、正式电转测试电
3、测试电转正式电</t>
  </si>
  <si>
    <t>1、2021-07-27 14:41:29
2、2025-12-26 20:00:26
3、 2026-03-31 21:10:18</t>
  </si>
  <si>
    <t>1、2021-07-27 16:53:33
2、 2025-12-26 20:00:39
3、2026-03-30 21:10:37</t>
  </si>
  <si>
    <t>2021-07-27 14:49:32</t>
  </si>
  <si>
    <t>2021-07-27 16:53:38</t>
  </si>
  <si>
    <t>2021-07-27 15:06:10</t>
  </si>
  <si>
    <t>2021-07-27 16:53:42</t>
  </si>
  <si>
    <t>2021-07-27 15:10:28</t>
  </si>
  <si>
    <t>2021-07-27 16:53:55</t>
  </si>
  <si>
    <t>2021-07-27 14:00:21</t>
  </si>
  <si>
    <t>2021-07-27 16:54:00</t>
  </si>
  <si>
    <t>2021-07-27 14:02:08</t>
  </si>
  <si>
    <t>2021-07-27 16:54:08</t>
  </si>
  <si>
    <t>J02</t>
  </si>
  <si>
    <t>2021-07-27 14:01:02</t>
  </si>
  <si>
    <t>2021-07-27 16:54:16</t>
  </si>
  <si>
    <t>2021-07-27 14:42:18</t>
  </si>
  <si>
    <t>2021-07-27 16:54:29</t>
  </si>
  <si>
    <t>转正式电
转正式电</t>
  </si>
  <si>
    <t>2021-07-27 14:54:57
2025-05-16 10:36:38</t>
  </si>
  <si>
    <t>2021-07-27 16:54:36
2025-05-14 10:36:47</t>
  </si>
  <si>
    <t>2021-07-27 22:30:58</t>
  </si>
  <si>
    <t>2021-07-28 09:11:44</t>
  </si>
  <si>
    <t>2021-07-27 14:13:34</t>
  </si>
  <si>
    <t>2021-07-27 16:54:41</t>
  </si>
  <si>
    <t>2021-07-27 22:03:45</t>
  </si>
  <si>
    <t>2021-07-28 09:11:49</t>
  </si>
  <si>
    <t>2021-07-27 22:11:11</t>
  </si>
  <si>
    <t>2021-07-28 09:11:53</t>
  </si>
  <si>
    <t>2021-07-27 14:15:44</t>
  </si>
  <si>
    <t>2021-07-27 16:54:46</t>
  </si>
  <si>
    <t>2021-09-01 14:50:14</t>
  </si>
  <si>
    <t>2021-09-01 15:24:21</t>
  </si>
  <si>
    <t>2021-08-25 14:10:55</t>
  </si>
  <si>
    <t>2021-08-25 14:38:57</t>
  </si>
  <si>
    <t>2021-08-25 14:10:13</t>
  </si>
  <si>
    <t>2021-08-25 14:39:01</t>
  </si>
  <si>
    <t>2021-08-25 14:10:21</t>
  </si>
  <si>
    <t>2021-08-25 14:39:07</t>
  </si>
  <si>
    <t>2021-09-01 15:24:34</t>
  </si>
  <si>
    <t>2021-09-01 15:24:50</t>
  </si>
  <si>
    <t>2021-09-01 15:00:11</t>
  </si>
  <si>
    <t>2021-09-01 15:24:55</t>
  </si>
  <si>
    <t>2021-08-25 14:39:14</t>
  </si>
  <si>
    <t>2021-08-25 14:39:19</t>
  </si>
  <si>
    <t>2021-09-01 21:40:47</t>
  </si>
  <si>
    <t>2021-09-02 10:54:44</t>
  </si>
  <si>
    <t>2021-08-25 14:39:24</t>
  </si>
  <si>
    <t>2021-09-01 21:50:30</t>
  </si>
  <si>
    <t>2021-09-02 10:55:00</t>
  </si>
  <si>
    <t>2021-08-25 14:10:58</t>
  </si>
  <si>
    <t>2021-08-25 14:39:28</t>
  </si>
  <si>
    <t>2021-08-24 10:31:00</t>
  </si>
  <si>
    <t>2021-08-25 09:03:37</t>
  </si>
  <si>
    <t>2021-08-24 10:31:01</t>
  </si>
  <si>
    <t>2021-08-25 09:03:54</t>
  </si>
  <si>
    <t>2021-08-25 13:40:17</t>
  </si>
  <si>
    <t>2021-08-25 14:38:37</t>
  </si>
  <si>
    <t>2021-09-01 20:20:16</t>
  </si>
  <si>
    <t>2021-09-02 10:53:09</t>
  </si>
  <si>
    <t>2021-08-23 10:40:58</t>
  </si>
  <si>
    <t>2021-08-23 14:23:33</t>
  </si>
  <si>
    <t>2021-09-01 23:00:18</t>
  </si>
  <si>
    <t>2021-09-02 10:53:45</t>
  </si>
  <si>
    <t>2021-09-02 10:53:33</t>
  </si>
  <si>
    <t>2021-09-01 23:00:30</t>
  </si>
  <si>
    <t>2021-09-02 10:53:37</t>
  </si>
  <si>
    <t>2021-09-01 23:00:15</t>
  </si>
  <si>
    <t>2021-09-02 10:53:41</t>
  </si>
  <si>
    <t>1、正式电转测试电 
2、测试电转正式电</t>
  </si>
  <si>
    <r>
      <rPr>
        <sz val="9"/>
        <color theme="1"/>
        <rFont val="Arial"/>
        <family val="2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2025/6/19 20:00:09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2025/9/1 21:10:18</t>
    </r>
  </si>
  <si>
    <r>
      <rPr>
        <sz val="9"/>
        <color theme="1"/>
        <rFont val="Arial"/>
        <family val="2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2025/6/18 20:00:11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family val="2"/>
      </rPr>
      <t>2025/8/31 21:10:24</t>
    </r>
  </si>
  <si>
    <t>F19</t>
  </si>
  <si>
    <t>C17</t>
  </si>
  <si>
    <t>J19</t>
  </si>
  <si>
    <t>H19</t>
  </si>
  <si>
    <t>A17</t>
  </si>
  <si>
    <t>B19</t>
  </si>
  <si>
    <t>D19</t>
  </si>
  <si>
    <t>G17</t>
  </si>
  <si>
    <t>E17</t>
  </si>
  <si>
    <t>I17</t>
  </si>
  <si>
    <t>1、2025/10/15  22:00:01
2、2025-10-19 21:10:21</t>
  </si>
  <si>
    <t>1、2025/10/14  22:00:13
2、2025-10-18 21:10:33</t>
  </si>
  <si>
    <t>C-241
CRAH-1</t>
  </si>
  <si>
    <t>C-241
CRAH-2</t>
  </si>
  <si>
    <t>C-241
CRAH-3</t>
  </si>
  <si>
    <t>C-241
CRAH-4</t>
  </si>
  <si>
    <t>C-241
CRAH-5</t>
  </si>
  <si>
    <t>C-241
CRAH-6</t>
  </si>
  <si>
    <t>C-241
CRAH-7</t>
  </si>
  <si>
    <t>C-241
CRAH-8</t>
  </si>
  <si>
    <t>C-241
CRAH-9</t>
  </si>
  <si>
    <t>C-241
CRAH-10</t>
  </si>
  <si>
    <t>恒湿机1</t>
  </si>
  <si>
    <t>恒湿机2</t>
  </si>
  <si>
    <t>恒湿机3</t>
  </si>
  <si>
    <t>C-202/M1包间</t>
  </si>
  <si>
    <t>J</t>
  </si>
  <si>
    <t>I</t>
  </si>
  <si>
    <t>H</t>
  </si>
  <si>
    <t>G</t>
  </si>
  <si>
    <t>F</t>
  </si>
  <si>
    <t>E</t>
  </si>
  <si>
    <t>D</t>
  </si>
  <si>
    <t>C</t>
  </si>
  <si>
    <t>B</t>
  </si>
  <si>
    <t>A</t>
  </si>
  <si>
    <t>AC</t>
  </si>
  <si>
    <t>DC</t>
  </si>
  <si>
    <t>C-240
CRAH-1</t>
  </si>
  <si>
    <t>C-240
CRAH-2</t>
  </si>
  <si>
    <t>C-240
CRAH-3</t>
  </si>
  <si>
    <t>C-240
CRAH-4</t>
  </si>
  <si>
    <t>C-240
CRAH-5</t>
  </si>
  <si>
    <t>C-240
CRAH-6</t>
  </si>
  <si>
    <t>C-240
CRAH-7</t>
  </si>
  <si>
    <t>C-240
CRAH-8</t>
  </si>
  <si>
    <t>C-240
CRAH-9</t>
  </si>
  <si>
    <t>C-240
CRAH-10</t>
  </si>
  <si>
    <t>数据统计及备注：A\B\C\D\E\F\G\H\I\J01柜为双直流电源网络柜，电源取自相邻热通道列头柜直流侧</t>
  </si>
  <si>
    <t>包间机柜总数：</t>
  </si>
  <si>
    <t>测试电机柜总数：</t>
  </si>
  <si>
    <t>正式电机柜总数：</t>
  </si>
  <si>
    <t>未上电机柜总数：</t>
  </si>
  <si>
    <t>已上电机柜总数：</t>
  </si>
  <si>
    <t>EA118C楼测试电总数</t>
  </si>
  <si>
    <t>机房正式电总数</t>
  </si>
  <si>
    <t>EA118C楼正式电总数</t>
  </si>
  <si>
    <t>EA118C楼未上电机柜总数：</t>
  </si>
  <si>
    <t>EA118C楼已上电机柜总数：</t>
  </si>
  <si>
    <t>EA118C楼机柜总数：</t>
  </si>
  <si>
    <t>C-212
CRAH-1</t>
  </si>
  <si>
    <t>C-212
CRAH-2</t>
  </si>
  <si>
    <t>C-212
CRAH-3</t>
  </si>
  <si>
    <t>C-212
CRAH-4</t>
  </si>
  <si>
    <t>C-212
CRAH-5</t>
  </si>
  <si>
    <t>C-212
CRAH-6</t>
  </si>
  <si>
    <t>C-212
CRAH-7</t>
  </si>
  <si>
    <t>C-212
CRAH-8</t>
  </si>
  <si>
    <t>C-212
CRAH-9</t>
  </si>
  <si>
    <t>C-212
CRAH-10</t>
  </si>
  <si>
    <t>C-201/M2包间</t>
  </si>
  <si>
    <t>GC</t>
  </si>
  <si>
    <t>DH</t>
  </si>
  <si>
    <t>AH</t>
  </si>
  <si>
    <t>JC</t>
  </si>
  <si>
    <t>C-211
CRAH-1</t>
  </si>
  <si>
    <t>C-211
CRAH-2</t>
  </si>
  <si>
    <t>C-211
CRAH-3</t>
  </si>
  <si>
    <t>C-211
CRAH-4</t>
  </si>
  <si>
    <t>C-211
CRAH-5</t>
  </si>
  <si>
    <t>C-211
CRAH-6</t>
  </si>
  <si>
    <t>C-211
CRAH-7</t>
  </si>
  <si>
    <t>C-211
CRAH-8</t>
  </si>
  <si>
    <t>C-211
CRAH-9</t>
  </si>
  <si>
    <t>C-211
CRAH-10</t>
  </si>
  <si>
    <t>C-341
CRAH-1</t>
  </si>
  <si>
    <t>C-341
CRAH-2</t>
  </si>
  <si>
    <t>C-341
CRAH-3</t>
  </si>
  <si>
    <t>C-341
CRAH-4</t>
  </si>
  <si>
    <t>C-341
CRAH-5</t>
  </si>
  <si>
    <t>C-341
CRAH-6</t>
  </si>
  <si>
    <t>C-341
CRAH-7</t>
  </si>
  <si>
    <t>C-341
CRAH-8</t>
  </si>
  <si>
    <t>C-341
CRAH-9</t>
  </si>
  <si>
    <t>C-341
CRAH-10</t>
  </si>
  <si>
    <t>C-302/M3包间</t>
  </si>
  <si>
    <t>C-340
CRAH-1</t>
  </si>
  <si>
    <t>C-340
CRAH-2</t>
  </si>
  <si>
    <t>C-340
CRAH-3</t>
  </si>
  <si>
    <t>C-340
CRAH-4</t>
  </si>
  <si>
    <t>C-340
CRAH-5</t>
  </si>
  <si>
    <t>C-340
CRAH-6</t>
  </si>
  <si>
    <t>C-340
CRAH-7</t>
  </si>
  <si>
    <t>C-340
CRAH-8</t>
  </si>
  <si>
    <t>C-340
CRAH-9</t>
  </si>
  <si>
    <t>C-340
CRAH-10</t>
  </si>
  <si>
    <t>数据统计及备注：ABCD为双DC列头柜</t>
  </si>
  <si>
    <t>C-312
CRAH-1</t>
  </si>
  <si>
    <t>C-312
CRAH-2</t>
  </si>
  <si>
    <t>C-312
CRAH-3</t>
  </si>
  <si>
    <t>C-312
CRAH-4</t>
  </si>
  <si>
    <t>C-312
CRAH-5</t>
  </si>
  <si>
    <t>C-312
CRAH-6</t>
  </si>
  <si>
    <t>C-312
CRAH-7</t>
  </si>
  <si>
    <t>C-312
CRAH-8</t>
  </si>
  <si>
    <t>C-312
CRAH-9</t>
  </si>
  <si>
    <t>C-312
CRAH-10</t>
  </si>
  <si>
    <t>C-301/M4包间</t>
  </si>
  <si>
    <t>C-311
CRAH-1</t>
  </si>
  <si>
    <t>C-311
CRAH-2</t>
  </si>
  <si>
    <t>C-311
CRAH-3</t>
  </si>
  <si>
    <t>C-311
CRAH-4</t>
  </si>
  <si>
    <t>C-311
CRAH-5</t>
  </si>
  <si>
    <t>C-311
CRAH-6</t>
  </si>
  <si>
    <t>C-311
CRAH-7</t>
  </si>
  <si>
    <t>C-311
CRAH-8</t>
  </si>
  <si>
    <t>C-311
CRAH-9</t>
  </si>
  <si>
    <t>C-311
CRAH-10</t>
  </si>
  <si>
    <t>C-441
CRAH-1</t>
  </si>
  <si>
    <t>C-441
CRAH-2</t>
  </si>
  <si>
    <t>C-441
CRAH-3</t>
  </si>
  <si>
    <t>C-441
CRAH-4</t>
  </si>
  <si>
    <t>C-441
CRAH-5</t>
  </si>
  <si>
    <t>C-441
CRAH-6</t>
  </si>
  <si>
    <t>C-441
CRAH-7</t>
  </si>
  <si>
    <t>C-441
CRAH-8</t>
  </si>
  <si>
    <t>C-441
CRAH-9</t>
  </si>
  <si>
    <t>C-441
CRAH-10</t>
  </si>
  <si>
    <t>C-402/M5包间</t>
  </si>
  <si>
    <t>C-411
CRAH-1</t>
  </si>
  <si>
    <t>C-411
CRAH-2</t>
  </si>
  <si>
    <t>C-411
CRAH-3</t>
  </si>
  <si>
    <t>C-411
CRAH-4</t>
  </si>
  <si>
    <t>C-411
CRAH-5</t>
  </si>
  <si>
    <t>C-411
CRAH-6</t>
  </si>
  <si>
    <t>C-411
CRAH-7</t>
  </si>
  <si>
    <t>C-411
CRAH-8</t>
  </si>
  <si>
    <t>C-411
CRAH-9</t>
  </si>
  <si>
    <t>C-411
CRAH-10</t>
  </si>
  <si>
    <t>C-412
CRAH-1</t>
  </si>
  <si>
    <t>C-412
CRAH-2</t>
  </si>
  <si>
    <t>C-412
CRAH-3</t>
  </si>
  <si>
    <t>C-412
CRAH-4</t>
  </si>
  <si>
    <t>C-412
CRAH-5</t>
  </si>
  <si>
    <t>C-412
CRAH-6</t>
  </si>
  <si>
    <t>C-412
CRAH-7</t>
  </si>
  <si>
    <t>C-412
CRAH-8</t>
  </si>
  <si>
    <t>C-412
CRAH-9</t>
  </si>
  <si>
    <t>C-412
CRAH-10</t>
  </si>
  <si>
    <t>C-401/M6包间</t>
  </si>
  <si>
    <t>2026.9.2</t>
    <phoneticPr fontId="31" type="noConversion"/>
  </si>
  <si>
    <t>1、转正式电
2、转测试电
3、下测试电</t>
    <phoneticPr fontId="31" type="noConversion"/>
  </si>
  <si>
    <r>
      <t>1</t>
    </r>
    <r>
      <rPr>
        <sz val="9"/>
        <color theme="1"/>
        <rFont val="微软雅黑"/>
        <charset val="134"/>
      </rPr>
      <t>、</t>
    </r>
    <r>
      <rPr>
        <sz val="9"/>
        <color theme="1"/>
        <rFont val="Arial"/>
        <family val="2"/>
      </rPr>
      <t>2021/12/9  16:42:26
2</t>
    </r>
    <r>
      <rPr>
        <sz val="9"/>
        <color theme="1"/>
        <rFont val="微软雅黑"/>
        <charset val="134"/>
      </rPr>
      <t>、</t>
    </r>
    <r>
      <rPr>
        <sz val="9"/>
        <color theme="1"/>
        <rFont val="Arial"/>
        <family val="2"/>
      </rPr>
      <t>2023/12/7  14:50:23
3</t>
    </r>
    <r>
      <rPr>
        <sz val="9"/>
        <color theme="1"/>
        <rFont val="微软雅黑"/>
        <charset val="134"/>
      </rPr>
      <t>、</t>
    </r>
    <r>
      <rPr>
        <sz val="9"/>
        <color theme="1"/>
        <rFont val="Arial"/>
        <family val="2"/>
      </rPr>
      <t>2025/10/17  14:50:14</t>
    </r>
    <phoneticPr fontId="31" type="noConversion"/>
  </si>
  <si>
    <r>
      <t>1</t>
    </r>
    <r>
      <rPr>
        <sz val="9"/>
        <color theme="1"/>
        <rFont val="微软雅黑"/>
        <family val="2"/>
        <charset val="134"/>
      </rPr>
      <t>、</t>
    </r>
    <r>
      <rPr>
        <sz val="9"/>
        <color theme="1"/>
        <rFont val="Arial"/>
        <family val="2"/>
      </rPr>
      <t>2021/12/9  17:02:11
2</t>
    </r>
    <r>
      <rPr>
        <sz val="9"/>
        <color theme="1"/>
        <rFont val="微软雅黑"/>
        <family val="2"/>
        <charset val="134"/>
      </rPr>
      <t>、</t>
    </r>
    <r>
      <rPr>
        <sz val="9"/>
        <color theme="1"/>
        <rFont val="Arial"/>
        <family val="2"/>
      </rPr>
      <t>2023/12/7  14:50:23
3</t>
    </r>
    <r>
      <rPr>
        <sz val="9"/>
        <color theme="1"/>
        <rFont val="宋体"/>
        <family val="2"/>
        <charset val="134"/>
      </rPr>
      <t>、</t>
    </r>
    <r>
      <rPr>
        <sz val="9"/>
        <color theme="1"/>
        <rFont val="Arial"/>
        <family val="2"/>
      </rPr>
      <t>2026-09-01 14:48:25</t>
    </r>
    <phoneticPr fontId="31" type="noConversion"/>
  </si>
  <si>
    <r>
      <t>1</t>
    </r>
    <r>
      <rPr>
        <sz val="9"/>
        <color theme="1"/>
        <rFont val="宋体"/>
        <family val="2"/>
        <charset val="134"/>
      </rPr>
      <t>、</t>
    </r>
    <r>
      <rPr>
        <sz val="9"/>
        <color theme="1"/>
        <rFont val="Arial"/>
        <family val="2"/>
      </rPr>
      <t>2022/1/8  17:58:22
2</t>
    </r>
    <r>
      <rPr>
        <sz val="9"/>
        <color theme="1"/>
        <rFont val="宋体"/>
        <family val="2"/>
        <charset val="134"/>
      </rPr>
      <t>、</t>
    </r>
    <r>
      <rPr>
        <sz val="9"/>
        <color theme="1"/>
        <rFont val="Arial"/>
        <family val="2"/>
      </rPr>
      <t>2023/12/23  16:10:58
3</t>
    </r>
    <r>
      <rPr>
        <sz val="9"/>
        <color theme="1"/>
        <rFont val="宋体"/>
        <family val="2"/>
        <charset val="134"/>
      </rPr>
      <t>、</t>
    </r>
    <r>
      <rPr>
        <sz val="9"/>
        <color theme="1"/>
        <rFont val="Arial"/>
        <family val="2"/>
      </rPr>
      <t xml:space="preserve">2026-09-01 14:48:25
</t>
    </r>
    <phoneticPr fontId="31" type="noConversion"/>
  </si>
  <si>
    <r>
      <t>1</t>
    </r>
    <r>
      <rPr>
        <sz val="9"/>
        <color theme="1"/>
        <rFont val="微软雅黑"/>
        <family val="2"/>
        <charset val="134"/>
      </rPr>
      <t>、</t>
    </r>
    <r>
      <rPr>
        <sz val="9"/>
        <color theme="1"/>
        <rFont val="Arial"/>
        <family val="2"/>
      </rPr>
      <t>2021/12/8  14:28:50
2</t>
    </r>
    <r>
      <rPr>
        <sz val="9"/>
        <color theme="1"/>
        <rFont val="微软雅黑"/>
        <family val="2"/>
        <charset val="134"/>
      </rPr>
      <t>、</t>
    </r>
    <r>
      <rPr>
        <sz val="9"/>
        <color theme="1"/>
        <rFont val="Arial"/>
        <family val="2"/>
      </rPr>
      <t>2023/12/7  9:19:34
3</t>
    </r>
    <r>
      <rPr>
        <sz val="9"/>
        <color theme="1"/>
        <rFont val="宋体"/>
        <family val="2"/>
        <charset val="134"/>
      </rPr>
      <t>、</t>
    </r>
    <r>
      <rPr>
        <sz val="9"/>
        <color theme="1"/>
        <rFont val="Arial"/>
        <family val="2"/>
      </rPr>
      <t>2026-09-02 11:02:30</t>
    </r>
    <phoneticPr fontId="31" type="noConversion"/>
  </si>
  <si>
    <r>
      <t>1</t>
    </r>
    <r>
      <rPr>
        <sz val="9"/>
        <color theme="1"/>
        <rFont val="宋体"/>
        <family val="2"/>
        <charset val="134"/>
      </rPr>
      <t>、</t>
    </r>
    <r>
      <rPr>
        <sz val="9"/>
        <color theme="1"/>
        <rFont val="Arial"/>
        <family val="2"/>
      </rPr>
      <t>2022/1/7  11:03:50
2</t>
    </r>
    <r>
      <rPr>
        <sz val="9"/>
        <color theme="1"/>
        <rFont val="宋体"/>
        <family val="2"/>
        <charset val="134"/>
      </rPr>
      <t>、</t>
    </r>
    <r>
      <rPr>
        <sz val="9"/>
        <color theme="1"/>
        <rFont val="Arial"/>
        <family val="2"/>
      </rPr>
      <t>2023/12/25  15:17:51
3</t>
    </r>
    <r>
      <rPr>
        <sz val="9"/>
        <color theme="1"/>
        <rFont val="宋体"/>
        <family val="2"/>
        <charset val="134"/>
      </rPr>
      <t>、</t>
    </r>
    <r>
      <rPr>
        <sz val="9"/>
        <color theme="1"/>
        <rFont val="Arial"/>
        <family val="2"/>
      </rPr>
      <t>2026-09-02 11:02:30</t>
    </r>
    <phoneticPr fontId="3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</si>
</sst>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:mm;@"/>
  </numFmts>
  <fonts count="35" x14ac:knownFonts="1">
    <font>
      <sz val="11"/>
      <color theme="1"/>
      <name val="宋体"/>
      <charset val="134"/>
      <scheme val="minor"/>
    </font>
    <font>
      <sz val="10"/>
      <color rgb="FFFF0000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color rgb="FFFF0000"/>
      <name val="宋体"/>
      <charset val="134"/>
      <scheme val="minor"/>
    </font>
    <font>
      <sz val="10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宋体"/>
      <charset val="134"/>
      <scheme val="major"/>
    </font>
    <font>
      <sz val="11"/>
      <color theme="1"/>
      <name val="宋体"/>
      <charset val="134"/>
    </font>
    <font>
      <b/>
      <sz val="11"/>
      <color theme="1"/>
      <name val="宋体"/>
      <charset val="134"/>
    </font>
    <font>
      <sz val="9"/>
      <color theme="1"/>
      <name val="微软雅黑"/>
      <charset val="134"/>
    </font>
    <font>
      <b/>
      <sz val="9"/>
      <color theme="1"/>
      <name val="微软雅黑"/>
      <charset val="134"/>
    </font>
    <font>
      <sz val="9"/>
      <name val="微软雅黑"/>
      <charset val="134"/>
    </font>
    <font>
      <b/>
      <sz val="9"/>
      <name val="微软雅黑"/>
      <charset val="134"/>
    </font>
    <font>
      <sz val="9"/>
      <color indexed="8"/>
      <name val="微软雅黑"/>
      <charset val="134"/>
    </font>
    <font>
      <sz val="9"/>
      <color theme="1"/>
      <name val="Arial"/>
      <family val="2"/>
    </font>
    <font>
      <sz val="9"/>
      <color theme="1"/>
      <name val="宋体"/>
      <charset val="134"/>
    </font>
    <font>
      <b/>
      <sz val="11"/>
      <color theme="1"/>
      <name val="微软雅黑"/>
      <charset val="134"/>
    </font>
    <font>
      <sz val="11"/>
      <color theme="1"/>
      <name val="微软雅黑"/>
      <charset val="134"/>
    </font>
    <font>
      <b/>
      <sz val="14"/>
      <color theme="1"/>
      <name val="宋体"/>
      <charset val="134"/>
      <scheme val="minor"/>
    </font>
    <font>
      <b/>
      <sz val="20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sz val="12"/>
      <color theme="1"/>
      <name val="宋体"/>
      <charset val="134"/>
      <scheme val="minor"/>
    </font>
    <font>
      <b/>
      <sz val="11"/>
      <color theme="1"/>
      <name val="宋体"/>
      <charset val="134"/>
      <scheme val="major"/>
    </font>
    <font>
      <b/>
      <sz val="10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b/>
      <sz val="9"/>
      <name val="宋体"/>
      <charset val="134"/>
    </font>
    <font>
      <sz val="9"/>
      <name val="宋体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color theme="1"/>
      <name val="微软雅黑"/>
      <family val="2"/>
      <charset val="134"/>
    </font>
    <font>
      <sz val="9"/>
      <color theme="1"/>
      <name val="宋体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47965941343425"/>
        <bgColor indexed="64"/>
      </patternFill>
    </fill>
    <fill>
      <patternFill patternType="solid">
        <fgColor theme="3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rgb="FF000000"/>
      </bottom>
      <diagonal/>
    </border>
  </borders>
  <cellStyleXfs count="2">
    <xf numFmtId="0" fontId="0" fillId="0" borderId="0"/>
    <xf numFmtId="0" fontId="28" fillId="0" borderId="0"/>
  </cellStyleXfs>
  <cellXfs count="33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11" xfId="0" applyBorder="1"/>
    <xf numFmtId="0" fontId="0" fillId="0" borderId="0" xfId="0" applyAlignment="1">
      <alignment horizontal="right"/>
    </xf>
    <xf numFmtId="0" fontId="0" fillId="0" borderId="5" xfId="0" applyBorder="1"/>
    <xf numFmtId="0" fontId="4" fillId="0" borderId="5" xfId="0" applyFont="1" applyBorder="1"/>
    <xf numFmtId="0" fontId="4" fillId="0" borderId="0" xfId="0" applyFont="1"/>
    <xf numFmtId="0" fontId="4" fillId="0" borderId="6" xfId="0" applyFont="1" applyBorder="1"/>
    <xf numFmtId="0" fontId="0" fillId="2" borderId="4" xfId="0" applyFill="1" applyBorder="1" applyAlignment="1">
      <alignment horizontal="center"/>
    </xf>
    <xf numFmtId="0" fontId="0" fillId="0" borderId="6" xfId="0" applyBorder="1"/>
    <xf numFmtId="0" fontId="0" fillId="3" borderId="0" xfId="0" applyFill="1"/>
    <xf numFmtId="0" fontId="2" fillId="0" borderId="0" xfId="0" applyFont="1"/>
    <xf numFmtId="0" fontId="0" fillId="7" borderId="0" xfId="0" applyFill="1"/>
    <xf numFmtId="0" fontId="6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5" borderId="0" xfId="0" applyFill="1"/>
    <xf numFmtId="0" fontId="2" fillId="2" borderId="4" xfId="0" applyFont="1" applyFill="1" applyBorder="1"/>
    <xf numFmtId="0" fontId="0" fillId="4" borderId="0" xfId="0" applyFill="1"/>
    <xf numFmtId="0" fontId="0" fillId="4" borderId="4" xfId="0" applyFill="1" applyBorder="1"/>
    <xf numFmtId="0" fontId="2" fillId="2" borderId="0" xfId="0" applyFont="1" applyFill="1"/>
    <xf numFmtId="0" fontId="1" fillId="7" borderId="0" xfId="0" applyFont="1" applyFill="1" applyAlignment="1">
      <alignment vertical="center" wrapText="1"/>
    </xf>
    <xf numFmtId="0" fontId="0" fillId="0" borderId="4" xfId="0" applyBorder="1"/>
    <xf numFmtId="0" fontId="8" fillId="0" borderId="0" xfId="1" applyFont="1" applyAlignment="1">
      <alignment horizontal="center"/>
    </xf>
    <xf numFmtId="0" fontId="8" fillId="7" borderId="0" xfId="1" applyFont="1" applyFill="1" applyAlignment="1">
      <alignment horizontal="center" vertical="center"/>
    </xf>
    <xf numFmtId="0" fontId="8" fillId="7" borderId="4" xfId="1" applyFont="1" applyFill="1" applyBorder="1" applyAlignment="1">
      <alignment horizontal="center"/>
    </xf>
    <xf numFmtId="0" fontId="8" fillId="7" borderId="0" xfId="1" applyFont="1" applyFill="1" applyAlignment="1">
      <alignment horizontal="center"/>
    </xf>
    <xf numFmtId="0" fontId="9" fillId="7" borderId="4" xfId="1" applyFont="1" applyFill="1" applyBorder="1" applyAlignment="1">
      <alignment horizontal="center"/>
    </xf>
    <xf numFmtId="0" fontId="10" fillId="7" borderId="4" xfId="1" applyFont="1" applyFill="1" applyBorder="1" applyAlignment="1">
      <alignment horizontal="center"/>
    </xf>
    <xf numFmtId="0" fontId="8" fillId="7" borderId="4" xfId="1" applyFont="1" applyFill="1" applyBorder="1" applyAlignment="1">
      <alignment horizontal="center" vertical="center"/>
    </xf>
    <xf numFmtId="22" fontId="8" fillId="9" borderId="14" xfId="1" applyNumberFormat="1" applyFont="1" applyFill="1" applyBorder="1" applyAlignment="1">
      <alignment horizontal="center" vertical="center" wrapText="1"/>
    </xf>
    <xf numFmtId="0" fontId="8" fillId="9" borderId="15" xfId="1" applyFont="1" applyFill="1" applyBorder="1" applyAlignment="1">
      <alignment horizontal="center" vertical="center" wrapText="1"/>
    </xf>
    <xf numFmtId="0" fontId="11" fillId="9" borderId="15" xfId="1" applyFont="1" applyFill="1" applyBorder="1" applyAlignment="1">
      <alignment horizontal="center" vertical="center" wrapText="1"/>
    </xf>
    <xf numFmtId="22" fontId="8" fillId="7" borderId="15" xfId="1" applyNumberFormat="1" applyFont="1" applyFill="1" applyBorder="1" applyAlignment="1">
      <alignment horizontal="center" vertical="center" wrapText="1"/>
    </xf>
    <xf numFmtId="22" fontId="11" fillId="9" borderId="15" xfId="1" applyNumberFormat="1" applyFont="1" applyFill="1" applyBorder="1" applyAlignment="1">
      <alignment horizontal="center" vertical="center" wrapText="1"/>
    </xf>
    <xf numFmtId="22" fontId="8" fillId="9" borderId="15" xfId="1" applyNumberFormat="1" applyFont="1" applyFill="1" applyBorder="1" applyAlignment="1">
      <alignment horizontal="center" vertical="center" wrapText="1"/>
    </xf>
    <xf numFmtId="0" fontId="11" fillId="7" borderId="4" xfId="1" applyFont="1" applyFill="1" applyBorder="1" applyAlignment="1">
      <alignment horizontal="center" vertical="center" wrapText="1"/>
    </xf>
    <xf numFmtId="22" fontId="12" fillId="9" borderId="4" xfId="1" applyNumberFormat="1" applyFont="1" applyFill="1" applyBorder="1" applyAlignment="1">
      <alignment horizontal="center" vertical="center" wrapText="1"/>
    </xf>
    <xf numFmtId="22" fontId="10" fillId="9" borderId="4" xfId="1" applyNumberFormat="1" applyFont="1" applyFill="1" applyBorder="1" applyAlignment="1">
      <alignment horizontal="center" vertical="center" wrapText="1"/>
    </xf>
    <xf numFmtId="22" fontId="8" fillId="9" borderId="16" xfId="1" applyNumberFormat="1" applyFont="1" applyFill="1" applyBorder="1" applyAlignment="1">
      <alignment horizontal="center" vertical="center" wrapText="1"/>
    </xf>
    <xf numFmtId="0" fontId="8" fillId="9" borderId="4" xfId="1" applyFont="1" applyFill="1" applyBorder="1" applyAlignment="1">
      <alignment horizontal="center" vertical="center" wrapText="1"/>
    </xf>
    <xf numFmtId="22" fontId="13" fillId="9" borderId="14" xfId="1" applyNumberFormat="1" applyFont="1" applyFill="1" applyBorder="1" applyAlignment="1">
      <alignment horizontal="center" vertical="center" wrapText="1"/>
    </xf>
    <xf numFmtId="0" fontId="13" fillId="9" borderId="15" xfId="1" applyFont="1" applyFill="1" applyBorder="1" applyAlignment="1">
      <alignment horizontal="center" vertical="center" wrapText="1"/>
    </xf>
    <xf numFmtId="22" fontId="13" fillId="7" borderId="4" xfId="1" applyNumberFormat="1" applyFont="1" applyFill="1" applyBorder="1" applyAlignment="1">
      <alignment horizontal="center" vertical="center" wrapText="1"/>
    </xf>
    <xf numFmtId="22" fontId="13" fillId="9" borderId="15" xfId="1" applyNumberFormat="1" applyFont="1" applyFill="1" applyBorder="1" applyAlignment="1">
      <alignment horizontal="center" vertical="center" wrapText="1"/>
    </xf>
    <xf numFmtId="0" fontId="13" fillId="7" borderId="4" xfId="1" applyFont="1" applyFill="1" applyBorder="1" applyAlignment="1">
      <alignment horizontal="center" vertical="center" wrapText="1"/>
    </xf>
    <xf numFmtId="0" fontId="14" fillId="9" borderId="4" xfId="1" applyFont="1" applyFill="1" applyBorder="1" applyAlignment="1">
      <alignment horizontal="center" vertical="center" wrapText="1"/>
    </xf>
    <xf numFmtId="0" fontId="14" fillId="7" borderId="4" xfId="1" applyFont="1" applyFill="1" applyBorder="1" applyAlignment="1">
      <alignment horizontal="center"/>
    </xf>
    <xf numFmtId="22" fontId="13" fillId="7" borderId="14" xfId="1" applyNumberFormat="1" applyFont="1" applyFill="1" applyBorder="1" applyAlignment="1">
      <alignment horizontal="center" vertical="center" wrapText="1"/>
    </xf>
    <xf numFmtId="0" fontId="13" fillId="7" borderId="16" xfId="1" applyFont="1" applyFill="1" applyBorder="1" applyAlignment="1">
      <alignment horizontal="center" vertical="center" wrapText="1"/>
    </xf>
    <xf numFmtId="0" fontId="13" fillId="9" borderId="4" xfId="1" applyFont="1" applyFill="1" applyBorder="1" applyAlignment="1">
      <alignment horizontal="center" vertical="center" wrapText="1"/>
    </xf>
    <xf numFmtId="22" fontId="13" fillId="9" borderId="17" xfId="1" applyNumberFormat="1" applyFont="1" applyFill="1" applyBorder="1" applyAlignment="1">
      <alignment horizontal="center" vertical="center" wrapText="1"/>
    </xf>
    <xf numFmtId="0" fontId="13" fillId="9" borderId="18" xfId="1" applyFont="1" applyFill="1" applyBorder="1" applyAlignment="1">
      <alignment horizontal="center" vertical="center" wrapText="1"/>
    </xf>
    <xf numFmtId="0" fontId="13" fillId="9" borderId="19" xfId="1" applyFont="1" applyFill="1" applyBorder="1" applyAlignment="1">
      <alignment horizontal="center" vertical="center" wrapText="1"/>
    </xf>
    <xf numFmtId="22" fontId="13" fillId="9" borderId="18" xfId="1" applyNumberFormat="1" applyFont="1" applyFill="1" applyBorder="1" applyAlignment="1">
      <alignment horizontal="center" vertical="center" wrapText="1"/>
    </xf>
    <xf numFmtId="22" fontId="13" fillId="9" borderId="15" xfId="0" applyNumberFormat="1" applyFont="1" applyFill="1" applyBorder="1" applyAlignment="1">
      <alignment horizontal="center" vertical="center" wrapText="1"/>
    </xf>
    <xf numFmtId="22" fontId="13" fillId="9" borderId="16" xfId="1" applyNumberFormat="1" applyFont="1" applyFill="1" applyBorder="1" applyAlignment="1">
      <alignment horizontal="center" vertical="center" wrapText="1"/>
    </xf>
    <xf numFmtId="22" fontId="13" fillId="9" borderId="4" xfId="1" applyNumberFormat="1" applyFont="1" applyFill="1" applyBorder="1" applyAlignment="1">
      <alignment horizontal="center" vertical="center" wrapText="1"/>
    </xf>
    <xf numFmtId="22" fontId="13" fillId="0" borderId="4" xfId="1" applyNumberFormat="1" applyFont="1" applyBorder="1" applyAlignment="1">
      <alignment horizontal="center"/>
    </xf>
    <xf numFmtId="0" fontId="13" fillId="9" borderId="16" xfId="1" applyFont="1" applyFill="1" applyBorder="1" applyAlignment="1">
      <alignment horizontal="center" vertical="center" wrapText="1"/>
    </xf>
    <xf numFmtId="22" fontId="13" fillId="0" borderId="4" xfId="1" applyNumberFormat="1" applyFont="1" applyBorder="1" applyAlignment="1">
      <alignment horizontal="center" vertical="center"/>
    </xf>
    <xf numFmtId="22" fontId="13" fillId="0" borderId="9" xfId="1" applyNumberFormat="1" applyFont="1" applyBorder="1" applyAlignment="1">
      <alignment horizontal="center"/>
    </xf>
    <xf numFmtId="22" fontId="13" fillId="0" borderId="0" xfId="1" applyNumberFormat="1" applyFont="1" applyAlignment="1">
      <alignment horizontal="center"/>
    </xf>
    <xf numFmtId="0" fontId="13" fillId="0" borderId="4" xfId="1" applyFont="1" applyBorder="1" applyAlignment="1">
      <alignment horizontal="center" vertical="center"/>
    </xf>
    <xf numFmtId="0" fontId="13" fillId="7" borderId="15" xfId="1" applyFont="1" applyFill="1" applyBorder="1" applyAlignment="1">
      <alignment horizontal="center" vertical="center" wrapText="1"/>
    </xf>
    <xf numFmtId="22" fontId="13" fillId="7" borderId="15" xfId="1" applyNumberFormat="1" applyFont="1" applyFill="1" applyBorder="1" applyAlignment="1">
      <alignment horizontal="center" vertical="center" wrapText="1"/>
    </xf>
    <xf numFmtId="0" fontId="14" fillId="7" borderId="4" xfId="1" applyFont="1" applyFill="1" applyBorder="1" applyAlignment="1">
      <alignment horizontal="center" vertical="center" wrapText="1"/>
    </xf>
    <xf numFmtId="22" fontId="13" fillId="7" borderId="0" xfId="1" applyNumberFormat="1" applyFont="1" applyFill="1" applyAlignment="1">
      <alignment horizontal="center"/>
    </xf>
    <xf numFmtId="22" fontId="13" fillId="0" borderId="0" xfId="1" applyNumberFormat="1" applyFont="1" applyAlignment="1">
      <alignment horizontal="center" vertical="center"/>
    </xf>
    <xf numFmtId="22" fontId="13" fillId="9" borderId="25" xfId="1" applyNumberFormat="1" applyFont="1" applyFill="1" applyBorder="1" applyAlignment="1">
      <alignment horizontal="center" vertical="center" wrapText="1"/>
    </xf>
    <xf numFmtId="22" fontId="13" fillId="7" borderId="4" xfId="1" applyNumberFormat="1" applyFont="1" applyFill="1" applyBorder="1" applyAlignment="1">
      <alignment horizontal="center"/>
    </xf>
    <xf numFmtId="0" fontId="15" fillId="7" borderId="4" xfId="1" applyFont="1" applyFill="1" applyBorder="1" applyAlignment="1">
      <alignment horizontal="center" vertical="center" wrapText="1"/>
    </xf>
    <xf numFmtId="22" fontId="13" fillId="9" borderId="22" xfId="1" applyNumberFormat="1" applyFont="1" applyFill="1" applyBorder="1" applyAlignment="1">
      <alignment horizontal="center" vertical="center" wrapText="1"/>
    </xf>
    <xf numFmtId="22" fontId="13" fillId="7" borderId="12" xfId="1" applyNumberFormat="1" applyFont="1" applyFill="1" applyBorder="1" applyAlignment="1">
      <alignment horizontal="center" vertical="center" wrapText="1"/>
    </xf>
    <xf numFmtId="22" fontId="13" fillId="0" borderId="12" xfId="1" applyNumberFormat="1" applyFont="1" applyBorder="1" applyAlignment="1">
      <alignment horizontal="center"/>
    </xf>
    <xf numFmtId="22" fontId="13" fillId="9" borderId="26" xfId="1" applyNumberFormat="1" applyFont="1" applyFill="1" applyBorder="1" applyAlignment="1">
      <alignment horizontal="center" vertical="center" wrapText="1"/>
    </xf>
    <xf numFmtId="0" fontId="13" fillId="7" borderId="12" xfId="1" applyFont="1" applyFill="1" applyBorder="1" applyAlignment="1">
      <alignment horizontal="center" vertical="center" wrapText="1"/>
    </xf>
    <xf numFmtId="22" fontId="13" fillId="0" borderId="12" xfId="1" applyNumberFormat="1" applyFont="1" applyBorder="1" applyAlignment="1">
      <alignment horizontal="center" vertical="center"/>
    </xf>
    <xf numFmtId="0" fontId="13" fillId="7" borderId="4" xfId="1" applyFont="1" applyFill="1" applyBorder="1" applyAlignment="1">
      <alignment horizontal="center"/>
    </xf>
    <xf numFmtId="22" fontId="13" fillId="7" borderId="27" xfId="1" applyNumberFormat="1" applyFont="1" applyFill="1" applyBorder="1" applyAlignment="1">
      <alignment horizontal="center" vertical="center" wrapText="1"/>
    </xf>
    <xf numFmtId="22" fontId="13" fillId="0" borderId="27" xfId="1" applyNumberFormat="1" applyFont="1" applyBorder="1" applyAlignment="1">
      <alignment horizontal="center"/>
    </xf>
    <xf numFmtId="0" fontId="13" fillId="7" borderId="27" xfId="1" applyFont="1" applyFill="1" applyBorder="1" applyAlignment="1">
      <alignment horizontal="center" vertical="center" wrapText="1"/>
    </xf>
    <xf numFmtId="22" fontId="13" fillId="0" borderId="27" xfId="1" applyNumberFormat="1" applyFont="1" applyBorder="1" applyAlignment="1">
      <alignment horizontal="center" vertical="center"/>
    </xf>
    <xf numFmtId="0" fontId="13" fillId="9" borderId="12" xfId="1" applyFont="1" applyFill="1" applyBorder="1" applyAlignment="1">
      <alignment horizontal="center" vertical="center" wrapText="1"/>
    </xf>
    <xf numFmtId="0" fontId="13" fillId="9" borderId="27" xfId="1" applyFont="1" applyFill="1" applyBorder="1" applyAlignment="1">
      <alignment horizontal="center" vertical="center" wrapText="1"/>
    </xf>
    <xf numFmtId="0" fontId="13" fillId="7" borderId="18" xfId="1" applyFont="1" applyFill="1" applyBorder="1" applyAlignment="1">
      <alignment horizontal="center" vertical="center" wrapText="1"/>
    </xf>
    <xf numFmtId="22" fontId="13" fillId="9" borderId="10" xfId="1" applyNumberFormat="1" applyFont="1" applyFill="1" applyBorder="1" applyAlignment="1">
      <alignment horizontal="center" vertical="center" wrapText="1"/>
    </xf>
    <xf numFmtId="22" fontId="13" fillId="9" borderId="3" xfId="1" applyNumberFormat="1" applyFont="1" applyFill="1" applyBorder="1" applyAlignment="1">
      <alignment horizontal="center" vertical="center" wrapText="1"/>
    </xf>
    <xf numFmtId="0" fontId="13" fillId="7" borderId="12" xfId="1" applyFont="1" applyFill="1" applyBorder="1" applyAlignment="1">
      <alignment horizontal="center"/>
    </xf>
    <xf numFmtId="0" fontId="13" fillId="9" borderId="25" xfId="1" applyFont="1" applyFill="1" applyBorder="1" applyAlignment="1">
      <alignment horizontal="center" vertical="center" wrapText="1"/>
    </xf>
    <xf numFmtId="22" fontId="13" fillId="7" borderId="3" xfId="1" applyNumberFormat="1" applyFont="1" applyFill="1" applyBorder="1" applyAlignment="1">
      <alignment horizontal="center" vertical="center" wrapText="1"/>
    </xf>
    <xf numFmtId="22" fontId="13" fillId="7" borderId="17" xfId="1" applyNumberFormat="1" applyFont="1" applyFill="1" applyBorder="1" applyAlignment="1">
      <alignment horizontal="center" vertical="center" wrapText="1"/>
    </xf>
    <xf numFmtId="0" fontId="13" fillId="7" borderId="25" xfId="1" applyFont="1" applyFill="1" applyBorder="1" applyAlignment="1">
      <alignment horizontal="center" vertical="center" wrapText="1"/>
    </xf>
    <xf numFmtId="22" fontId="13" fillId="7" borderId="18" xfId="1" applyNumberFormat="1" applyFont="1" applyFill="1" applyBorder="1" applyAlignment="1">
      <alignment horizontal="center" vertical="center" wrapText="1"/>
    </xf>
    <xf numFmtId="22" fontId="13" fillId="7" borderId="12" xfId="1" applyNumberFormat="1" applyFont="1" applyFill="1" applyBorder="1" applyAlignment="1">
      <alignment horizontal="center"/>
    </xf>
    <xf numFmtId="0" fontId="13" fillId="9" borderId="9" xfId="1" applyFont="1" applyFill="1" applyBorder="1" applyAlignment="1">
      <alignment horizontal="center" vertical="center" wrapText="1"/>
    </xf>
    <xf numFmtId="0" fontId="13" fillId="7" borderId="10" xfId="1" applyFont="1" applyFill="1" applyBorder="1" applyAlignment="1">
      <alignment horizontal="center"/>
    </xf>
    <xf numFmtId="0" fontId="13" fillId="7" borderId="9" xfId="1" applyFont="1" applyFill="1" applyBorder="1" applyAlignment="1">
      <alignment horizontal="center"/>
    </xf>
    <xf numFmtId="0" fontId="13" fillId="0" borderId="4" xfId="1" applyFont="1" applyBorder="1" applyAlignment="1">
      <alignment horizontal="center" vertical="center" wrapText="1"/>
    </xf>
    <xf numFmtId="22" fontId="13" fillId="9" borderId="28" xfId="1" applyNumberFormat="1" applyFont="1" applyFill="1" applyBorder="1" applyAlignment="1">
      <alignment horizontal="center" vertical="center" wrapText="1"/>
    </xf>
    <xf numFmtId="0" fontId="13" fillId="0" borderId="27" xfId="1" applyFont="1" applyBorder="1" applyAlignment="1">
      <alignment horizontal="center" vertical="center"/>
    </xf>
    <xf numFmtId="0" fontId="13" fillId="9" borderId="7" xfId="1" applyFont="1" applyFill="1" applyBorder="1" applyAlignment="1">
      <alignment horizontal="center" vertical="center" wrapText="1"/>
    </xf>
    <xf numFmtId="22" fontId="13" fillId="7" borderId="10" xfId="1" applyNumberFormat="1" applyFont="1" applyFill="1" applyBorder="1" applyAlignment="1">
      <alignment horizontal="center" vertical="center" wrapText="1"/>
    </xf>
    <xf numFmtId="22" fontId="13" fillId="7" borderId="16" xfId="1" applyNumberFormat="1" applyFont="1" applyFill="1" applyBorder="1" applyAlignment="1">
      <alignment horizontal="center" vertical="center" wrapText="1"/>
    </xf>
    <xf numFmtId="0" fontId="13" fillId="7" borderId="9" xfId="1" applyFont="1" applyFill="1" applyBorder="1" applyAlignment="1">
      <alignment horizontal="center" vertical="center" wrapText="1"/>
    </xf>
    <xf numFmtId="0" fontId="13" fillId="7" borderId="12" xfId="1" applyFont="1" applyFill="1" applyBorder="1" applyAlignment="1">
      <alignment horizontal="center" vertical="center"/>
    </xf>
    <xf numFmtId="22" fontId="13" fillId="7" borderId="25" xfId="1" applyNumberFormat="1" applyFont="1" applyFill="1" applyBorder="1" applyAlignment="1">
      <alignment horizontal="center" vertical="center" wrapText="1"/>
    </xf>
    <xf numFmtId="22" fontId="13" fillId="7" borderId="4" xfId="1" applyNumberFormat="1" applyFont="1" applyFill="1" applyBorder="1" applyAlignment="1">
      <alignment horizontal="center" vertical="center"/>
    </xf>
    <xf numFmtId="0" fontId="13" fillId="7" borderId="3" xfId="1" applyFont="1" applyFill="1" applyBorder="1" applyAlignment="1">
      <alignment horizontal="center"/>
    </xf>
    <xf numFmtId="0" fontId="13" fillId="7" borderId="1" xfId="1" applyFont="1" applyFill="1" applyBorder="1" applyAlignment="1">
      <alignment horizontal="center"/>
    </xf>
    <xf numFmtId="22" fontId="14" fillId="9" borderId="4" xfId="1" applyNumberFormat="1" applyFont="1" applyFill="1" applyBorder="1" applyAlignment="1">
      <alignment horizontal="center" vertical="center" wrapText="1"/>
    </xf>
    <xf numFmtId="22" fontId="14" fillId="7" borderId="4" xfId="1" applyNumberFormat="1" applyFont="1" applyFill="1" applyBorder="1" applyAlignment="1">
      <alignment horizontal="center"/>
    </xf>
    <xf numFmtId="22" fontId="13" fillId="7" borderId="4" xfId="1" applyNumberFormat="1" applyFont="1" applyFill="1" applyBorder="1" applyAlignment="1">
      <alignment vertical="center" wrapText="1"/>
    </xf>
    <xf numFmtId="22" fontId="16" fillId="7" borderId="4" xfId="1" applyNumberFormat="1" applyFont="1" applyFill="1" applyBorder="1" applyAlignment="1">
      <alignment horizontal="center"/>
    </xf>
    <xf numFmtId="22" fontId="17" fillId="9" borderId="15" xfId="0" applyNumberFormat="1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22" fontId="13" fillId="7" borderId="9" xfId="1" applyNumberFormat="1" applyFont="1" applyFill="1" applyBorder="1" applyAlignment="1">
      <alignment horizontal="center"/>
    </xf>
    <xf numFmtId="22" fontId="17" fillId="9" borderId="18" xfId="0" applyNumberFormat="1" applyFont="1" applyFill="1" applyBorder="1" applyAlignment="1">
      <alignment horizontal="center" vertical="center" wrapText="1"/>
    </xf>
    <xf numFmtId="22" fontId="13" fillId="9" borderId="16" xfId="0" applyNumberFormat="1" applyFont="1" applyFill="1" applyBorder="1" applyAlignment="1">
      <alignment horizontal="center" vertical="center" wrapText="1"/>
    </xf>
    <xf numFmtId="22" fontId="13" fillId="0" borderId="0" xfId="0" applyNumberFormat="1" applyFont="1"/>
    <xf numFmtId="22" fontId="13" fillId="9" borderId="4" xfId="0" applyNumberFormat="1" applyFont="1" applyFill="1" applyBorder="1" applyAlignment="1">
      <alignment horizontal="center" wrapText="1"/>
    </xf>
    <xf numFmtId="22" fontId="14" fillId="7" borderId="10" xfId="1" applyNumberFormat="1" applyFont="1" applyFill="1" applyBorder="1" applyAlignment="1">
      <alignment horizontal="center"/>
    </xf>
    <xf numFmtId="0" fontId="14" fillId="7" borderId="10" xfId="1" applyFont="1" applyFill="1" applyBorder="1" applyAlignment="1">
      <alignment horizontal="center"/>
    </xf>
    <xf numFmtId="22" fontId="13" fillId="9" borderId="14" xfId="0" applyNumberFormat="1" applyFont="1" applyFill="1" applyBorder="1" applyAlignment="1">
      <alignment horizontal="center" vertical="center" wrapText="1"/>
    </xf>
    <xf numFmtId="22" fontId="13" fillId="7" borderId="15" xfId="0" applyNumberFormat="1" applyFont="1" applyFill="1" applyBorder="1" applyAlignment="1">
      <alignment horizontal="center" vertical="center" wrapText="1"/>
    </xf>
    <xf numFmtId="22" fontId="13" fillId="7" borderId="10" xfId="1" applyNumberFormat="1" applyFont="1" applyFill="1" applyBorder="1" applyAlignment="1">
      <alignment horizontal="center"/>
    </xf>
    <xf numFmtId="0" fontId="18" fillId="7" borderId="15" xfId="0" applyFont="1" applyFill="1" applyBorder="1" applyAlignment="1">
      <alignment horizontal="center" vertical="center" wrapText="1"/>
    </xf>
    <xf numFmtId="0" fontId="19" fillId="7" borderId="15" xfId="0" applyFont="1" applyFill="1" applyBorder="1" applyAlignment="1">
      <alignment horizontal="center" vertical="center" wrapText="1"/>
    </xf>
    <xf numFmtId="22" fontId="18" fillId="7" borderId="15" xfId="0" applyNumberFormat="1" applyFont="1" applyFill="1" applyBorder="1" applyAlignment="1">
      <alignment horizontal="center" vertical="center" wrapText="1"/>
    </xf>
    <xf numFmtId="22" fontId="18" fillId="7" borderId="16" xfId="0" applyNumberFormat="1" applyFont="1" applyFill="1" applyBorder="1" applyAlignment="1">
      <alignment horizontal="center" vertical="center" wrapText="1"/>
    </xf>
    <xf numFmtId="22" fontId="18" fillId="7" borderId="14" xfId="0" applyNumberFormat="1" applyFont="1" applyFill="1" applyBorder="1" applyAlignment="1">
      <alignment horizontal="center" vertical="center" wrapText="1"/>
    </xf>
    <xf numFmtId="0" fontId="18" fillId="0" borderId="15" xfId="0" applyFont="1" applyBorder="1" applyAlignment="1">
      <alignment horizontal="center" vertical="center" wrapText="1"/>
    </xf>
    <xf numFmtId="22" fontId="18" fillId="0" borderId="15" xfId="0" applyNumberFormat="1" applyFont="1" applyBorder="1" applyAlignment="1">
      <alignment horizontal="center" vertical="center" wrapText="1"/>
    </xf>
    <xf numFmtId="22" fontId="18" fillId="0" borderId="16" xfId="0" applyNumberFormat="1" applyFont="1" applyBorder="1" applyAlignment="1">
      <alignment horizontal="center" vertical="center" wrapText="1"/>
    </xf>
    <xf numFmtId="0" fontId="13" fillId="0" borderId="10" xfId="1" applyFont="1" applyBorder="1" applyAlignment="1">
      <alignment horizontal="center"/>
    </xf>
    <xf numFmtId="22" fontId="9" fillId="7" borderId="10" xfId="1" applyNumberFormat="1" applyFont="1" applyFill="1" applyBorder="1" applyAlignment="1">
      <alignment horizontal="center"/>
    </xf>
    <xf numFmtId="22" fontId="10" fillId="7" borderId="4" xfId="1" applyNumberFormat="1" applyFont="1" applyFill="1" applyBorder="1" applyAlignment="1">
      <alignment horizontal="center"/>
    </xf>
    <xf numFmtId="0" fontId="9" fillId="7" borderId="10" xfId="1" applyFont="1" applyFill="1" applyBorder="1" applyAlignment="1">
      <alignment horizontal="center"/>
    </xf>
    <xf numFmtId="22" fontId="20" fillId="7" borderId="10" xfId="1" applyNumberFormat="1" applyFont="1" applyFill="1" applyBorder="1" applyAlignment="1">
      <alignment horizontal="center"/>
    </xf>
    <xf numFmtId="22" fontId="20" fillId="7" borderId="4" xfId="1" applyNumberFormat="1" applyFont="1" applyFill="1" applyBorder="1" applyAlignment="1">
      <alignment horizontal="center"/>
    </xf>
    <xf numFmtId="22" fontId="9" fillId="7" borderId="4" xfId="1" applyNumberFormat="1" applyFont="1" applyFill="1" applyBorder="1" applyAlignment="1">
      <alignment horizontal="center"/>
    </xf>
    <xf numFmtId="0" fontId="21" fillId="7" borderId="4" xfId="1" applyFont="1" applyFill="1" applyBorder="1" applyAlignment="1">
      <alignment horizontal="center" wrapText="1"/>
    </xf>
    <xf numFmtId="22" fontId="20" fillId="7" borderId="4" xfId="1" applyNumberFormat="1" applyFont="1" applyFill="1" applyBorder="1" applyAlignment="1">
      <alignment horizontal="center" wrapText="1"/>
    </xf>
    <xf numFmtId="0" fontId="13" fillId="7" borderId="10" xfId="1" applyFont="1" applyFill="1" applyBorder="1" applyAlignment="1">
      <alignment horizontal="center" vertical="center"/>
    </xf>
    <xf numFmtId="0" fontId="8" fillId="3" borderId="4" xfId="1" applyFont="1" applyFill="1" applyBorder="1" applyAlignment="1">
      <alignment horizontal="center" vertical="center"/>
    </xf>
    <xf numFmtId="22" fontId="18" fillId="3" borderId="15" xfId="0" applyNumberFormat="1" applyFont="1" applyFill="1" applyBorder="1" applyAlignment="1">
      <alignment horizontal="center" vertical="center" wrapText="1"/>
    </xf>
    <xf numFmtId="0" fontId="13" fillId="3" borderId="4" xfId="1" applyFont="1" applyFill="1" applyBorder="1" applyAlignment="1">
      <alignment horizontal="center" vertical="center" wrapText="1"/>
    </xf>
    <xf numFmtId="22" fontId="8" fillId="7" borderId="4" xfId="1" applyNumberFormat="1" applyFont="1" applyFill="1" applyBorder="1" applyAlignment="1">
      <alignment horizontal="center"/>
    </xf>
    <xf numFmtId="0" fontId="28" fillId="7" borderId="0" xfId="1" applyFill="1"/>
    <xf numFmtId="0" fontId="28" fillId="7" borderId="0" xfId="1" applyFill="1" applyAlignment="1">
      <alignment vertical="center"/>
    </xf>
    <xf numFmtId="0" fontId="28" fillId="0" borderId="0" xfId="1"/>
    <xf numFmtId="0" fontId="22" fillId="7" borderId="4" xfId="1" applyFont="1" applyFill="1" applyBorder="1" applyAlignment="1">
      <alignment horizontal="center" vertical="center"/>
    </xf>
    <xf numFmtId="22" fontId="18" fillId="9" borderId="15" xfId="1" applyNumberFormat="1" applyFont="1" applyFill="1" applyBorder="1" applyAlignment="1">
      <alignment horizontal="center" vertical="center" wrapText="1"/>
    </xf>
    <xf numFmtId="0" fontId="18" fillId="9" borderId="15" xfId="1" applyFont="1" applyFill="1" applyBorder="1" applyAlignment="1">
      <alignment horizontal="center" vertical="center" wrapText="1"/>
    </xf>
    <xf numFmtId="22" fontId="18" fillId="9" borderId="18" xfId="1" applyNumberFormat="1" applyFont="1" applyFill="1" applyBorder="1" applyAlignment="1">
      <alignment horizontal="center" vertical="center" wrapText="1"/>
    </xf>
    <xf numFmtId="0" fontId="18" fillId="9" borderId="18" xfId="1" applyFont="1" applyFill="1" applyBorder="1" applyAlignment="1">
      <alignment horizontal="center" vertical="center" wrapText="1"/>
    </xf>
    <xf numFmtId="0" fontId="28" fillId="10" borderId="4" xfId="1" applyFill="1" applyBorder="1" applyAlignment="1">
      <alignment horizontal="center" vertical="center"/>
    </xf>
    <xf numFmtId="22" fontId="18" fillId="10" borderId="15" xfId="1" applyNumberFormat="1" applyFont="1" applyFill="1" applyBorder="1" applyAlignment="1">
      <alignment horizontal="center" vertical="center" wrapText="1"/>
    </xf>
    <xf numFmtId="0" fontId="18" fillId="10" borderId="15" xfId="1" applyFont="1" applyFill="1" applyBorder="1" applyAlignment="1">
      <alignment horizontal="center" vertical="center" wrapText="1"/>
    </xf>
    <xf numFmtId="0" fontId="19" fillId="7" borderId="15" xfId="1" applyFont="1" applyFill="1" applyBorder="1" applyAlignment="1">
      <alignment horizontal="center" vertical="center" wrapText="1"/>
    </xf>
    <xf numFmtId="22" fontId="18" fillId="9" borderId="16" xfId="1" applyNumberFormat="1" applyFont="1" applyFill="1" applyBorder="1" applyAlignment="1">
      <alignment horizontal="center" vertical="center" wrapText="1"/>
    </xf>
    <xf numFmtId="22" fontId="18" fillId="0" borderId="4" xfId="1" applyNumberFormat="1" applyFont="1" applyBorder="1" applyAlignment="1">
      <alignment horizontal="center"/>
    </xf>
    <xf numFmtId="0" fontId="19" fillId="10" borderId="14" xfId="1" applyFont="1" applyFill="1" applyBorder="1" applyAlignment="1">
      <alignment horizontal="center" vertical="center" wrapText="1"/>
    </xf>
    <xf numFmtId="0" fontId="18" fillId="10" borderId="16" xfId="1" applyFont="1" applyFill="1" applyBorder="1" applyAlignment="1">
      <alignment horizontal="center" vertical="center" wrapText="1"/>
    </xf>
    <xf numFmtId="0" fontId="19" fillId="10" borderId="15" xfId="1" applyFont="1" applyFill="1" applyBorder="1" applyAlignment="1">
      <alignment horizontal="center" vertical="center" wrapText="1"/>
    </xf>
    <xf numFmtId="176" fontId="18" fillId="9" borderId="16" xfId="1" applyNumberFormat="1" applyFont="1" applyFill="1" applyBorder="1" applyAlignment="1">
      <alignment vertical="center" wrapText="1"/>
    </xf>
    <xf numFmtId="22" fontId="18" fillId="9" borderId="16" xfId="1" applyNumberFormat="1" applyFont="1" applyFill="1" applyBorder="1" applyAlignment="1">
      <alignment vertical="center" wrapText="1"/>
    </xf>
    <xf numFmtId="0" fontId="28" fillId="10" borderId="12" xfId="1" applyFill="1" applyBorder="1" applyAlignment="1">
      <alignment horizontal="center" vertical="center"/>
    </xf>
    <xf numFmtId="22" fontId="18" fillId="10" borderId="18" xfId="1" applyNumberFormat="1" applyFont="1" applyFill="1" applyBorder="1" applyAlignment="1">
      <alignment horizontal="center" vertical="center" wrapText="1"/>
    </xf>
    <xf numFmtId="0" fontId="18" fillId="10" borderId="18" xfId="1" applyFont="1" applyFill="1" applyBorder="1" applyAlignment="1">
      <alignment horizontal="center" vertical="center" wrapText="1"/>
    </xf>
    <xf numFmtId="0" fontId="19" fillId="7" borderId="18" xfId="1" applyFont="1" applyFill="1" applyBorder="1" applyAlignment="1">
      <alignment horizontal="center" vertical="center" wrapText="1"/>
    </xf>
    <xf numFmtId="0" fontId="19" fillId="10" borderId="17" xfId="1" applyFont="1" applyFill="1" applyBorder="1" applyAlignment="1">
      <alignment horizontal="center" vertical="center" wrapText="1"/>
    </xf>
    <xf numFmtId="0" fontId="18" fillId="10" borderId="25" xfId="1" applyFont="1" applyFill="1" applyBorder="1" applyAlignment="1">
      <alignment horizontal="center" vertical="center" wrapText="1"/>
    </xf>
    <xf numFmtId="0" fontId="19" fillId="10" borderId="18" xfId="1" applyFont="1" applyFill="1" applyBorder="1" applyAlignment="1">
      <alignment horizontal="center" vertical="center" wrapText="1"/>
    </xf>
    <xf numFmtId="0" fontId="19" fillId="7" borderId="4" xfId="1" applyFont="1" applyFill="1" applyBorder="1" applyAlignment="1">
      <alignment horizontal="center" vertical="center" wrapText="1"/>
    </xf>
    <xf numFmtId="0" fontId="19" fillId="7" borderId="12" xfId="1" applyFont="1" applyFill="1" applyBorder="1" applyAlignment="1">
      <alignment horizontal="center" vertical="center" wrapText="1"/>
    </xf>
    <xf numFmtId="22" fontId="18" fillId="0" borderId="12" xfId="1" applyNumberFormat="1" applyFont="1" applyBorder="1" applyAlignment="1">
      <alignment horizontal="center"/>
    </xf>
    <xf numFmtId="22" fontId="18" fillId="10" borderId="4" xfId="1" applyNumberFormat="1" applyFont="1" applyFill="1" applyBorder="1" applyAlignment="1">
      <alignment horizontal="center" vertical="center" wrapText="1"/>
    </xf>
    <xf numFmtId="0" fontId="18" fillId="10" borderId="4" xfId="1" applyFont="1" applyFill="1" applyBorder="1" applyAlignment="1">
      <alignment horizontal="center" vertical="center" wrapText="1"/>
    </xf>
    <xf numFmtId="0" fontId="19" fillId="10" borderId="4" xfId="1" applyFont="1" applyFill="1" applyBorder="1" applyAlignment="1">
      <alignment horizontal="center" vertical="center" wrapText="1"/>
    </xf>
    <xf numFmtId="22" fontId="18" fillId="7" borderId="4" xfId="1" applyNumberFormat="1" applyFont="1" applyFill="1" applyBorder="1" applyAlignment="1">
      <alignment horizontal="center" vertical="center" wrapText="1"/>
    </xf>
    <xf numFmtId="0" fontId="28" fillId="7" borderId="4" xfId="1" applyFill="1" applyBorder="1" applyAlignment="1">
      <alignment horizontal="center" vertical="center"/>
    </xf>
    <xf numFmtId="0" fontId="18" fillId="7" borderId="4" xfId="1" applyFont="1" applyFill="1" applyBorder="1" applyAlignment="1">
      <alignment horizontal="center" vertical="center" wrapText="1"/>
    </xf>
    <xf numFmtId="0" fontId="13" fillId="7" borderId="4" xfId="1" applyFont="1" applyFill="1" applyBorder="1" applyAlignment="1">
      <alignment horizontal="center" vertical="center"/>
    </xf>
    <xf numFmtId="0" fontId="13" fillId="7" borderId="9" xfId="1" applyFont="1" applyFill="1" applyBorder="1" applyAlignment="1">
      <alignment horizontal="center" vertical="center"/>
    </xf>
    <xf numFmtId="22" fontId="19" fillId="7" borderId="4" xfId="1" applyNumberFormat="1" applyFont="1" applyFill="1" applyBorder="1" applyAlignment="1">
      <alignment horizontal="center" vertical="center" wrapText="1"/>
    </xf>
    <xf numFmtId="22" fontId="13" fillId="7" borderId="12" xfId="1" applyNumberFormat="1" applyFont="1" applyFill="1" applyBorder="1" applyAlignment="1">
      <alignment horizontal="center" vertical="center"/>
    </xf>
    <xf numFmtId="22" fontId="13" fillId="7" borderId="22" xfId="1" applyNumberFormat="1" applyFont="1" applyFill="1" applyBorder="1" applyAlignment="1">
      <alignment horizontal="center" vertical="center" wrapText="1"/>
    </xf>
    <xf numFmtId="22" fontId="13" fillId="7" borderId="27" xfId="1" applyNumberFormat="1" applyFont="1" applyFill="1" applyBorder="1" applyAlignment="1">
      <alignment horizontal="center" vertical="center"/>
    </xf>
    <xf numFmtId="0" fontId="13" fillId="3" borderId="10" xfId="1" applyFont="1" applyFill="1" applyBorder="1" applyAlignment="1">
      <alignment horizontal="center" vertical="center"/>
    </xf>
    <xf numFmtId="0" fontId="13" fillId="3" borderId="9" xfId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4" fillId="11" borderId="4" xfId="0" applyFont="1" applyFill="1" applyBorder="1" applyAlignment="1">
      <alignment horizontal="center" vertical="center"/>
    </xf>
    <xf numFmtId="0" fontId="24" fillId="11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25" fillId="4" borderId="4" xfId="0" applyFont="1" applyFill="1" applyBorder="1" applyAlignment="1">
      <alignment horizontal="center" vertical="center"/>
    </xf>
    <xf numFmtId="0" fontId="25" fillId="2" borderId="4" xfId="0" applyFont="1" applyFill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4" fillId="11" borderId="4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4" fillId="11" borderId="9" xfId="0" applyFont="1" applyFill="1" applyBorder="1" applyAlignment="1">
      <alignment horizontal="center" vertical="center"/>
    </xf>
    <xf numFmtId="0" fontId="24" fillId="11" borderId="13" xfId="0" applyFont="1" applyFill="1" applyBorder="1" applyAlignment="1">
      <alignment horizontal="center" vertical="center"/>
    </xf>
    <xf numFmtId="0" fontId="24" fillId="11" borderId="10" xfId="0" applyFont="1" applyFill="1" applyBorder="1" applyAlignment="1">
      <alignment horizontal="center" vertical="center"/>
    </xf>
    <xf numFmtId="0" fontId="28" fillId="7" borderId="12" xfId="1" applyFill="1" applyBorder="1" applyAlignment="1">
      <alignment horizontal="center" vertical="center"/>
    </xf>
    <xf numFmtId="0" fontId="28" fillId="7" borderId="27" xfId="1" applyFill="1" applyBorder="1" applyAlignment="1">
      <alignment horizontal="center" vertical="center"/>
    </xf>
    <xf numFmtId="0" fontId="13" fillId="9" borderId="12" xfId="1" applyFont="1" applyFill="1" applyBorder="1" applyAlignment="1">
      <alignment horizontal="center" vertical="center" wrapText="1"/>
    </xf>
    <xf numFmtId="0" fontId="13" fillId="9" borderId="27" xfId="1" applyFont="1" applyFill="1" applyBorder="1" applyAlignment="1">
      <alignment horizontal="center" vertical="center" wrapText="1"/>
    </xf>
    <xf numFmtId="0" fontId="13" fillId="0" borderId="12" xfId="1" applyFont="1" applyBorder="1" applyAlignment="1">
      <alignment horizontal="center" vertical="center" wrapText="1"/>
    </xf>
    <xf numFmtId="0" fontId="13" fillId="0" borderId="27" xfId="1" applyFont="1" applyBorder="1" applyAlignment="1">
      <alignment horizontal="center" vertical="center" wrapText="1"/>
    </xf>
    <xf numFmtId="22" fontId="13" fillId="7" borderId="20" xfId="1" applyNumberFormat="1" applyFont="1" applyFill="1" applyBorder="1" applyAlignment="1">
      <alignment horizontal="center" vertical="center" wrapText="1"/>
    </xf>
    <xf numFmtId="22" fontId="13" fillId="7" borderId="24" xfId="1" applyNumberFormat="1" applyFont="1" applyFill="1" applyBorder="1" applyAlignment="1">
      <alignment horizontal="center" vertical="center" wrapText="1"/>
    </xf>
    <xf numFmtId="22" fontId="13" fillId="9" borderId="20" xfId="1" applyNumberFormat="1" applyFont="1" applyFill="1" applyBorder="1" applyAlignment="1">
      <alignment horizontal="center" vertical="center" wrapText="1"/>
    </xf>
    <xf numFmtId="22" fontId="13" fillId="9" borderId="24" xfId="1" applyNumberFormat="1" applyFont="1" applyFill="1" applyBorder="1" applyAlignment="1">
      <alignment horizontal="center" vertical="center" wrapText="1"/>
    </xf>
    <xf numFmtId="0" fontId="13" fillId="7" borderId="19" xfId="1" applyFont="1" applyFill="1" applyBorder="1" applyAlignment="1">
      <alignment horizontal="center" vertical="center" wrapText="1"/>
    </xf>
    <xf numFmtId="0" fontId="13" fillId="7" borderId="23" xfId="1" applyFont="1" applyFill="1" applyBorder="1" applyAlignment="1">
      <alignment horizontal="center" vertical="center" wrapText="1"/>
    </xf>
    <xf numFmtId="0" fontId="13" fillId="9" borderId="19" xfId="1" applyFont="1" applyFill="1" applyBorder="1" applyAlignment="1">
      <alignment horizontal="center" vertical="center" wrapText="1"/>
    </xf>
    <xf numFmtId="0" fontId="13" fillId="9" borderId="23" xfId="1" applyFont="1" applyFill="1" applyBorder="1" applyAlignment="1">
      <alignment horizontal="center" vertical="center" wrapText="1"/>
    </xf>
    <xf numFmtId="0" fontId="13" fillId="7" borderId="12" xfId="1" applyFont="1" applyFill="1" applyBorder="1" applyAlignment="1">
      <alignment horizontal="center"/>
    </xf>
    <xf numFmtId="0" fontId="13" fillId="7" borderId="29" xfId="1" applyFont="1" applyFill="1" applyBorder="1" applyAlignment="1">
      <alignment horizontal="center"/>
    </xf>
    <xf numFmtId="0" fontId="13" fillId="7" borderId="27" xfId="1" applyFont="1" applyFill="1" applyBorder="1" applyAlignment="1">
      <alignment horizontal="center"/>
    </xf>
    <xf numFmtId="0" fontId="13" fillId="7" borderId="30" xfId="1" applyFont="1" applyFill="1" applyBorder="1" applyAlignment="1">
      <alignment horizontal="center"/>
    </xf>
    <xf numFmtId="0" fontId="19" fillId="7" borderId="18" xfId="0" applyFont="1" applyFill="1" applyBorder="1" applyAlignment="1">
      <alignment horizontal="center" vertical="center" wrapText="1"/>
    </xf>
    <xf numFmtId="0" fontId="19" fillId="7" borderId="26" xfId="0" applyFont="1" applyFill="1" applyBorder="1" applyAlignment="1">
      <alignment horizontal="center" vertical="center" wrapText="1"/>
    </xf>
    <xf numFmtId="0" fontId="19" fillId="7" borderId="22" xfId="0" applyFont="1" applyFill="1" applyBorder="1" applyAlignment="1">
      <alignment horizontal="center" vertical="center" wrapText="1"/>
    </xf>
    <xf numFmtId="0" fontId="13" fillId="7" borderId="12" xfId="1" applyFont="1" applyFill="1" applyBorder="1" applyAlignment="1">
      <alignment horizontal="center" vertical="center"/>
    </xf>
    <xf numFmtId="0" fontId="13" fillId="7" borderId="27" xfId="1" applyFont="1" applyFill="1" applyBorder="1" applyAlignment="1">
      <alignment horizontal="center" vertical="center"/>
    </xf>
    <xf numFmtId="22" fontId="13" fillId="0" borderId="12" xfId="1" applyNumberFormat="1" applyFont="1" applyBorder="1" applyAlignment="1">
      <alignment horizontal="center" vertical="center" wrapText="1"/>
    </xf>
    <xf numFmtId="0" fontId="13" fillId="7" borderId="29" xfId="1" applyFont="1" applyFill="1" applyBorder="1" applyAlignment="1">
      <alignment horizontal="center" vertical="center" wrapText="1"/>
    </xf>
    <xf numFmtId="0" fontId="13" fillId="7" borderId="27" xfId="1" applyFont="1" applyFill="1" applyBorder="1" applyAlignment="1">
      <alignment horizontal="center" vertical="center" wrapText="1"/>
    </xf>
    <xf numFmtId="0" fontId="13" fillId="7" borderId="12" xfId="1" applyFont="1" applyFill="1" applyBorder="1" applyAlignment="1">
      <alignment horizontal="center" vertical="center" wrapText="1"/>
    </xf>
    <xf numFmtId="22" fontId="17" fillId="7" borderId="3" xfId="0" applyNumberFormat="1" applyFont="1" applyFill="1" applyBorder="1" applyAlignment="1">
      <alignment horizontal="center" vertical="center" wrapText="1"/>
    </xf>
    <xf numFmtId="22" fontId="17" fillId="7" borderId="11" xfId="0" applyNumberFormat="1" applyFont="1" applyFill="1" applyBorder="1" applyAlignment="1">
      <alignment horizontal="center" vertical="center" wrapText="1"/>
    </xf>
    <xf numFmtId="22" fontId="17" fillId="7" borderId="6" xfId="0" applyNumberFormat="1" applyFont="1" applyFill="1" applyBorder="1" applyAlignment="1">
      <alignment horizontal="center" vertical="center" wrapText="1"/>
    </xf>
    <xf numFmtId="0" fontId="13" fillId="7" borderId="29" xfId="1" applyFont="1" applyFill="1" applyBorder="1" applyAlignment="1">
      <alignment horizontal="center" vertical="center"/>
    </xf>
    <xf numFmtId="0" fontId="13" fillId="0" borderId="4" xfId="1" applyFont="1" applyBorder="1" applyAlignment="1">
      <alignment horizontal="center" vertical="center"/>
    </xf>
    <xf numFmtId="0" fontId="13" fillId="9" borderId="29" xfId="1" applyFont="1" applyFill="1" applyBorder="1" applyAlignment="1">
      <alignment horizontal="center" vertical="center" wrapText="1"/>
    </xf>
    <xf numFmtId="22" fontId="13" fillId="9" borderId="3" xfId="1" applyNumberFormat="1" applyFont="1" applyFill="1" applyBorder="1" applyAlignment="1">
      <alignment horizontal="center" vertical="center" wrapText="1"/>
    </xf>
    <xf numFmtId="22" fontId="13" fillId="9" borderId="11" xfId="1" applyNumberFormat="1" applyFont="1" applyFill="1" applyBorder="1" applyAlignment="1">
      <alignment horizontal="center" vertical="center" wrapText="1"/>
    </xf>
    <xf numFmtId="0" fontId="13" fillId="7" borderId="3" xfId="1" applyFont="1" applyFill="1" applyBorder="1" applyAlignment="1">
      <alignment horizontal="center" vertical="center"/>
    </xf>
    <xf numFmtId="0" fontId="13" fillId="7" borderId="11" xfId="1" applyFont="1" applyFill="1" applyBorder="1" applyAlignment="1">
      <alignment horizontal="center" vertical="center"/>
    </xf>
    <xf numFmtId="0" fontId="13" fillId="9" borderId="18" xfId="1" applyFont="1" applyFill="1" applyBorder="1" applyAlignment="1">
      <alignment horizontal="center" vertical="center" wrapText="1"/>
    </xf>
    <xf numFmtId="0" fontId="13" fillId="9" borderId="22" xfId="1" applyFont="1" applyFill="1" applyBorder="1" applyAlignment="1">
      <alignment horizontal="center" vertical="center" wrapText="1"/>
    </xf>
    <xf numFmtId="0" fontId="13" fillId="0" borderId="4" xfId="1" applyFont="1" applyBorder="1" applyAlignment="1">
      <alignment horizontal="center" vertical="center" wrapText="1"/>
    </xf>
    <xf numFmtId="0" fontId="8" fillId="7" borderId="12" xfId="1" applyFont="1" applyFill="1" applyBorder="1" applyAlignment="1">
      <alignment horizontal="center" vertical="center"/>
    </xf>
    <xf numFmtId="0" fontId="8" fillId="7" borderId="27" xfId="1" applyFont="1" applyFill="1" applyBorder="1" applyAlignment="1">
      <alignment horizontal="center" vertical="center"/>
    </xf>
    <xf numFmtId="22" fontId="13" fillId="9" borderId="17" xfId="1" applyNumberFormat="1" applyFont="1" applyFill="1" applyBorder="1" applyAlignment="1">
      <alignment horizontal="center" vertical="center" wrapText="1"/>
    </xf>
    <xf numFmtId="22" fontId="13" fillId="9" borderId="21" xfId="1" applyNumberFormat="1" applyFont="1" applyFill="1" applyBorder="1" applyAlignment="1">
      <alignment horizontal="center" vertical="center" wrapText="1"/>
    </xf>
    <xf numFmtId="22" fontId="13" fillId="0" borderId="3" xfId="1" applyNumberFormat="1" applyFont="1" applyBorder="1" applyAlignment="1">
      <alignment horizontal="center" vertical="center" wrapText="1"/>
    </xf>
    <xf numFmtId="22" fontId="13" fillId="0" borderId="11" xfId="1" applyNumberFormat="1" applyFont="1" applyBorder="1" applyAlignment="1">
      <alignment horizontal="center" vertical="center" wrapText="1"/>
    </xf>
    <xf numFmtId="22" fontId="13" fillId="7" borderId="3" xfId="1" applyNumberFormat="1" applyFont="1" applyFill="1" applyBorder="1" applyAlignment="1">
      <alignment horizontal="center" vertical="center" wrapText="1"/>
    </xf>
    <xf numFmtId="22" fontId="13" fillId="7" borderId="11" xfId="1" applyNumberFormat="1" applyFont="1" applyFill="1" applyBorder="1" applyAlignment="1">
      <alignment horizontal="center" vertical="center" wrapText="1"/>
    </xf>
    <xf numFmtId="22" fontId="13" fillId="9" borderId="6" xfId="1" applyNumberFormat="1" applyFont="1" applyFill="1" applyBorder="1" applyAlignment="1">
      <alignment horizontal="center" vertical="center" wrapText="1"/>
    </xf>
    <xf numFmtId="0" fontId="8" fillId="7" borderId="4" xfId="1" applyFont="1" applyFill="1" applyBorder="1" applyAlignment="1">
      <alignment horizontal="center" vertical="center"/>
    </xf>
    <xf numFmtId="0" fontId="8" fillId="0" borderId="4" xfId="1" applyFont="1" applyBorder="1" applyAlignment="1">
      <alignment horizontal="center" vertical="center"/>
    </xf>
    <xf numFmtId="0" fontId="6" fillId="0" borderId="4" xfId="0" applyFont="1" applyBorder="1" applyAlignment="1">
      <alignment horizontal="center" wrapText="1"/>
    </xf>
    <xf numFmtId="0" fontId="1" fillId="0" borderId="0" xfId="0" applyFont="1" applyAlignment="1">
      <alignment vertical="center" wrapText="1"/>
    </xf>
    <xf numFmtId="0" fontId="1" fillId="8" borderId="4" xfId="0" applyFont="1" applyFill="1" applyBorder="1" applyAlignment="1">
      <alignment horizontal="left" vertical="center" wrapText="1"/>
    </xf>
    <xf numFmtId="0" fontId="1" fillId="8" borderId="12" xfId="0" applyFont="1" applyFill="1" applyBorder="1" applyAlignment="1">
      <alignment horizontal="left" vertical="center" wrapText="1"/>
    </xf>
    <xf numFmtId="0" fontId="3" fillId="0" borderId="4" xfId="0" applyFont="1" applyBorder="1" applyAlignment="1">
      <alignment horizontal="center" wrapText="1"/>
    </xf>
    <xf numFmtId="0" fontId="3" fillId="0" borderId="4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3" fillId="0" borderId="5" xfId="0" applyFont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wrapText="1"/>
    </xf>
    <xf numFmtId="0" fontId="3" fillId="0" borderId="6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1" fillId="8" borderId="1" xfId="0" applyFont="1" applyFill="1" applyBorder="1" applyAlignment="1">
      <alignment horizontal="left" vertical="center" wrapText="1"/>
    </xf>
    <xf numFmtId="0" fontId="1" fillId="8" borderId="2" xfId="0" applyFont="1" applyFill="1" applyBorder="1" applyAlignment="1">
      <alignment horizontal="left" vertical="center" wrapText="1"/>
    </xf>
    <xf numFmtId="0" fontId="1" fillId="8" borderId="3" xfId="0" applyFont="1" applyFill="1" applyBorder="1" applyAlignment="1">
      <alignment horizontal="left" vertical="center" wrapText="1"/>
    </xf>
    <xf numFmtId="0" fontId="1" fillId="8" borderId="5" xfId="0" applyFont="1" applyFill="1" applyBorder="1" applyAlignment="1">
      <alignment horizontal="left" vertical="center" wrapText="1"/>
    </xf>
    <xf numFmtId="0" fontId="1" fillId="8" borderId="0" xfId="0" applyFont="1" applyFill="1" applyAlignment="1">
      <alignment horizontal="left" vertical="center" wrapText="1"/>
    </xf>
    <xf numFmtId="0" fontId="1" fillId="8" borderId="6" xfId="0" applyFont="1" applyFill="1" applyBorder="1" applyAlignment="1">
      <alignment horizontal="left" vertical="center" wrapText="1"/>
    </xf>
    <xf numFmtId="0" fontId="1" fillId="8" borderId="7" xfId="0" applyFont="1" applyFill="1" applyBorder="1" applyAlignment="1">
      <alignment horizontal="left" vertical="center" wrapText="1"/>
    </xf>
    <xf numFmtId="0" fontId="1" fillId="8" borderId="8" xfId="0" applyFont="1" applyFill="1" applyBorder="1" applyAlignment="1">
      <alignment horizontal="left" vertical="center" wrapText="1"/>
    </xf>
    <xf numFmtId="0" fontId="1" fillId="8" borderId="11" xfId="0" applyFont="1" applyFill="1" applyBorder="1" applyAlignment="1">
      <alignment horizontal="left" vertical="center" wrapText="1"/>
    </xf>
    <xf numFmtId="0" fontId="5" fillId="8" borderId="4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0" fillId="4" borderId="4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13" fillId="0" borderId="4" xfId="1" applyFont="1" applyFill="1" applyBorder="1" applyAlignment="1">
      <alignment horizontal="center" vertical="center" wrapText="1"/>
    </xf>
    <xf numFmtId="22" fontId="18" fillId="0" borderId="15" xfId="0" applyNumberFormat="1" applyFont="1" applyFill="1" applyBorder="1" applyAlignment="1">
      <alignment horizontal="center" vertical="center" wrapText="1"/>
    </xf>
    <xf numFmtId="0" fontId="13" fillId="0" borderId="10" xfId="1" applyFont="1" applyFill="1" applyBorder="1" applyAlignment="1">
      <alignment horizontal="center" vertical="center"/>
    </xf>
    <xf numFmtId="0" fontId="13" fillId="0" borderId="9" xfId="1" applyFont="1" applyFill="1" applyBorder="1" applyAlignment="1">
      <alignment horizontal="center" vertical="center"/>
    </xf>
    <xf numFmtId="0" fontId="8" fillId="0" borderId="4" xfId="1" applyFont="1" applyFill="1" applyBorder="1" applyAlignment="1">
      <alignment horizontal="center" vertical="center"/>
    </xf>
    <xf numFmtId="0" fontId="18" fillId="0" borderId="15" xfId="0" applyFont="1" applyFill="1" applyBorder="1" applyAlignment="1">
      <alignment horizontal="center" vertical="center" wrapText="1"/>
    </xf>
    <xf numFmtId="0" fontId="19" fillId="0" borderId="15" xfId="0" applyFont="1" applyFill="1" applyBorder="1" applyAlignment="1">
      <alignment horizontal="center" vertical="center" wrapText="1"/>
    </xf>
    <xf numFmtId="0" fontId="21" fillId="0" borderId="4" xfId="1" applyFont="1" applyFill="1" applyBorder="1" applyAlignment="1">
      <alignment horizontal="center" wrapText="1"/>
    </xf>
    <xf numFmtId="22" fontId="20" fillId="0" borderId="4" xfId="1" applyNumberFormat="1" applyFont="1" applyFill="1" applyBorder="1" applyAlignment="1">
      <alignment horizontal="center" wrapText="1"/>
    </xf>
    <xf numFmtId="0" fontId="13" fillId="0" borderId="10" xfId="1" applyFont="1" applyFill="1" applyBorder="1" applyAlignment="1">
      <alignment horizontal="center"/>
    </xf>
    <xf numFmtId="0" fontId="8" fillId="0" borderId="0" xfId="1" applyFont="1" applyFill="1" applyAlignment="1">
      <alignment horizontal="center"/>
    </xf>
    <xf numFmtId="0" fontId="32" fillId="0" borderId="4" xfId="0" applyFont="1" applyBorder="1" applyAlignment="1">
      <alignment horizontal="center" vertical="center"/>
    </xf>
    <xf numFmtId="22" fontId="13" fillId="3" borderId="4" xfId="1" applyNumberFormat="1" applyFont="1" applyFill="1" applyBorder="1" applyAlignment="1">
      <alignment horizontal="center" vertical="center" wrapText="1"/>
    </xf>
    <xf numFmtId="0" fontId="13" fillId="3" borderId="4" xfId="1" applyFont="1" applyFill="1" applyBorder="1" applyAlignment="1">
      <alignment horizontal="center" vertical="center"/>
    </xf>
    <xf numFmtId="0" fontId="13" fillId="3" borderId="15" xfId="0" applyFont="1" applyFill="1" applyBorder="1" applyAlignment="1">
      <alignment horizontal="center" vertical="center" wrapText="1"/>
    </xf>
    <xf numFmtId="22" fontId="13" fillId="3" borderId="4" xfId="1" applyNumberFormat="1" applyFont="1" applyFill="1" applyBorder="1" applyAlignment="1">
      <alignment horizontal="center" vertical="center"/>
    </xf>
  </cellXfs>
  <cellStyles count="2">
    <cellStyle name="常规" xfId="0" builtinId="0"/>
    <cellStyle name="常规 2" xfId="1" xr:uid="{00000000-0005-0000-0000-000031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O27"/>
  <sheetViews>
    <sheetView zoomScale="55" zoomScaleNormal="55" workbookViewId="0">
      <selection activeCell="AF19" sqref="AF19"/>
    </sheetView>
  </sheetViews>
  <sheetFormatPr defaultColWidth="9" defaultRowHeight="14.15" x14ac:dyDescent="0.3"/>
  <cols>
    <col min="1" max="1" width="11.921875" style="198" customWidth="1"/>
    <col min="2" max="3" width="10.61328125" style="198" customWidth="1"/>
    <col min="4" max="4" width="13.53515625" style="198" customWidth="1"/>
    <col min="5" max="5" width="14.07421875" style="198" customWidth="1"/>
    <col min="6" max="6" width="12.921875" style="198" customWidth="1"/>
    <col min="7" max="7" width="13.84375" style="198" customWidth="1"/>
    <col min="8" max="8" width="16.07421875" style="198" customWidth="1"/>
    <col min="9" max="10" width="12.921875" style="198" customWidth="1"/>
    <col min="11" max="11" width="15.07421875" style="198" customWidth="1"/>
    <col min="12" max="14" width="13.84375" style="198" customWidth="1"/>
    <col min="15" max="15" width="23.61328125" style="198" customWidth="1"/>
    <col min="16" max="17" width="13.84375" style="198" customWidth="1"/>
    <col min="18" max="18" width="14.921875" style="198" customWidth="1"/>
    <col min="19" max="19" width="9.15234375" style="198" customWidth="1"/>
    <col min="20" max="20" width="10.61328125" style="198" customWidth="1"/>
    <col min="21" max="21" width="8.921875" style="198" customWidth="1"/>
    <col min="22" max="22" width="10.15234375" style="198" customWidth="1"/>
    <col min="23" max="23" width="10.53515625" style="198" customWidth="1"/>
    <col min="24" max="25" width="3.61328125" style="198" customWidth="1"/>
    <col min="26" max="26" width="9.15234375" style="198" customWidth="1"/>
    <col min="27" max="27" width="10.61328125" style="198" customWidth="1"/>
    <col min="28" max="28" width="8.921875" style="198" customWidth="1"/>
    <col min="29" max="29" width="10.15234375" style="198" customWidth="1"/>
    <col min="30" max="30" width="10.53515625" style="198" customWidth="1"/>
    <col min="31" max="39" width="3.61328125" style="198" customWidth="1"/>
    <col min="40" max="16384" width="9" style="198"/>
  </cols>
  <sheetData>
    <row r="1" spans="1:41" ht="26.15" x14ac:dyDescent="0.3">
      <c r="A1" s="222" t="s">
        <v>0</v>
      </c>
      <c r="B1" s="222"/>
      <c r="C1" s="222"/>
      <c r="D1" s="222"/>
      <c r="E1" s="222"/>
      <c r="F1" s="222"/>
      <c r="G1" s="222"/>
      <c r="H1" s="222"/>
      <c r="I1" s="222"/>
      <c r="J1" s="222"/>
    </row>
    <row r="2" spans="1:41" ht="18.649999999999999" customHeight="1" x14ac:dyDescent="0.3">
      <c r="A2" s="216" t="s">
        <v>1</v>
      </c>
      <c r="B2" s="216" t="s">
        <v>2</v>
      </c>
      <c r="C2" s="216" t="s">
        <v>3</v>
      </c>
      <c r="D2" s="216" t="s">
        <v>4</v>
      </c>
      <c r="E2" s="223" t="s">
        <v>5</v>
      </c>
      <c r="F2" s="224"/>
      <c r="G2" s="225"/>
      <c r="H2" s="216" t="s">
        <v>6</v>
      </c>
      <c r="I2" s="216"/>
      <c r="J2" s="216"/>
    </row>
    <row r="3" spans="1:41" ht="17.149999999999999" customHeight="1" x14ac:dyDescent="0.3">
      <c r="A3" s="216"/>
      <c r="B3" s="216"/>
      <c r="C3" s="216"/>
      <c r="D3" s="216"/>
      <c r="E3" s="199" t="s">
        <v>7</v>
      </c>
      <c r="F3" s="199" t="s">
        <v>3</v>
      </c>
      <c r="G3" s="199" t="s">
        <v>4</v>
      </c>
      <c r="H3" s="200" t="s">
        <v>8</v>
      </c>
      <c r="I3" s="199" t="s">
        <v>3</v>
      </c>
      <c r="J3" s="199" t="s">
        <v>4</v>
      </c>
      <c r="L3" s="216" t="s">
        <v>590</v>
      </c>
      <c r="M3" s="216"/>
      <c r="N3" s="216"/>
      <c r="O3" s="204">
        <f>'202-M1机柜平面图'!F45</f>
        <v>31</v>
      </c>
    </row>
    <row r="4" spans="1:41" ht="21" customHeight="1" x14ac:dyDescent="0.3">
      <c r="A4" s="201" t="s">
        <v>9</v>
      </c>
      <c r="B4" s="202">
        <v>170</v>
      </c>
      <c r="C4" s="202">
        <f>'202-M1机柜平面图'!F43</f>
        <v>170</v>
      </c>
      <c r="D4" s="202">
        <f>'202-M1机柜平面图'!F42</f>
        <v>0</v>
      </c>
      <c r="E4" s="202">
        <v>10</v>
      </c>
      <c r="F4" s="203">
        <v>10</v>
      </c>
      <c r="G4" s="204">
        <f t="shared" ref="G4:G9" si="0">E4-F4</f>
        <v>0</v>
      </c>
      <c r="H4" s="205">
        <f>B4-E4</f>
        <v>160</v>
      </c>
      <c r="I4" s="203">
        <v>160</v>
      </c>
      <c r="J4" s="204">
        <f>H4-I4</f>
        <v>0</v>
      </c>
      <c r="L4" s="216" t="s">
        <v>592</v>
      </c>
      <c r="M4" s="216"/>
      <c r="N4" s="216"/>
      <c r="O4" s="204">
        <f>'202-M1机柜平面图'!F46</f>
        <v>939</v>
      </c>
    </row>
    <row r="5" spans="1:41" ht="21" customHeight="1" x14ac:dyDescent="0.3">
      <c r="A5" s="201" t="s">
        <v>10</v>
      </c>
      <c r="B5" s="202">
        <v>180</v>
      </c>
      <c r="C5" s="202">
        <f>'201-M2机柜平面图 '!F43</f>
        <v>178</v>
      </c>
      <c r="D5" s="202">
        <f>'201-M2机柜平面图 '!F42</f>
        <v>2</v>
      </c>
      <c r="E5" s="202">
        <v>10</v>
      </c>
      <c r="F5" s="203">
        <v>10</v>
      </c>
      <c r="G5" s="204">
        <f t="shared" si="0"/>
        <v>0</v>
      </c>
      <c r="H5" s="205">
        <f t="shared" ref="H5:H10" si="1">B5-E5</f>
        <v>170</v>
      </c>
      <c r="I5" s="203">
        <v>168</v>
      </c>
      <c r="J5" s="204">
        <v>2</v>
      </c>
      <c r="L5" s="216" t="s">
        <v>593</v>
      </c>
      <c r="M5" s="216"/>
      <c r="N5" s="216"/>
      <c r="O5" s="204">
        <f>'202-M1机柜平面图'!F47</f>
        <v>28</v>
      </c>
    </row>
    <row r="6" spans="1:41" ht="21" customHeight="1" x14ac:dyDescent="0.3">
      <c r="A6" s="201" t="s">
        <v>11</v>
      </c>
      <c r="B6" s="202">
        <v>154</v>
      </c>
      <c r="C6" s="202">
        <f>'302-M3机柜平面图 '!F42</f>
        <v>152</v>
      </c>
      <c r="D6" s="202">
        <f>'302-M3机柜平面图 '!F41</f>
        <v>2</v>
      </c>
      <c r="E6" s="202">
        <v>58</v>
      </c>
      <c r="F6" s="206">
        <v>58</v>
      </c>
      <c r="G6" s="204">
        <f t="shared" si="0"/>
        <v>0</v>
      </c>
      <c r="H6" s="205">
        <f t="shared" si="1"/>
        <v>96</v>
      </c>
      <c r="I6" s="206">
        <v>94</v>
      </c>
      <c r="J6" s="204">
        <f t="shared" ref="J5:J10" si="2">H6-I6</f>
        <v>2</v>
      </c>
      <c r="L6" s="216" t="s">
        <v>594</v>
      </c>
      <c r="M6" s="216"/>
      <c r="N6" s="216"/>
      <c r="O6" s="204">
        <f>'202-M1机柜平面图'!F48</f>
        <v>970</v>
      </c>
    </row>
    <row r="7" spans="1:41" ht="21" customHeight="1" x14ac:dyDescent="0.3">
      <c r="A7" s="201" t="s">
        <v>12</v>
      </c>
      <c r="B7" s="202">
        <v>154</v>
      </c>
      <c r="C7" s="202">
        <f>'301-M4机柜平面图'!F42</f>
        <v>151</v>
      </c>
      <c r="D7" s="202">
        <f>'301-M4机柜平面图'!F41</f>
        <v>3</v>
      </c>
      <c r="E7" s="202">
        <v>58</v>
      </c>
      <c r="F7" s="203">
        <v>55</v>
      </c>
      <c r="G7" s="204">
        <v>3</v>
      </c>
      <c r="H7" s="205">
        <f t="shared" si="1"/>
        <v>96</v>
      </c>
      <c r="I7" s="203">
        <v>96</v>
      </c>
      <c r="J7" s="204">
        <f t="shared" si="2"/>
        <v>0</v>
      </c>
      <c r="L7" s="216" t="s">
        <v>595</v>
      </c>
      <c r="M7" s="216"/>
      <c r="N7" s="216"/>
      <c r="O7" s="204">
        <f>'202-M1机柜平面图'!F49</f>
        <v>998</v>
      </c>
    </row>
    <row r="8" spans="1:41" ht="21" customHeight="1" x14ac:dyDescent="0.3">
      <c r="A8" s="201" t="s">
        <v>13</v>
      </c>
      <c r="B8" s="202">
        <v>170</v>
      </c>
      <c r="C8" s="202">
        <f>'402-M5机柜平面图'!F43</f>
        <v>164</v>
      </c>
      <c r="D8" s="202">
        <f>'402-M5机柜平面图'!F42</f>
        <v>6</v>
      </c>
      <c r="E8" s="202">
        <v>10</v>
      </c>
      <c r="F8" s="203">
        <v>9</v>
      </c>
      <c r="G8" s="204">
        <f>E8-F8</f>
        <v>1</v>
      </c>
      <c r="H8" s="205">
        <f t="shared" si="1"/>
        <v>160</v>
      </c>
      <c r="I8" s="203">
        <v>155</v>
      </c>
      <c r="J8" s="204">
        <f t="shared" si="2"/>
        <v>5</v>
      </c>
    </row>
    <row r="9" spans="1:41" ht="21" customHeight="1" x14ac:dyDescent="0.3">
      <c r="A9" s="201" t="s">
        <v>14</v>
      </c>
      <c r="B9" s="202">
        <v>170</v>
      </c>
      <c r="C9" s="202">
        <f>'401-M6机柜平面图'!F43</f>
        <v>155</v>
      </c>
      <c r="D9" s="202">
        <f>'401-M6机柜平面图'!F42</f>
        <v>15</v>
      </c>
      <c r="E9" s="202">
        <v>10</v>
      </c>
      <c r="F9" s="203">
        <v>10</v>
      </c>
      <c r="G9" s="204">
        <f t="shared" si="0"/>
        <v>0</v>
      </c>
      <c r="H9" s="205">
        <f t="shared" si="1"/>
        <v>160</v>
      </c>
      <c r="I9" s="203">
        <v>145</v>
      </c>
      <c r="J9" s="204">
        <f t="shared" si="2"/>
        <v>15</v>
      </c>
    </row>
    <row r="10" spans="1:41" ht="21" customHeight="1" x14ac:dyDescent="0.3">
      <c r="A10" s="201" t="s">
        <v>15</v>
      </c>
      <c r="B10" s="202">
        <f t="shared" ref="B10:G10" si="3">SUM(B4:B9)</f>
        <v>998</v>
      </c>
      <c r="C10" s="207">
        <f t="shared" si="3"/>
        <v>970</v>
      </c>
      <c r="D10" s="208">
        <f t="shared" si="3"/>
        <v>28</v>
      </c>
      <c r="E10" s="202">
        <f t="shared" si="3"/>
        <v>156</v>
      </c>
      <c r="F10" s="203">
        <f t="shared" si="3"/>
        <v>152</v>
      </c>
      <c r="G10" s="204">
        <f t="shared" si="3"/>
        <v>4</v>
      </c>
      <c r="H10" s="205">
        <f t="shared" si="1"/>
        <v>842</v>
      </c>
      <c r="I10" s="203">
        <f>SUM(I4:I9)</f>
        <v>818</v>
      </c>
      <c r="J10" s="204">
        <f t="shared" si="2"/>
        <v>24</v>
      </c>
    </row>
    <row r="11" spans="1:41" s="197" customFormat="1" ht="33.75" customHeight="1" x14ac:dyDescent="0.3">
      <c r="A11" s="198"/>
      <c r="B11" s="198"/>
      <c r="C11" s="198"/>
      <c r="D11" s="198"/>
      <c r="E11" s="198"/>
      <c r="F11" s="198"/>
      <c r="G11" s="198"/>
      <c r="H11" s="198"/>
      <c r="I11" s="198"/>
      <c r="J11" s="198"/>
      <c r="K11" s="198"/>
      <c r="L11" s="198"/>
      <c r="M11" s="198"/>
      <c r="N11" s="198"/>
      <c r="O11" s="198"/>
      <c r="P11" s="198"/>
      <c r="Q11" s="198"/>
      <c r="R11" s="198"/>
      <c r="S11" s="198"/>
      <c r="T11" s="198"/>
      <c r="U11" s="198"/>
      <c r="V11" s="198"/>
      <c r="W11" s="198"/>
      <c r="X11" s="198"/>
      <c r="Y11" s="198"/>
      <c r="Z11" s="198"/>
      <c r="AA11" s="198"/>
      <c r="AB11" s="198"/>
      <c r="AC11" s="198"/>
      <c r="AD11" s="198"/>
      <c r="AE11" s="198"/>
      <c r="AF11" s="198"/>
      <c r="AG11" s="198"/>
      <c r="AH11" s="198"/>
      <c r="AI11" s="198"/>
      <c r="AJ11" s="198"/>
      <c r="AK11" s="198"/>
      <c r="AL11" s="198"/>
      <c r="AM11" s="198"/>
      <c r="AN11" s="198"/>
      <c r="AO11" s="198"/>
    </row>
    <row r="12" spans="1:41" s="197" customFormat="1" ht="35.25" customHeight="1" x14ac:dyDescent="0.3">
      <c r="A12" s="217" t="s">
        <v>16</v>
      </c>
      <c r="B12" s="218"/>
      <c r="C12" s="218"/>
      <c r="D12" s="219"/>
      <c r="E12" s="198"/>
      <c r="F12" s="198"/>
      <c r="G12" s="217" t="s">
        <v>17</v>
      </c>
      <c r="H12" s="218"/>
      <c r="I12" s="218"/>
      <c r="J12" s="219"/>
      <c r="K12" s="198"/>
      <c r="L12" s="198"/>
      <c r="M12" s="217" t="s">
        <v>18</v>
      </c>
      <c r="N12" s="218"/>
      <c r="O12" s="218"/>
      <c r="P12" s="219"/>
      <c r="Q12" s="198"/>
      <c r="R12" s="198"/>
      <c r="S12" s="220" t="s">
        <v>19</v>
      </c>
      <c r="T12" s="218"/>
      <c r="U12" s="218"/>
      <c r="V12" s="219"/>
      <c r="W12" s="198"/>
      <c r="X12" s="198"/>
      <c r="Y12" s="198"/>
      <c r="Z12" s="221" t="s">
        <v>20</v>
      </c>
      <c r="AA12" s="218"/>
      <c r="AB12" s="218"/>
      <c r="AC12" s="219"/>
      <c r="AD12" s="198"/>
      <c r="AE12" s="198"/>
      <c r="AF12" s="198"/>
      <c r="AG12" s="198"/>
      <c r="AH12" s="198"/>
      <c r="AI12" s="198"/>
      <c r="AJ12" s="198"/>
      <c r="AK12" s="198"/>
      <c r="AL12" s="198"/>
      <c r="AM12" s="198"/>
      <c r="AN12" s="198"/>
      <c r="AO12" s="198"/>
    </row>
    <row r="13" spans="1:41" s="197" customFormat="1" ht="29.15" customHeight="1" x14ac:dyDescent="0.3">
      <c r="A13" s="209" t="s">
        <v>21</v>
      </c>
      <c r="B13" s="209" t="s">
        <v>22</v>
      </c>
      <c r="C13" s="210" t="s">
        <v>23</v>
      </c>
      <c r="D13" s="210" t="s">
        <v>24</v>
      </c>
      <c r="E13" s="210" t="s">
        <v>25</v>
      </c>
      <c r="F13" s="198"/>
      <c r="G13" s="209" t="s">
        <v>21</v>
      </c>
      <c r="H13" s="209" t="s">
        <v>22</v>
      </c>
      <c r="I13" s="210" t="s">
        <v>23</v>
      </c>
      <c r="J13" s="210" t="s">
        <v>24</v>
      </c>
      <c r="K13" s="210" t="s">
        <v>25</v>
      </c>
      <c r="L13" s="198"/>
      <c r="M13" s="209" t="s">
        <v>21</v>
      </c>
      <c r="N13" s="209" t="s">
        <v>22</v>
      </c>
      <c r="O13" s="210" t="s">
        <v>23</v>
      </c>
      <c r="P13" s="210" t="s">
        <v>24</v>
      </c>
      <c r="Q13" s="210" t="s">
        <v>25</v>
      </c>
      <c r="R13" s="198"/>
      <c r="S13" s="209" t="s">
        <v>21</v>
      </c>
      <c r="T13" s="209" t="s">
        <v>22</v>
      </c>
      <c r="U13" s="210" t="s">
        <v>23</v>
      </c>
      <c r="V13" s="210" t="s">
        <v>24</v>
      </c>
      <c r="W13" s="210" t="s">
        <v>25</v>
      </c>
      <c r="X13" s="198"/>
      <c r="Y13" s="198"/>
      <c r="Z13" s="209" t="s">
        <v>21</v>
      </c>
      <c r="AA13" s="209" t="s">
        <v>22</v>
      </c>
      <c r="AB13" s="210" t="s">
        <v>23</v>
      </c>
      <c r="AC13" s="210" t="s">
        <v>24</v>
      </c>
      <c r="AD13" s="210" t="s">
        <v>25</v>
      </c>
      <c r="AE13" s="198"/>
      <c r="AF13" s="198"/>
      <c r="AG13" s="198"/>
      <c r="AH13" s="198"/>
      <c r="AI13" s="198"/>
      <c r="AJ13" s="198"/>
      <c r="AK13" s="198"/>
      <c r="AL13" s="198"/>
      <c r="AM13" s="198"/>
      <c r="AN13" s="198"/>
      <c r="AO13" s="198"/>
    </row>
    <row r="14" spans="1:41" s="197" customFormat="1" ht="21" customHeight="1" x14ac:dyDescent="0.3">
      <c r="A14" s="211">
        <v>1</v>
      </c>
      <c r="B14" s="212" t="s">
        <v>26</v>
      </c>
      <c r="C14" s="204">
        <v>16</v>
      </c>
      <c r="D14" s="213"/>
      <c r="E14" s="204">
        <v>743</v>
      </c>
      <c r="F14" s="198"/>
      <c r="G14" s="211">
        <v>1</v>
      </c>
      <c r="H14" s="204" t="s">
        <v>27</v>
      </c>
      <c r="I14" s="204">
        <v>12</v>
      </c>
      <c r="J14" s="204"/>
      <c r="K14" s="204">
        <v>752</v>
      </c>
      <c r="L14" s="198"/>
      <c r="M14" s="211">
        <v>1</v>
      </c>
      <c r="N14" s="204" t="s">
        <v>28</v>
      </c>
      <c r="O14" s="204">
        <v>2</v>
      </c>
      <c r="P14" s="204"/>
      <c r="Q14" s="204">
        <v>902</v>
      </c>
      <c r="R14" s="198"/>
      <c r="S14" s="211">
        <v>1</v>
      </c>
      <c r="T14" s="204" t="s">
        <v>29</v>
      </c>
      <c r="U14" s="204">
        <v>2</v>
      </c>
      <c r="V14" s="204"/>
      <c r="W14" s="204">
        <v>943</v>
      </c>
      <c r="X14" s="198"/>
      <c r="Y14" s="198"/>
      <c r="Z14" s="211">
        <v>1</v>
      </c>
      <c r="AA14" s="214" t="s">
        <v>30</v>
      </c>
      <c r="AB14" s="204">
        <v>1</v>
      </c>
      <c r="AC14" s="204"/>
      <c r="AD14" s="204">
        <v>973</v>
      </c>
      <c r="AE14" s="198"/>
      <c r="AF14" s="198"/>
      <c r="AG14" s="198"/>
      <c r="AH14" s="198"/>
      <c r="AI14" s="198"/>
      <c r="AJ14" s="198"/>
      <c r="AK14" s="198"/>
      <c r="AL14" s="198"/>
      <c r="AM14" s="198"/>
      <c r="AN14" s="198"/>
      <c r="AO14" s="198"/>
    </row>
    <row r="15" spans="1:41" s="197" customFormat="1" ht="21" customHeight="1" x14ac:dyDescent="0.3">
      <c r="A15" s="211">
        <v>2</v>
      </c>
      <c r="B15" s="204" t="s">
        <v>31</v>
      </c>
      <c r="C15" s="204">
        <v>4</v>
      </c>
      <c r="D15" s="213"/>
      <c r="E15" s="204">
        <v>747</v>
      </c>
      <c r="F15" s="198"/>
      <c r="G15" s="211">
        <v>2</v>
      </c>
      <c r="H15" s="204" t="s">
        <v>32</v>
      </c>
      <c r="I15" s="204">
        <v>10</v>
      </c>
      <c r="J15" s="204"/>
      <c r="K15" s="204">
        <v>762</v>
      </c>
      <c r="L15" s="198"/>
      <c r="M15" s="211">
        <v>2</v>
      </c>
      <c r="N15" s="204" t="s">
        <v>33</v>
      </c>
      <c r="O15" s="204">
        <v>12</v>
      </c>
      <c r="P15" s="204"/>
      <c r="Q15" s="204">
        <v>914</v>
      </c>
      <c r="R15" s="198"/>
      <c r="S15" s="211">
        <v>2</v>
      </c>
      <c r="T15" s="204" t="s">
        <v>34</v>
      </c>
      <c r="U15" s="204">
        <v>10</v>
      </c>
      <c r="V15" s="204"/>
      <c r="W15" s="204">
        <v>953</v>
      </c>
      <c r="X15" s="198"/>
      <c r="Y15" s="198"/>
      <c r="Z15" s="211">
        <v>2</v>
      </c>
      <c r="AA15" s="214" t="s">
        <v>35</v>
      </c>
      <c r="AB15" s="204"/>
      <c r="AC15" s="204">
        <v>1</v>
      </c>
      <c r="AD15" s="204">
        <v>972</v>
      </c>
      <c r="AE15" s="198"/>
      <c r="AF15" s="198"/>
      <c r="AG15" s="198"/>
      <c r="AH15" s="198"/>
      <c r="AI15" s="198"/>
      <c r="AJ15" s="198"/>
      <c r="AK15" s="198"/>
      <c r="AL15" s="198"/>
      <c r="AM15" s="198"/>
      <c r="AN15" s="198"/>
      <c r="AO15" s="198"/>
    </row>
    <row r="16" spans="1:41" s="197" customFormat="1" ht="21" customHeight="1" x14ac:dyDescent="0.3">
      <c r="A16" s="211">
        <v>3</v>
      </c>
      <c r="B16" s="204" t="s">
        <v>36</v>
      </c>
      <c r="C16" s="204"/>
      <c r="D16" s="204">
        <v>10</v>
      </c>
      <c r="E16" s="204">
        <v>737</v>
      </c>
      <c r="F16" s="198"/>
      <c r="G16" s="211">
        <v>3</v>
      </c>
      <c r="H16" s="204" t="s">
        <v>37</v>
      </c>
      <c r="I16" s="204">
        <v>2</v>
      </c>
      <c r="J16" s="204"/>
      <c r="K16" s="204">
        <v>764</v>
      </c>
      <c r="L16" s="198"/>
      <c r="M16" s="211">
        <v>3</v>
      </c>
      <c r="N16" s="204" t="s">
        <v>38</v>
      </c>
      <c r="O16" s="204">
        <v>6</v>
      </c>
      <c r="P16" s="204"/>
      <c r="Q16" s="204">
        <v>920</v>
      </c>
      <c r="R16" s="198"/>
      <c r="S16" s="211">
        <v>3</v>
      </c>
      <c r="T16" s="204" t="s">
        <v>39</v>
      </c>
      <c r="U16" s="204"/>
      <c r="V16" s="204">
        <v>10</v>
      </c>
      <c r="W16" s="204">
        <v>943</v>
      </c>
      <c r="X16" s="198"/>
      <c r="Y16" s="198"/>
      <c r="Z16" s="211">
        <v>2</v>
      </c>
      <c r="AA16" s="326" t="s">
        <v>696</v>
      </c>
      <c r="AB16" s="204"/>
      <c r="AC16" s="204">
        <v>2</v>
      </c>
      <c r="AD16" s="204">
        <v>970</v>
      </c>
      <c r="AE16" s="198"/>
      <c r="AF16" s="198"/>
      <c r="AG16" s="198"/>
      <c r="AH16" s="198"/>
      <c r="AI16" s="198"/>
      <c r="AJ16" s="198"/>
      <c r="AK16" s="198"/>
      <c r="AL16" s="198"/>
      <c r="AM16" s="198"/>
      <c r="AN16" s="198"/>
      <c r="AO16" s="198"/>
    </row>
    <row r="17" spans="1:41" s="197" customFormat="1" ht="21" customHeight="1" x14ac:dyDescent="0.3">
      <c r="A17" s="211">
        <v>4</v>
      </c>
      <c r="B17" s="204" t="s">
        <v>40</v>
      </c>
      <c r="C17" s="204">
        <v>7</v>
      </c>
      <c r="D17" s="213"/>
      <c r="E17" s="204">
        <v>744</v>
      </c>
      <c r="F17" s="198"/>
      <c r="G17" s="211">
        <v>4</v>
      </c>
      <c r="H17" s="204" t="s">
        <v>41</v>
      </c>
      <c r="I17" s="204">
        <v>20</v>
      </c>
      <c r="J17" s="204"/>
      <c r="K17" s="204">
        <v>784</v>
      </c>
      <c r="L17" s="198"/>
      <c r="M17" s="211">
        <v>4</v>
      </c>
      <c r="N17" s="204" t="s">
        <v>42</v>
      </c>
      <c r="O17" s="204">
        <v>22</v>
      </c>
      <c r="P17" s="213"/>
      <c r="Q17" s="204">
        <v>942</v>
      </c>
      <c r="R17" s="198"/>
      <c r="S17" s="211">
        <v>4</v>
      </c>
      <c r="T17" s="204" t="s">
        <v>43</v>
      </c>
      <c r="U17" s="204">
        <v>10</v>
      </c>
      <c r="V17" s="204"/>
      <c r="W17" s="204">
        <v>953</v>
      </c>
      <c r="X17" s="198"/>
      <c r="Y17" s="198"/>
      <c r="Z17" s="211"/>
      <c r="AA17" s="204"/>
      <c r="AB17" s="204"/>
      <c r="AC17" s="204"/>
      <c r="AD17" s="204"/>
      <c r="AE17" s="198"/>
      <c r="AF17" s="198"/>
      <c r="AG17" s="198"/>
      <c r="AH17" s="198"/>
      <c r="AI17" s="198"/>
      <c r="AJ17" s="198"/>
      <c r="AK17" s="198"/>
      <c r="AL17" s="198"/>
      <c r="AM17" s="198"/>
      <c r="AN17" s="198"/>
      <c r="AO17" s="198"/>
    </row>
    <row r="18" spans="1:41" s="197" customFormat="1" ht="21" customHeight="1" x14ac:dyDescent="0.3">
      <c r="A18" s="211">
        <v>5</v>
      </c>
      <c r="B18" s="204" t="s">
        <v>44</v>
      </c>
      <c r="C18" s="204">
        <v>2</v>
      </c>
      <c r="D18" s="213"/>
      <c r="E18" s="204">
        <v>746</v>
      </c>
      <c r="F18" s="198"/>
      <c r="G18" s="211">
        <v>5</v>
      </c>
      <c r="H18" s="204" t="s">
        <v>45</v>
      </c>
      <c r="I18" s="204">
        <v>7</v>
      </c>
      <c r="J18" s="204"/>
      <c r="K18" s="204">
        <v>791</v>
      </c>
      <c r="L18" s="198"/>
      <c r="M18" s="211">
        <v>5</v>
      </c>
      <c r="N18" s="204" t="s">
        <v>46</v>
      </c>
      <c r="O18" s="204"/>
      <c r="P18" s="213">
        <v>4</v>
      </c>
      <c r="Q18" s="204">
        <v>938</v>
      </c>
      <c r="R18" s="198"/>
      <c r="S18" s="211">
        <v>5</v>
      </c>
      <c r="T18" s="204" t="s">
        <v>47</v>
      </c>
      <c r="U18" s="204">
        <v>1</v>
      </c>
      <c r="V18" s="204"/>
      <c r="W18" s="204">
        <v>954</v>
      </c>
      <c r="X18" s="198"/>
      <c r="Y18" s="198"/>
      <c r="Z18" s="211"/>
      <c r="AA18" s="204"/>
      <c r="AB18" s="204"/>
      <c r="AC18" s="204"/>
      <c r="AD18" s="204"/>
      <c r="AE18" s="198"/>
      <c r="AF18" s="198"/>
      <c r="AG18" s="198"/>
      <c r="AH18" s="198"/>
      <c r="AI18" s="198"/>
      <c r="AJ18" s="198"/>
      <c r="AK18" s="198"/>
      <c r="AL18" s="198"/>
      <c r="AM18" s="198"/>
      <c r="AN18" s="198"/>
      <c r="AO18" s="198"/>
    </row>
    <row r="19" spans="1:41" ht="21" customHeight="1" x14ac:dyDescent="0.3">
      <c r="A19" s="211">
        <v>6</v>
      </c>
      <c r="B19" s="204" t="s">
        <v>48</v>
      </c>
      <c r="C19" s="204">
        <v>4</v>
      </c>
      <c r="D19" s="204"/>
      <c r="E19" s="204">
        <v>750</v>
      </c>
      <c r="G19" s="211">
        <v>6</v>
      </c>
      <c r="H19" s="204" t="s">
        <v>49</v>
      </c>
      <c r="I19" s="204">
        <v>1</v>
      </c>
      <c r="J19" s="204"/>
      <c r="K19" s="204">
        <v>792</v>
      </c>
      <c r="M19" s="211">
        <v>6</v>
      </c>
      <c r="N19" s="204" t="s">
        <v>50</v>
      </c>
      <c r="O19" s="204"/>
      <c r="P19" s="204">
        <v>1</v>
      </c>
      <c r="Q19" s="204">
        <v>937</v>
      </c>
      <c r="S19" s="211">
        <v>6</v>
      </c>
      <c r="T19" s="204" t="s">
        <v>51</v>
      </c>
      <c r="U19" s="204">
        <v>4</v>
      </c>
      <c r="V19" s="204"/>
      <c r="W19" s="204">
        <v>958</v>
      </c>
      <c r="Z19" s="211"/>
      <c r="AA19" s="204"/>
      <c r="AB19" s="204"/>
      <c r="AC19" s="204"/>
      <c r="AD19" s="204"/>
    </row>
    <row r="20" spans="1:41" ht="21" customHeight="1" x14ac:dyDescent="0.3">
      <c r="A20" s="211">
        <v>7</v>
      </c>
      <c r="B20" s="204" t="s">
        <v>52</v>
      </c>
      <c r="C20" s="204">
        <v>2</v>
      </c>
      <c r="D20" s="204"/>
      <c r="E20" s="204">
        <v>752</v>
      </c>
      <c r="G20" s="211">
        <v>7</v>
      </c>
      <c r="H20" s="204" t="s">
        <v>53</v>
      </c>
      <c r="I20" s="204">
        <v>4</v>
      </c>
      <c r="J20" s="204"/>
      <c r="K20" s="204">
        <v>796</v>
      </c>
      <c r="M20" s="211">
        <v>7</v>
      </c>
      <c r="N20" s="204" t="s">
        <v>54</v>
      </c>
      <c r="O20" s="204">
        <v>2</v>
      </c>
      <c r="P20" s="204"/>
      <c r="Q20" s="204">
        <v>939</v>
      </c>
      <c r="S20" s="211">
        <v>7</v>
      </c>
      <c r="T20" s="204" t="s">
        <v>55</v>
      </c>
      <c r="U20" s="204">
        <v>5</v>
      </c>
      <c r="V20" s="204"/>
      <c r="W20" s="204">
        <v>963</v>
      </c>
      <c r="Z20" s="211"/>
      <c r="AA20" s="204"/>
      <c r="AB20" s="204"/>
      <c r="AC20" s="204"/>
      <c r="AD20" s="204"/>
    </row>
    <row r="21" spans="1:41" ht="21" customHeight="1" x14ac:dyDescent="0.3">
      <c r="A21" s="211">
        <v>8</v>
      </c>
      <c r="B21" s="204" t="s">
        <v>56</v>
      </c>
      <c r="C21" s="204"/>
      <c r="D21" s="204">
        <v>12</v>
      </c>
      <c r="E21" s="204">
        <v>740</v>
      </c>
      <c r="G21" s="211">
        <v>8</v>
      </c>
      <c r="H21" s="204" t="s">
        <v>57</v>
      </c>
      <c r="I21" s="204">
        <v>6</v>
      </c>
      <c r="J21" s="204"/>
      <c r="K21" s="204">
        <v>802</v>
      </c>
      <c r="M21" s="211">
        <v>8</v>
      </c>
      <c r="N21" s="204" t="s">
        <v>58</v>
      </c>
      <c r="O21" s="204">
        <v>2</v>
      </c>
      <c r="P21" s="204"/>
      <c r="Q21" s="204">
        <v>941</v>
      </c>
      <c r="S21" s="211">
        <v>8</v>
      </c>
      <c r="T21" s="204" t="s">
        <v>59</v>
      </c>
      <c r="U21" s="204">
        <v>15</v>
      </c>
      <c r="V21" s="204"/>
      <c r="W21" s="204">
        <v>978</v>
      </c>
      <c r="Z21" s="211"/>
      <c r="AA21" s="204"/>
      <c r="AB21" s="204"/>
      <c r="AC21" s="204"/>
      <c r="AD21" s="204"/>
    </row>
    <row r="22" spans="1:41" ht="21" customHeight="1" x14ac:dyDescent="0.3">
      <c r="A22" s="215"/>
      <c r="G22" s="211">
        <v>9</v>
      </c>
      <c r="H22" s="204" t="s">
        <v>60</v>
      </c>
      <c r="I22" s="204">
        <v>1</v>
      </c>
      <c r="J22" s="204"/>
      <c r="K22" s="204">
        <v>803</v>
      </c>
      <c r="M22" s="215"/>
      <c r="S22" s="211">
        <v>9</v>
      </c>
      <c r="T22" s="204" t="s">
        <v>61</v>
      </c>
      <c r="U22" s="204">
        <v>10</v>
      </c>
      <c r="V22" s="204"/>
      <c r="W22" s="204">
        <v>988</v>
      </c>
      <c r="Z22" s="211"/>
      <c r="AA22" s="204"/>
      <c r="AB22" s="204"/>
      <c r="AC22" s="204"/>
      <c r="AD22" s="204"/>
    </row>
    <row r="23" spans="1:41" ht="21" customHeight="1" x14ac:dyDescent="0.3">
      <c r="A23" s="215"/>
      <c r="G23" s="211">
        <v>10</v>
      </c>
      <c r="H23" s="204" t="s">
        <v>62</v>
      </c>
      <c r="I23" s="204">
        <v>31</v>
      </c>
      <c r="J23" s="204"/>
      <c r="K23" s="204">
        <v>834</v>
      </c>
      <c r="M23" s="215"/>
      <c r="S23" s="211">
        <v>10</v>
      </c>
      <c r="T23" s="204" t="s">
        <v>63</v>
      </c>
      <c r="U23" s="204">
        <v>5</v>
      </c>
      <c r="V23" s="204"/>
      <c r="W23" s="204">
        <v>993</v>
      </c>
      <c r="Z23" s="211"/>
      <c r="AA23" s="204"/>
      <c r="AB23" s="204"/>
      <c r="AC23" s="204"/>
      <c r="AD23" s="204"/>
    </row>
    <row r="24" spans="1:41" ht="21" customHeight="1" x14ac:dyDescent="0.3">
      <c r="A24" s="215"/>
      <c r="G24" s="211">
        <v>11</v>
      </c>
      <c r="H24" s="204" t="s">
        <v>64</v>
      </c>
      <c r="I24" s="204">
        <v>36</v>
      </c>
      <c r="J24" s="204"/>
      <c r="K24" s="204">
        <v>870</v>
      </c>
      <c r="M24" s="215"/>
      <c r="S24" s="211">
        <v>11</v>
      </c>
      <c r="T24" s="204" t="s">
        <v>65</v>
      </c>
      <c r="U24" s="204"/>
      <c r="V24" s="204">
        <v>6</v>
      </c>
      <c r="W24" s="204">
        <v>987</v>
      </c>
      <c r="Z24" s="211"/>
      <c r="AA24" s="204"/>
      <c r="AB24" s="204"/>
      <c r="AC24" s="204"/>
      <c r="AD24" s="204"/>
    </row>
    <row r="25" spans="1:41" ht="21" customHeight="1" x14ac:dyDescent="0.3">
      <c r="A25" s="215"/>
      <c r="G25" s="211">
        <v>12</v>
      </c>
      <c r="H25" s="204" t="s">
        <v>66</v>
      </c>
      <c r="I25" s="204">
        <v>7</v>
      </c>
      <c r="J25" s="204"/>
      <c r="K25" s="204">
        <v>877</v>
      </c>
      <c r="M25" s="215"/>
      <c r="S25" s="211">
        <v>12</v>
      </c>
      <c r="T25" s="204" t="s">
        <v>67</v>
      </c>
      <c r="U25" s="204">
        <v>1</v>
      </c>
      <c r="V25" s="204"/>
      <c r="W25" s="204">
        <v>988</v>
      </c>
      <c r="Z25" s="211"/>
      <c r="AA25" s="204"/>
      <c r="AB25" s="204"/>
      <c r="AC25" s="204"/>
      <c r="AD25" s="204"/>
    </row>
    <row r="26" spans="1:41" ht="21" customHeight="1" x14ac:dyDescent="0.3">
      <c r="A26" s="215"/>
      <c r="G26" s="211">
        <v>13</v>
      </c>
      <c r="H26" s="204" t="s">
        <v>68</v>
      </c>
      <c r="I26" s="204">
        <v>1</v>
      </c>
      <c r="J26" s="204"/>
      <c r="K26" s="204">
        <v>878</v>
      </c>
      <c r="M26" s="215"/>
      <c r="S26" s="211">
        <v>13</v>
      </c>
      <c r="T26" s="204" t="s">
        <v>69</v>
      </c>
      <c r="U26" s="204"/>
      <c r="V26" s="204">
        <v>16</v>
      </c>
      <c r="W26" s="204">
        <v>972</v>
      </c>
      <c r="Z26" s="211"/>
      <c r="AA26" s="204"/>
      <c r="AB26" s="204"/>
      <c r="AC26" s="204"/>
      <c r="AD26" s="204"/>
    </row>
    <row r="27" spans="1:41" ht="21" customHeight="1" x14ac:dyDescent="0.3">
      <c r="A27" s="215"/>
      <c r="G27" s="211">
        <v>14</v>
      </c>
      <c r="H27" s="204" t="s">
        <v>70</v>
      </c>
      <c r="I27" s="204">
        <v>22</v>
      </c>
      <c r="J27" s="204"/>
      <c r="K27" s="204">
        <v>900</v>
      </c>
      <c r="M27" s="215"/>
    </row>
  </sheetData>
  <mergeCells count="17">
    <mergeCell ref="A1:J1"/>
    <mergeCell ref="E2:G2"/>
    <mergeCell ref="H2:J2"/>
    <mergeCell ref="A12:D12"/>
    <mergeCell ref="G12:J12"/>
    <mergeCell ref="L7:N7"/>
    <mergeCell ref="M12:P12"/>
    <mergeCell ref="S12:V12"/>
    <mergeCell ref="Z12:AC12"/>
    <mergeCell ref="A2:A3"/>
    <mergeCell ref="B2:B3"/>
    <mergeCell ref="C2:C3"/>
    <mergeCell ref="D2:D3"/>
    <mergeCell ref="L3:N3"/>
    <mergeCell ref="L4:N4"/>
    <mergeCell ref="L5:N5"/>
    <mergeCell ref="L6:N6"/>
  </mergeCells>
  <phoneticPr fontId="31" type="noConversion"/>
  <pageMargins left="0.7" right="0.7" top="0.75" bottom="0.75" header="0.3" footer="0.3"/>
  <pageSetup paperSize="9" orientation="portrait"/>
  <ignoredErrors>
    <ignoredError sqref="H10" formula="1"/>
  </ignoredErrors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 filterMode="1"/>
  <dimension ref="A1:M155"/>
  <sheetViews>
    <sheetView tabSelected="1" zoomScale="50" zoomScaleNormal="50" workbookViewId="0">
      <pane ySplit="1" topLeftCell="A138" activePane="bottomLeft" state="frozen"/>
      <selection pane="bottomLeft" activeCell="U153" sqref="U153"/>
    </sheetView>
  </sheetViews>
  <sheetFormatPr defaultColWidth="9" defaultRowHeight="20.149999999999999" customHeight="1" x14ac:dyDescent="0.3"/>
  <cols>
    <col min="1" max="1" width="12.15234375" style="156" customWidth="1"/>
    <col min="2" max="2" width="9" style="156"/>
    <col min="3" max="3" width="13.4609375" style="156" customWidth="1"/>
    <col min="4" max="4" width="15.921875" style="156" customWidth="1"/>
    <col min="5" max="5" width="16.84375" style="156" customWidth="1"/>
    <col min="6" max="6" width="25.3828125" style="156" customWidth="1"/>
    <col min="7" max="7" width="21.84375" style="156" customWidth="1"/>
    <col min="8" max="8" width="16.4609375" style="156" customWidth="1"/>
    <col min="9" max="9" width="28.921875" style="156" customWidth="1"/>
    <col min="10" max="10" width="19.61328125" style="156" customWidth="1"/>
    <col min="11" max="11" width="13.3828125" style="156" customWidth="1"/>
    <col min="12" max="16384" width="9" style="156"/>
  </cols>
  <sheetData>
    <row r="1" spans="1:13" ht="20.149999999999999" customHeight="1" x14ac:dyDescent="0.3">
      <c r="A1" s="157" t="s">
        <v>21</v>
      </c>
      <c r="B1" s="158" t="s">
        <v>71</v>
      </c>
      <c r="C1" s="159" t="s">
        <v>72</v>
      </c>
      <c r="D1" s="159" t="s">
        <v>73</v>
      </c>
      <c r="E1" s="158" t="s">
        <v>74</v>
      </c>
      <c r="F1" s="158" t="s">
        <v>75</v>
      </c>
      <c r="G1" s="160" t="s">
        <v>76</v>
      </c>
      <c r="H1" s="158" t="s">
        <v>74</v>
      </c>
      <c r="I1" s="158" t="s">
        <v>75</v>
      </c>
      <c r="J1" s="158" t="s">
        <v>76</v>
      </c>
      <c r="K1" s="158" t="s">
        <v>77</v>
      </c>
      <c r="L1" s="158" t="s">
        <v>78</v>
      </c>
      <c r="M1" s="161" t="s">
        <v>79</v>
      </c>
    </row>
    <row r="2" spans="1:13" ht="20.149999999999999" hidden="1" customHeight="1" x14ac:dyDescent="0.3">
      <c r="A2" s="162">
        <v>1</v>
      </c>
      <c r="B2" s="163" t="s">
        <v>80</v>
      </c>
      <c r="C2" s="164" t="s">
        <v>81</v>
      </c>
      <c r="D2" s="164" t="s">
        <v>82</v>
      </c>
      <c r="E2" s="165" t="s">
        <v>83</v>
      </c>
      <c r="F2" s="166">
        <v>44050.999988425901</v>
      </c>
      <c r="G2" s="167">
        <v>44050.708333333299</v>
      </c>
      <c r="H2" s="168" t="s">
        <v>84</v>
      </c>
      <c r="I2" s="163">
        <v>44100.637974537</v>
      </c>
      <c r="J2" s="163">
        <v>44100.5625</v>
      </c>
      <c r="K2" s="163" t="s">
        <v>85</v>
      </c>
      <c r="L2" s="169">
        <v>12000</v>
      </c>
      <c r="M2" s="170" t="s">
        <v>86</v>
      </c>
    </row>
    <row r="3" spans="1:13" ht="20.149999999999999" hidden="1" customHeight="1" x14ac:dyDescent="0.3">
      <c r="A3" s="162">
        <v>2</v>
      </c>
      <c r="B3" s="163" t="s">
        <v>80</v>
      </c>
      <c r="C3" s="164" t="s">
        <v>81</v>
      </c>
      <c r="D3" s="164" t="s">
        <v>87</v>
      </c>
      <c r="E3" s="165" t="s">
        <v>83</v>
      </c>
      <c r="F3" s="166">
        <v>44050.999988425901</v>
      </c>
      <c r="G3" s="167">
        <v>44050.708333333299</v>
      </c>
      <c r="H3" s="168" t="s">
        <v>84</v>
      </c>
      <c r="I3" s="163">
        <v>44100.637974537</v>
      </c>
      <c r="J3" s="163">
        <v>44100.5625</v>
      </c>
      <c r="K3" s="163" t="s">
        <v>85</v>
      </c>
      <c r="L3" s="169">
        <v>12000</v>
      </c>
      <c r="M3" s="170" t="s">
        <v>86</v>
      </c>
    </row>
    <row r="4" spans="1:13" ht="20.149999999999999" hidden="1" customHeight="1" x14ac:dyDescent="0.3">
      <c r="A4" s="162">
        <v>3</v>
      </c>
      <c r="B4" s="163" t="s">
        <v>80</v>
      </c>
      <c r="C4" s="164" t="s">
        <v>81</v>
      </c>
      <c r="D4" s="164" t="s">
        <v>88</v>
      </c>
      <c r="E4" s="165" t="s">
        <v>83</v>
      </c>
      <c r="F4" s="166">
        <v>44050.999988425901</v>
      </c>
      <c r="G4" s="167">
        <v>44050.708333333299</v>
      </c>
      <c r="H4" s="168" t="s">
        <v>84</v>
      </c>
      <c r="I4" s="163">
        <v>44100.637974537</v>
      </c>
      <c r="J4" s="163">
        <v>44100.5625</v>
      </c>
      <c r="K4" s="163" t="s">
        <v>85</v>
      </c>
      <c r="L4" s="169">
        <v>12000</v>
      </c>
      <c r="M4" s="170" t="s">
        <v>86</v>
      </c>
    </row>
    <row r="5" spans="1:13" ht="20.149999999999999" hidden="1" customHeight="1" x14ac:dyDescent="0.3">
      <c r="A5" s="162">
        <v>4</v>
      </c>
      <c r="B5" s="163" t="s">
        <v>80</v>
      </c>
      <c r="C5" s="164" t="s">
        <v>81</v>
      </c>
      <c r="D5" s="164" t="s">
        <v>89</v>
      </c>
      <c r="E5" s="165" t="s">
        <v>83</v>
      </c>
      <c r="F5" s="166">
        <v>44050.999988425901</v>
      </c>
      <c r="G5" s="167">
        <v>44050.708333333299</v>
      </c>
      <c r="H5" s="168" t="s">
        <v>84</v>
      </c>
      <c r="I5" s="163">
        <v>44100.637974537</v>
      </c>
      <c r="J5" s="163">
        <v>44100.5625</v>
      </c>
      <c r="K5" s="163" t="s">
        <v>85</v>
      </c>
      <c r="L5" s="169">
        <v>12000</v>
      </c>
      <c r="M5" s="170" t="s">
        <v>86</v>
      </c>
    </row>
    <row r="6" spans="1:13" ht="20.149999999999999" hidden="1" customHeight="1" x14ac:dyDescent="0.3">
      <c r="A6" s="162">
        <v>5</v>
      </c>
      <c r="B6" s="163" t="s">
        <v>80</v>
      </c>
      <c r="C6" s="164" t="s">
        <v>81</v>
      </c>
      <c r="D6" s="164" t="s">
        <v>90</v>
      </c>
      <c r="E6" s="165" t="s">
        <v>83</v>
      </c>
      <c r="F6" s="166">
        <v>44050.999988425901</v>
      </c>
      <c r="G6" s="167">
        <v>44050.708333333299</v>
      </c>
      <c r="H6" s="168" t="s">
        <v>84</v>
      </c>
      <c r="I6" s="163">
        <v>44100.637974537</v>
      </c>
      <c r="J6" s="163">
        <v>44100.5625</v>
      </c>
      <c r="K6" s="163" t="s">
        <v>85</v>
      </c>
      <c r="L6" s="169">
        <v>12000</v>
      </c>
      <c r="M6" s="170" t="s">
        <v>86</v>
      </c>
    </row>
    <row r="7" spans="1:13" ht="20.149999999999999" hidden="1" customHeight="1" x14ac:dyDescent="0.3">
      <c r="A7" s="162">
        <v>6</v>
      </c>
      <c r="B7" s="163" t="s">
        <v>80</v>
      </c>
      <c r="C7" s="164" t="s">
        <v>81</v>
      </c>
      <c r="D7" s="164" t="s">
        <v>91</v>
      </c>
      <c r="E7" s="165" t="s">
        <v>83</v>
      </c>
      <c r="F7" s="166">
        <v>44050.999988425901</v>
      </c>
      <c r="G7" s="167">
        <v>44050.708333333299</v>
      </c>
      <c r="H7" s="168" t="s">
        <v>84</v>
      </c>
      <c r="I7" s="163">
        <v>44100.637974537</v>
      </c>
      <c r="J7" s="163">
        <v>44100.5625</v>
      </c>
      <c r="K7" s="163" t="s">
        <v>85</v>
      </c>
      <c r="L7" s="169">
        <v>12000</v>
      </c>
      <c r="M7" s="170" t="s">
        <v>86</v>
      </c>
    </row>
    <row r="8" spans="1:13" ht="20.149999999999999" hidden="1" customHeight="1" x14ac:dyDescent="0.3">
      <c r="A8" s="162">
        <v>7</v>
      </c>
      <c r="B8" s="163" t="s">
        <v>80</v>
      </c>
      <c r="C8" s="164" t="s">
        <v>81</v>
      </c>
      <c r="D8" s="164" t="s">
        <v>92</v>
      </c>
      <c r="E8" s="165" t="s">
        <v>83</v>
      </c>
      <c r="F8" s="166">
        <v>44050.999988425901</v>
      </c>
      <c r="G8" s="167">
        <v>44050.708333333299</v>
      </c>
      <c r="H8" s="168" t="s">
        <v>84</v>
      </c>
      <c r="I8" s="163">
        <v>44100.637974537</v>
      </c>
      <c r="J8" s="163">
        <v>44100.5625</v>
      </c>
      <c r="K8" s="163" t="s">
        <v>85</v>
      </c>
      <c r="L8" s="169">
        <v>12000</v>
      </c>
      <c r="M8" s="170" t="s">
        <v>86</v>
      </c>
    </row>
    <row r="9" spans="1:13" ht="20.149999999999999" hidden="1" customHeight="1" x14ac:dyDescent="0.3">
      <c r="A9" s="162">
        <v>8</v>
      </c>
      <c r="B9" s="163" t="s">
        <v>80</v>
      </c>
      <c r="C9" s="164" t="s">
        <v>81</v>
      </c>
      <c r="D9" s="164" t="s">
        <v>93</v>
      </c>
      <c r="E9" s="165" t="s">
        <v>83</v>
      </c>
      <c r="F9" s="166">
        <v>44050.999988425901</v>
      </c>
      <c r="G9" s="167">
        <v>44050.708333333299</v>
      </c>
      <c r="H9" s="168" t="s">
        <v>84</v>
      </c>
      <c r="I9" s="163">
        <v>44100.637974537</v>
      </c>
      <c r="J9" s="163">
        <v>44100.5625</v>
      </c>
      <c r="K9" s="163" t="s">
        <v>85</v>
      </c>
      <c r="L9" s="169">
        <v>12000</v>
      </c>
      <c r="M9" s="170" t="s">
        <v>86</v>
      </c>
    </row>
    <row r="10" spans="1:13" ht="20.149999999999999" hidden="1" customHeight="1" x14ac:dyDescent="0.3">
      <c r="A10" s="162">
        <v>9</v>
      </c>
      <c r="B10" s="163" t="s">
        <v>80</v>
      </c>
      <c r="C10" s="164" t="s">
        <v>94</v>
      </c>
      <c r="D10" s="164" t="s">
        <v>95</v>
      </c>
      <c r="E10" s="165" t="s">
        <v>83</v>
      </c>
      <c r="F10" s="171" t="s">
        <v>96</v>
      </c>
      <c r="G10" s="167">
        <v>44047.791666666701</v>
      </c>
      <c r="H10" s="168" t="s">
        <v>84</v>
      </c>
      <c r="I10" s="163">
        <v>44100.637974537</v>
      </c>
      <c r="J10" s="163">
        <v>44100.5625</v>
      </c>
      <c r="K10" s="163" t="s">
        <v>85</v>
      </c>
      <c r="L10" s="169">
        <v>12000</v>
      </c>
      <c r="M10" s="170" t="s">
        <v>86</v>
      </c>
    </row>
    <row r="11" spans="1:13" ht="20.149999999999999" hidden="1" customHeight="1" x14ac:dyDescent="0.3">
      <c r="A11" s="162">
        <v>10</v>
      </c>
      <c r="B11" s="163" t="s">
        <v>80</v>
      </c>
      <c r="C11" s="164" t="s">
        <v>94</v>
      </c>
      <c r="D11" s="164" t="s">
        <v>97</v>
      </c>
      <c r="E11" s="165" t="s">
        <v>83</v>
      </c>
      <c r="F11" s="171" t="s">
        <v>96</v>
      </c>
      <c r="G11" s="167">
        <v>44047.791666666701</v>
      </c>
      <c r="H11" s="168" t="s">
        <v>84</v>
      </c>
      <c r="I11" s="163">
        <v>44100.637974537</v>
      </c>
      <c r="J11" s="163">
        <v>44100.5625</v>
      </c>
      <c r="K11" s="163" t="s">
        <v>85</v>
      </c>
      <c r="L11" s="169">
        <v>12000</v>
      </c>
      <c r="M11" s="170" t="s">
        <v>86</v>
      </c>
    </row>
    <row r="12" spans="1:13" ht="20.149999999999999" hidden="1" customHeight="1" x14ac:dyDescent="0.3">
      <c r="A12" s="162">
        <v>11</v>
      </c>
      <c r="B12" s="163" t="s">
        <v>80</v>
      </c>
      <c r="C12" s="164" t="s">
        <v>94</v>
      </c>
      <c r="D12" s="164" t="s">
        <v>98</v>
      </c>
      <c r="E12" s="165" t="s">
        <v>83</v>
      </c>
      <c r="F12" s="171" t="s">
        <v>96</v>
      </c>
      <c r="G12" s="167">
        <v>44047.791666666701</v>
      </c>
      <c r="H12" s="168" t="s">
        <v>84</v>
      </c>
      <c r="I12" s="163">
        <v>44100.637974537</v>
      </c>
      <c r="J12" s="163">
        <v>44100.5625</v>
      </c>
      <c r="K12" s="163" t="s">
        <v>85</v>
      </c>
      <c r="L12" s="169">
        <v>12000</v>
      </c>
      <c r="M12" s="170" t="s">
        <v>86</v>
      </c>
    </row>
    <row r="13" spans="1:13" ht="20.149999999999999" hidden="1" customHeight="1" x14ac:dyDescent="0.3">
      <c r="A13" s="162">
        <v>12</v>
      </c>
      <c r="B13" s="163" t="s">
        <v>80</v>
      </c>
      <c r="C13" s="164" t="s">
        <v>94</v>
      </c>
      <c r="D13" s="164" t="s">
        <v>99</v>
      </c>
      <c r="E13" s="165" t="s">
        <v>83</v>
      </c>
      <c r="F13" s="172" t="s">
        <v>96</v>
      </c>
      <c r="G13" s="167">
        <v>44047.791666666701</v>
      </c>
      <c r="H13" s="168" t="s">
        <v>84</v>
      </c>
      <c r="I13" s="163">
        <v>44100.637974537</v>
      </c>
      <c r="J13" s="163">
        <v>44100.5625</v>
      </c>
      <c r="K13" s="163" t="s">
        <v>85</v>
      </c>
      <c r="L13" s="169">
        <v>12000</v>
      </c>
      <c r="M13" s="170" t="s">
        <v>86</v>
      </c>
    </row>
    <row r="14" spans="1:13" ht="20.149999999999999" hidden="1" customHeight="1" x14ac:dyDescent="0.3">
      <c r="A14" s="173">
        <v>13</v>
      </c>
      <c r="B14" s="174" t="s">
        <v>80</v>
      </c>
      <c r="C14" s="175" t="s">
        <v>94</v>
      </c>
      <c r="D14" s="164" t="s">
        <v>100</v>
      </c>
      <c r="E14" s="176" t="s">
        <v>83</v>
      </c>
      <c r="F14" s="172" t="s">
        <v>96</v>
      </c>
      <c r="G14" s="167">
        <v>44047.791666666701</v>
      </c>
      <c r="H14" s="177" t="s">
        <v>84</v>
      </c>
      <c r="I14" s="163">
        <v>44100.637974537</v>
      </c>
      <c r="J14" s="163">
        <v>44100.5625</v>
      </c>
      <c r="K14" s="174" t="s">
        <v>85</v>
      </c>
      <c r="L14" s="178">
        <v>12000</v>
      </c>
      <c r="M14" s="179" t="s">
        <v>86</v>
      </c>
    </row>
    <row r="15" spans="1:13" ht="20.149999999999999" hidden="1" customHeight="1" x14ac:dyDescent="0.3">
      <c r="A15" s="162">
        <v>14</v>
      </c>
      <c r="B15" s="174" t="s">
        <v>80</v>
      </c>
      <c r="C15" s="175" t="s">
        <v>94</v>
      </c>
      <c r="D15" s="164" t="s">
        <v>101</v>
      </c>
      <c r="E15" s="176" t="s">
        <v>83</v>
      </c>
      <c r="F15" s="172" t="s">
        <v>96</v>
      </c>
      <c r="G15" s="167">
        <v>44047.791666666701</v>
      </c>
      <c r="H15" s="177" t="s">
        <v>84</v>
      </c>
      <c r="I15" s="163">
        <v>44100.637974537</v>
      </c>
      <c r="J15" s="163">
        <v>44100.5625</v>
      </c>
      <c r="K15" s="174" t="s">
        <v>85</v>
      </c>
      <c r="L15" s="178">
        <v>12000</v>
      </c>
      <c r="M15" s="179" t="s">
        <v>86</v>
      </c>
    </row>
    <row r="16" spans="1:13" ht="20.149999999999999" hidden="1" customHeight="1" x14ac:dyDescent="0.3">
      <c r="A16" s="173">
        <v>15</v>
      </c>
      <c r="B16" s="174" t="s">
        <v>80</v>
      </c>
      <c r="C16" s="175" t="s">
        <v>94</v>
      </c>
      <c r="D16" s="164" t="s">
        <v>102</v>
      </c>
      <c r="E16" s="176" t="s">
        <v>83</v>
      </c>
      <c r="F16" s="172" t="s">
        <v>96</v>
      </c>
      <c r="G16" s="167">
        <v>44047.791666666701</v>
      </c>
      <c r="H16" s="177" t="s">
        <v>84</v>
      </c>
      <c r="I16" s="163">
        <v>44100.637974537</v>
      </c>
      <c r="J16" s="163">
        <v>44100.5625</v>
      </c>
      <c r="K16" s="174" t="s">
        <v>85</v>
      </c>
      <c r="L16" s="178">
        <v>12000</v>
      </c>
      <c r="M16" s="179" t="s">
        <v>86</v>
      </c>
    </row>
    <row r="17" spans="1:13" ht="20.149999999999999" hidden="1" customHeight="1" x14ac:dyDescent="0.3">
      <c r="A17" s="162">
        <v>16</v>
      </c>
      <c r="B17" s="174" t="s">
        <v>80</v>
      </c>
      <c r="C17" s="175" t="s">
        <v>94</v>
      </c>
      <c r="D17" s="164" t="s">
        <v>103</v>
      </c>
      <c r="E17" s="176" t="s">
        <v>83</v>
      </c>
      <c r="F17" s="172" t="s">
        <v>96</v>
      </c>
      <c r="G17" s="167">
        <v>44047.791666666701</v>
      </c>
      <c r="H17" s="177" t="s">
        <v>84</v>
      </c>
      <c r="I17" s="163">
        <v>44100.637974537</v>
      </c>
      <c r="J17" s="163">
        <v>44100.5625</v>
      </c>
      <c r="K17" s="174" t="s">
        <v>85</v>
      </c>
      <c r="L17" s="178">
        <v>12000</v>
      </c>
      <c r="M17" s="179" t="s">
        <v>86</v>
      </c>
    </row>
    <row r="18" spans="1:13" ht="20.149999999999999" hidden="1" customHeight="1" x14ac:dyDescent="0.3">
      <c r="A18" s="173">
        <v>17</v>
      </c>
      <c r="B18" s="174" t="s">
        <v>80</v>
      </c>
      <c r="C18" s="175" t="s">
        <v>94</v>
      </c>
      <c r="D18" s="164" t="s">
        <v>104</v>
      </c>
      <c r="E18" s="176" t="s">
        <v>83</v>
      </c>
      <c r="F18" s="172" t="s">
        <v>96</v>
      </c>
      <c r="G18" s="167">
        <v>44047.791666666701</v>
      </c>
      <c r="H18" s="177" t="s">
        <v>84</v>
      </c>
      <c r="I18" s="163">
        <v>44100.637974537</v>
      </c>
      <c r="J18" s="163">
        <v>44100.5625</v>
      </c>
      <c r="K18" s="174" t="s">
        <v>85</v>
      </c>
      <c r="L18" s="178">
        <v>12000</v>
      </c>
      <c r="M18" s="179" t="s">
        <v>86</v>
      </c>
    </row>
    <row r="19" spans="1:13" ht="20.149999999999999" hidden="1" customHeight="1" x14ac:dyDescent="0.3">
      <c r="A19" s="162">
        <v>18</v>
      </c>
      <c r="B19" s="174" t="s">
        <v>80</v>
      </c>
      <c r="C19" s="175" t="s">
        <v>94</v>
      </c>
      <c r="D19" s="164" t="s">
        <v>105</v>
      </c>
      <c r="E19" s="176" t="s">
        <v>83</v>
      </c>
      <c r="F19" s="172" t="s">
        <v>96</v>
      </c>
      <c r="G19" s="167">
        <v>44047.791666666701</v>
      </c>
      <c r="H19" s="177" t="s">
        <v>84</v>
      </c>
      <c r="I19" s="163">
        <v>44100.637974537</v>
      </c>
      <c r="J19" s="163">
        <v>44100.5625</v>
      </c>
      <c r="K19" s="174" t="s">
        <v>85</v>
      </c>
      <c r="L19" s="178">
        <v>12000</v>
      </c>
      <c r="M19" s="179" t="s">
        <v>86</v>
      </c>
    </row>
    <row r="20" spans="1:13" ht="20.149999999999999" hidden="1" customHeight="1" x14ac:dyDescent="0.3">
      <c r="A20" s="173">
        <v>19</v>
      </c>
      <c r="B20" s="174" t="s">
        <v>80</v>
      </c>
      <c r="C20" s="175" t="s">
        <v>94</v>
      </c>
      <c r="D20" s="164" t="s">
        <v>106</v>
      </c>
      <c r="E20" s="176" t="s">
        <v>83</v>
      </c>
      <c r="F20" s="172" t="s">
        <v>96</v>
      </c>
      <c r="G20" s="167">
        <v>44047.791666666701</v>
      </c>
      <c r="H20" s="177" t="s">
        <v>84</v>
      </c>
      <c r="I20" s="163">
        <v>44100.637974537</v>
      </c>
      <c r="J20" s="163">
        <v>44100.5625</v>
      </c>
      <c r="K20" s="174" t="s">
        <v>85</v>
      </c>
      <c r="L20" s="178">
        <v>12000</v>
      </c>
      <c r="M20" s="179" t="s">
        <v>86</v>
      </c>
    </row>
    <row r="21" spans="1:13" ht="20.149999999999999" hidden="1" customHeight="1" x14ac:dyDescent="0.3">
      <c r="A21" s="162">
        <v>20</v>
      </c>
      <c r="B21" s="174" t="s">
        <v>80</v>
      </c>
      <c r="C21" s="175" t="s">
        <v>94</v>
      </c>
      <c r="D21" s="164" t="s">
        <v>107</v>
      </c>
      <c r="E21" s="176" t="s">
        <v>83</v>
      </c>
      <c r="F21" s="172" t="s">
        <v>96</v>
      </c>
      <c r="G21" s="167">
        <v>44047.791666666701</v>
      </c>
      <c r="H21" s="177" t="s">
        <v>84</v>
      </c>
      <c r="I21" s="163">
        <v>44100.637974537</v>
      </c>
      <c r="J21" s="163">
        <v>44100.5625</v>
      </c>
      <c r="K21" s="174" t="s">
        <v>85</v>
      </c>
      <c r="L21" s="178">
        <v>12000</v>
      </c>
      <c r="M21" s="179" t="s">
        <v>86</v>
      </c>
    </row>
    <row r="22" spans="1:13" ht="20.149999999999999" hidden="1" customHeight="1" x14ac:dyDescent="0.3">
      <c r="A22" s="173">
        <v>21</v>
      </c>
      <c r="B22" s="174" t="s">
        <v>80</v>
      </c>
      <c r="C22" s="175" t="s">
        <v>94</v>
      </c>
      <c r="D22" s="164" t="s">
        <v>108</v>
      </c>
      <c r="E22" s="176" t="s">
        <v>83</v>
      </c>
      <c r="F22" s="172" t="s">
        <v>96</v>
      </c>
      <c r="G22" s="167">
        <v>44047.791666666701</v>
      </c>
      <c r="H22" s="177" t="s">
        <v>84</v>
      </c>
      <c r="I22" s="163">
        <v>44100.637974537</v>
      </c>
      <c r="J22" s="163">
        <v>44100.5625</v>
      </c>
      <c r="K22" s="174" t="s">
        <v>85</v>
      </c>
      <c r="L22" s="178">
        <v>12000</v>
      </c>
      <c r="M22" s="179" t="s">
        <v>86</v>
      </c>
    </row>
    <row r="23" spans="1:13" ht="20.149999999999999" hidden="1" customHeight="1" x14ac:dyDescent="0.3">
      <c r="A23" s="162">
        <v>22</v>
      </c>
      <c r="B23" s="174" t="s">
        <v>80</v>
      </c>
      <c r="C23" s="175" t="s">
        <v>94</v>
      </c>
      <c r="D23" s="164" t="s">
        <v>109</v>
      </c>
      <c r="E23" s="176" t="s">
        <v>83</v>
      </c>
      <c r="F23" s="172" t="s">
        <v>96</v>
      </c>
      <c r="G23" s="167">
        <v>44047.791666666701</v>
      </c>
      <c r="H23" s="177" t="s">
        <v>84</v>
      </c>
      <c r="I23" s="163">
        <v>44100.637974537</v>
      </c>
      <c r="J23" s="163">
        <v>44100.5625</v>
      </c>
      <c r="K23" s="174" t="s">
        <v>85</v>
      </c>
      <c r="L23" s="178">
        <v>12000</v>
      </c>
      <c r="M23" s="179" t="s">
        <v>86</v>
      </c>
    </row>
    <row r="24" spans="1:13" ht="20.149999999999999" hidden="1" customHeight="1" x14ac:dyDescent="0.3">
      <c r="A24" s="173">
        <v>23</v>
      </c>
      <c r="B24" s="174" t="s">
        <v>80</v>
      </c>
      <c r="C24" s="175" t="s">
        <v>94</v>
      </c>
      <c r="D24" s="164" t="s">
        <v>110</v>
      </c>
      <c r="E24" s="176" t="s">
        <v>83</v>
      </c>
      <c r="F24" s="172" t="s">
        <v>96</v>
      </c>
      <c r="G24" s="167">
        <v>44047.791666666701</v>
      </c>
      <c r="H24" s="177" t="s">
        <v>84</v>
      </c>
      <c r="I24" s="163">
        <v>44100.637974537</v>
      </c>
      <c r="J24" s="163">
        <v>44100.5625</v>
      </c>
      <c r="K24" s="174" t="s">
        <v>85</v>
      </c>
      <c r="L24" s="178">
        <v>12000</v>
      </c>
      <c r="M24" s="179" t="s">
        <v>86</v>
      </c>
    </row>
    <row r="25" spans="1:13" ht="20.149999999999999" hidden="1" customHeight="1" x14ac:dyDescent="0.3">
      <c r="A25" s="162">
        <v>24</v>
      </c>
      <c r="B25" s="174" t="s">
        <v>80</v>
      </c>
      <c r="C25" s="175" t="s">
        <v>94</v>
      </c>
      <c r="D25" s="164" t="s">
        <v>111</v>
      </c>
      <c r="E25" s="176" t="s">
        <v>83</v>
      </c>
      <c r="F25" s="172" t="s">
        <v>96</v>
      </c>
      <c r="G25" s="167">
        <v>44047.791666666701</v>
      </c>
      <c r="H25" s="177" t="s">
        <v>84</v>
      </c>
      <c r="I25" s="163">
        <v>44100.637974537</v>
      </c>
      <c r="J25" s="163">
        <v>44100.5625</v>
      </c>
      <c r="K25" s="174" t="s">
        <v>85</v>
      </c>
      <c r="L25" s="178">
        <v>12000</v>
      </c>
      <c r="M25" s="179" t="s">
        <v>86</v>
      </c>
    </row>
    <row r="26" spans="1:13" ht="20.149999999999999" hidden="1" customHeight="1" x14ac:dyDescent="0.3">
      <c r="A26" s="173">
        <v>25</v>
      </c>
      <c r="B26" s="174" t="s">
        <v>80</v>
      </c>
      <c r="C26" s="175" t="s">
        <v>94</v>
      </c>
      <c r="D26" s="164" t="s">
        <v>112</v>
      </c>
      <c r="E26" s="176" t="s">
        <v>83</v>
      </c>
      <c r="F26" s="172" t="s">
        <v>96</v>
      </c>
      <c r="G26" s="167">
        <v>44047.791666666701</v>
      </c>
      <c r="H26" s="177" t="s">
        <v>84</v>
      </c>
      <c r="I26" s="163">
        <v>44100.637974537</v>
      </c>
      <c r="J26" s="163">
        <v>44100.5625</v>
      </c>
      <c r="K26" s="174" t="s">
        <v>85</v>
      </c>
      <c r="L26" s="178">
        <v>12000</v>
      </c>
      <c r="M26" s="179" t="s">
        <v>86</v>
      </c>
    </row>
    <row r="27" spans="1:13" ht="20.149999999999999" hidden="1" customHeight="1" x14ac:dyDescent="0.3">
      <c r="A27" s="162">
        <v>26</v>
      </c>
      <c r="B27" s="174" t="s">
        <v>80</v>
      </c>
      <c r="C27" s="175" t="s">
        <v>94</v>
      </c>
      <c r="D27" s="164" t="s">
        <v>113</v>
      </c>
      <c r="E27" s="176" t="s">
        <v>83</v>
      </c>
      <c r="F27" s="167">
        <v>44048.999988425901</v>
      </c>
      <c r="G27" s="167">
        <v>44048.729166666701</v>
      </c>
      <c r="H27" s="177" t="s">
        <v>84</v>
      </c>
      <c r="I27" s="163">
        <v>44100.637974537</v>
      </c>
      <c r="J27" s="163">
        <v>44100.5625</v>
      </c>
      <c r="K27" s="174" t="s">
        <v>85</v>
      </c>
      <c r="L27" s="178">
        <v>12000</v>
      </c>
      <c r="M27" s="179" t="s">
        <v>86</v>
      </c>
    </row>
    <row r="28" spans="1:13" ht="20.149999999999999" hidden="1" customHeight="1" x14ac:dyDescent="0.3">
      <c r="A28" s="173">
        <v>27</v>
      </c>
      <c r="B28" s="174" t="s">
        <v>80</v>
      </c>
      <c r="C28" s="175" t="s">
        <v>94</v>
      </c>
      <c r="D28" s="164" t="s">
        <v>114</v>
      </c>
      <c r="E28" s="176" t="s">
        <v>83</v>
      </c>
      <c r="F28" s="167">
        <v>44048.999988425901</v>
      </c>
      <c r="G28" s="167">
        <v>44048.729166666701</v>
      </c>
      <c r="H28" s="177" t="s">
        <v>84</v>
      </c>
      <c r="I28" s="163">
        <v>44100.637974537</v>
      </c>
      <c r="J28" s="163">
        <v>44100.5625</v>
      </c>
      <c r="K28" s="174" t="s">
        <v>85</v>
      </c>
      <c r="L28" s="178">
        <v>12000</v>
      </c>
      <c r="M28" s="179" t="s">
        <v>86</v>
      </c>
    </row>
    <row r="29" spans="1:13" ht="20.149999999999999" hidden="1" customHeight="1" x14ac:dyDescent="0.3">
      <c r="A29" s="162">
        <v>28</v>
      </c>
      <c r="B29" s="174" t="s">
        <v>80</v>
      </c>
      <c r="C29" s="175" t="s">
        <v>94</v>
      </c>
      <c r="D29" s="164" t="s">
        <v>115</v>
      </c>
      <c r="E29" s="176" t="s">
        <v>83</v>
      </c>
      <c r="F29" s="167">
        <v>44048.999988425901</v>
      </c>
      <c r="G29" s="167">
        <v>44048.729166666701</v>
      </c>
      <c r="H29" s="177" t="s">
        <v>84</v>
      </c>
      <c r="I29" s="163">
        <v>44100.637974537</v>
      </c>
      <c r="J29" s="163">
        <v>44100.5625</v>
      </c>
      <c r="K29" s="174" t="s">
        <v>85</v>
      </c>
      <c r="L29" s="178">
        <v>12000</v>
      </c>
      <c r="M29" s="179" t="s">
        <v>86</v>
      </c>
    </row>
    <row r="30" spans="1:13" ht="20.149999999999999" hidden="1" customHeight="1" x14ac:dyDescent="0.3">
      <c r="A30" s="173">
        <v>29</v>
      </c>
      <c r="B30" s="174" t="s">
        <v>80</v>
      </c>
      <c r="C30" s="175" t="s">
        <v>94</v>
      </c>
      <c r="D30" s="164" t="s">
        <v>116</v>
      </c>
      <c r="E30" s="176" t="s">
        <v>83</v>
      </c>
      <c r="F30" s="167">
        <v>44048.999988425901</v>
      </c>
      <c r="G30" s="167">
        <v>44048.729166666701</v>
      </c>
      <c r="H30" s="177" t="s">
        <v>84</v>
      </c>
      <c r="I30" s="163">
        <v>44100.637974537</v>
      </c>
      <c r="J30" s="163">
        <v>44100.5625</v>
      </c>
      <c r="K30" s="174" t="s">
        <v>85</v>
      </c>
      <c r="L30" s="178">
        <v>12000</v>
      </c>
      <c r="M30" s="179" t="s">
        <v>86</v>
      </c>
    </row>
    <row r="31" spans="1:13" ht="20.149999999999999" hidden="1" customHeight="1" x14ac:dyDescent="0.3">
      <c r="A31" s="162">
        <v>30</v>
      </c>
      <c r="B31" s="174" t="s">
        <v>80</v>
      </c>
      <c r="C31" s="175" t="s">
        <v>94</v>
      </c>
      <c r="D31" s="164" t="s">
        <v>117</v>
      </c>
      <c r="E31" s="176" t="s">
        <v>83</v>
      </c>
      <c r="F31" s="167">
        <v>44048.999988425901</v>
      </c>
      <c r="G31" s="167">
        <v>44048.729166666701</v>
      </c>
      <c r="H31" s="177" t="s">
        <v>84</v>
      </c>
      <c r="I31" s="163">
        <v>44100.637974537</v>
      </c>
      <c r="J31" s="163">
        <v>44100.5625</v>
      </c>
      <c r="K31" s="174" t="s">
        <v>85</v>
      </c>
      <c r="L31" s="178">
        <v>12000</v>
      </c>
      <c r="M31" s="179" t="s">
        <v>86</v>
      </c>
    </row>
    <row r="32" spans="1:13" ht="20.149999999999999" hidden="1" customHeight="1" x14ac:dyDescent="0.3">
      <c r="A32" s="173">
        <v>31</v>
      </c>
      <c r="B32" s="174" t="s">
        <v>80</v>
      </c>
      <c r="C32" s="175" t="s">
        <v>94</v>
      </c>
      <c r="D32" s="164" t="s">
        <v>118</v>
      </c>
      <c r="E32" s="176" t="s">
        <v>83</v>
      </c>
      <c r="F32" s="167">
        <v>44048.999988425901</v>
      </c>
      <c r="G32" s="167">
        <v>44048.729166666701</v>
      </c>
      <c r="H32" s="177" t="s">
        <v>84</v>
      </c>
      <c r="I32" s="163">
        <v>44100.637974537</v>
      </c>
      <c r="J32" s="163">
        <v>44100.5625</v>
      </c>
      <c r="K32" s="174" t="s">
        <v>85</v>
      </c>
      <c r="L32" s="178">
        <v>12000</v>
      </c>
      <c r="M32" s="179" t="s">
        <v>86</v>
      </c>
    </row>
    <row r="33" spans="1:13" ht="20.149999999999999" hidden="1" customHeight="1" x14ac:dyDescent="0.3">
      <c r="A33" s="162">
        <v>32</v>
      </c>
      <c r="B33" s="174" t="s">
        <v>80</v>
      </c>
      <c r="C33" s="175" t="s">
        <v>94</v>
      </c>
      <c r="D33" s="164" t="s">
        <v>119</v>
      </c>
      <c r="E33" s="176" t="s">
        <v>83</v>
      </c>
      <c r="F33" s="167">
        <v>44048.999988425901</v>
      </c>
      <c r="G33" s="167">
        <v>44048.729166666701</v>
      </c>
      <c r="H33" s="177" t="s">
        <v>84</v>
      </c>
      <c r="I33" s="163">
        <v>44100.637974537</v>
      </c>
      <c r="J33" s="163">
        <v>44100.5625</v>
      </c>
      <c r="K33" s="174" t="s">
        <v>85</v>
      </c>
      <c r="L33" s="178">
        <v>12000</v>
      </c>
      <c r="M33" s="179" t="s">
        <v>86</v>
      </c>
    </row>
    <row r="34" spans="1:13" ht="20.149999999999999" hidden="1" customHeight="1" x14ac:dyDescent="0.3">
      <c r="A34" s="173">
        <v>33</v>
      </c>
      <c r="B34" s="174" t="s">
        <v>80</v>
      </c>
      <c r="C34" s="175" t="s">
        <v>94</v>
      </c>
      <c r="D34" s="164" t="s">
        <v>120</v>
      </c>
      <c r="E34" s="176" t="s">
        <v>83</v>
      </c>
      <c r="F34" s="167">
        <v>44048.999988425901</v>
      </c>
      <c r="G34" s="167">
        <v>44048.729166666701</v>
      </c>
      <c r="H34" s="177" t="s">
        <v>84</v>
      </c>
      <c r="I34" s="163">
        <v>44100.637974537</v>
      </c>
      <c r="J34" s="163">
        <v>44100.5625</v>
      </c>
      <c r="K34" s="174" t="s">
        <v>85</v>
      </c>
      <c r="L34" s="178">
        <v>12000</v>
      </c>
      <c r="M34" s="179" t="s">
        <v>86</v>
      </c>
    </row>
    <row r="35" spans="1:13" ht="20.149999999999999" hidden="1" customHeight="1" x14ac:dyDescent="0.3">
      <c r="A35" s="162">
        <v>34</v>
      </c>
      <c r="B35" s="174" t="s">
        <v>80</v>
      </c>
      <c r="C35" s="175" t="s">
        <v>94</v>
      </c>
      <c r="D35" s="164" t="s">
        <v>121</v>
      </c>
      <c r="E35" s="176" t="s">
        <v>83</v>
      </c>
      <c r="F35" s="167">
        <v>44048.999988425901</v>
      </c>
      <c r="G35" s="167">
        <v>44048.729166666701</v>
      </c>
      <c r="H35" s="177" t="s">
        <v>84</v>
      </c>
      <c r="I35" s="163">
        <v>44100.637974537</v>
      </c>
      <c r="J35" s="163">
        <v>44100.5625</v>
      </c>
      <c r="K35" s="174" t="s">
        <v>85</v>
      </c>
      <c r="L35" s="178">
        <v>12000</v>
      </c>
      <c r="M35" s="179" t="s">
        <v>86</v>
      </c>
    </row>
    <row r="36" spans="1:13" ht="20.149999999999999" hidden="1" customHeight="1" x14ac:dyDescent="0.3">
      <c r="A36" s="173">
        <v>35</v>
      </c>
      <c r="B36" s="174" t="s">
        <v>80</v>
      </c>
      <c r="C36" s="175" t="s">
        <v>94</v>
      </c>
      <c r="D36" s="164" t="s">
        <v>122</v>
      </c>
      <c r="E36" s="176" t="s">
        <v>83</v>
      </c>
      <c r="F36" s="167">
        <v>44048.999988425901</v>
      </c>
      <c r="G36" s="167">
        <v>44048.729166666701</v>
      </c>
      <c r="H36" s="177" t="s">
        <v>84</v>
      </c>
      <c r="I36" s="163">
        <v>44100.637974537</v>
      </c>
      <c r="J36" s="163">
        <v>44100.5625</v>
      </c>
      <c r="K36" s="174" t="s">
        <v>85</v>
      </c>
      <c r="L36" s="178">
        <v>12000</v>
      </c>
      <c r="M36" s="179" t="s">
        <v>86</v>
      </c>
    </row>
    <row r="37" spans="1:13" ht="20.149999999999999" hidden="1" customHeight="1" x14ac:dyDescent="0.3">
      <c r="A37" s="162">
        <v>36</v>
      </c>
      <c r="B37" s="174" t="s">
        <v>80</v>
      </c>
      <c r="C37" s="175" t="s">
        <v>94</v>
      </c>
      <c r="D37" s="164" t="s">
        <v>88</v>
      </c>
      <c r="E37" s="176" t="s">
        <v>83</v>
      </c>
      <c r="F37" s="167">
        <v>44048.999988425901</v>
      </c>
      <c r="G37" s="167">
        <v>44048.729166666701</v>
      </c>
      <c r="H37" s="177" t="s">
        <v>84</v>
      </c>
      <c r="I37" s="163">
        <v>44100.637974537</v>
      </c>
      <c r="J37" s="163">
        <v>44100.5625</v>
      </c>
      <c r="K37" s="174" t="s">
        <v>85</v>
      </c>
      <c r="L37" s="178">
        <v>12000</v>
      </c>
      <c r="M37" s="179" t="s">
        <v>86</v>
      </c>
    </row>
    <row r="38" spans="1:13" ht="20.149999999999999" hidden="1" customHeight="1" x14ac:dyDescent="0.3">
      <c r="A38" s="173">
        <v>37</v>
      </c>
      <c r="B38" s="174" t="s">
        <v>80</v>
      </c>
      <c r="C38" s="175" t="s">
        <v>94</v>
      </c>
      <c r="D38" s="164" t="s">
        <v>89</v>
      </c>
      <c r="E38" s="176" t="s">
        <v>83</v>
      </c>
      <c r="F38" s="167">
        <v>44048.999988425901</v>
      </c>
      <c r="G38" s="167">
        <v>44048.729166666701</v>
      </c>
      <c r="H38" s="177" t="s">
        <v>84</v>
      </c>
      <c r="I38" s="163">
        <v>44100.637974537</v>
      </c>
      <c r="J38" s="163">
        <v>44100.5625</v>
      </c>
      <c r="K38" s="174" t="s">
        <v>85</v>
      </c>
      <c r="L38" s="178">
        <v>12000</v>
      </c>
      <c r="M38" s="179" t="s">
        <v>86</v>
      </c>
    </row>
    <row r="39" spans="1:13" ht="20.149999999999999" hidden="1" customHeight="1" x14ac:dyDescent="0.3">
      <c r="A39" s="162">
        <v>38</v>
      </c>
      <c r="B39" s="174" t="s">
        <v>80</v>
      </c>
      <c r="C39" s="175" t="s">
        <v>94</v>
      </c>
      <c r="D39" s="164" t="s">
        <v>90</v>
      </c>
      <c r="E39" s="176" t="s">
        <v>83</v>
      </c>
      <c r="F39" s="167">
        <v>44048.999988425901</v>
      </c>
      <c r="G39" s="167">
        <v>44048.729166666701</v>
      </c>
      <c r="H39" s="177" t="s">
        <v>84</v>
      </c>
      <c r="I39" s="163">
        <v>44100.637974537</v>
      </c>
      <c r="J39" s="163">
        <v>44100.5625</v>
      </c>
      <c r="K39" s="174" t="s">
        <v>85</v>
      </c>
      <c r="L39" s="178">
        <v>12000</v>
      </c>
      <c r="M39" s="179" t="s">
        <v>86</v>
      </c>
    </row>
    <row r="40" spans="1:13" ht="20.149999999999999" hidden="1" customHeight="1" x14ac:dyDescent="0.3">
      <c r="A40" s="173">
        <v>39</v>
      </c>
      <c r="B40" s="174" t="s">
        <v>80</v>
      </c>
      <c r="C40" s="175" t="s">
        <v>94</v>
      </c>
      <c r="D40" s="164" t="s">
        <v>91</v>
      </c>
      <c r="E40" s="176" t="s">
        <v>83</v>
      </c>
      <c r="F40" s="167">
        <v>44048.999988425901</v>
      </c>
      <c r="G40" s="167">
        <v>44048.729166666701</v>
      </c>
      <c r="H40" s="177" t="s">
        <v>84</v>
      </c>
      <c r="I40" s="163">
        <v>44100.637974537</v>
      </c>
      <c r="J40" s="163">
        <v>44100.5625</v>
      </c>
      <c r="K40" s="174" t="s">
        <v>85</v>
      </c>
      <c r="L40" s="178">
        <v>12000</v>
      </c>
      <c r="M40" s="179" t="s">
        <v>86</v>
      </c>
    </row>
    <row r="41" spans="1:13" ht="20.149999999999999" hidden="1" customHeight="1" x14ac:dyDescent="0.3">
      <c r="A41" s="162">
        <v>40</v>
      </c>
      <c r="B41" s="174" t="s">
        <v>80</v>
      </c>
      <c r="C41" s="175" t="s">
        <v>94</v>
      </c>
      <c r="D41" s="164" t="s">
        <v>123</v>
      </c>
      <c r="E41" s="176" t="s">
        <v>83</v>
      </c>
      <c r="F41" s="167">
        <v>44048.999988425901</v>
      </c>
      <c r="G41" s="167">
        <v>44048.729166666701</v>
      </c>
      <c r="H41" s="177" t="s">
        <v>84</v>
      </c>
      <c r="I41" s="163">
        <v>44100.637974537</v>
      </c>
      <c r="J41" s="163">
        <v>44100.5625</v>
      </c>
      <c r="K41" s="174" t="s">
        <v>85</v>
      </c>
      <c r="L41" s="178">
        <v>12000</v>
      </c>
      <c r="M41" s="179" t="s">
        <v>86</v>
      </c>
    </row>
    <row r="42" spans="1:13" ht="20.149999999999999" hidden="1" customHeight="1" x14ac:dyDescent="0.3">
      <c r="A42" s="173">
        <v>41</v>
      </c>
      <c r="B42" s="174" t="s">
        <v>80</v>
      </c>
      <c r="C42" s="175" t="s">
        <v>94</v>
      </c>
      <c r="D42" s="164" t="s">
        <v>124</v>
      </c>
      <c r="E42" s="176" t="s">
        <v>83</v>
      </c>
      <c r="F42" s="167">
        <v>44048.999988425901</v>
      </c>
      <c r="G42" s="167">
        <v>44048.729166666701</v>
      </c>
      <c r="H42" s="177" t="s">
        <v>84</v>
      </c>
      <c r="I42" s="163">
        <v>44100.637974537</v>
      </c>
      <c r="J42" s="163">
        <v>44100.5625</v>
      </c>
      <c r="K42" s="174" t="s">
        <v>85</v>
      </c>
      <c r="L42" s="178">
        <v>12000</v>
      </c>
      <c r="M42" s="179" t="s">
        <v>86</v>
      </c>
    </row>
    <row r="43" spans="1:13" ht="20.149999999999999" hidden="1" customHeight="1" x14ac:dyDescent="0.3">
      <c r="A43" s="162">
        <v>42</v>
      </c>
      <c r="B43" s="174" t="s">
        <v>80</v>
      </c>
      <c r="C43" s="175" t="s">
        <v>94</v>
      </c>
      <c r="D43" s="164" t="s">
        <v>125</v>
      </c>
      <c r="E43" s="176" t="s">
        <v>83</v>
      </c>
      <c r="F43" s="167">
        <v>44048.999988425901</v>
      </c>
      <c r="G43" s="167">
        <v>44048.729166666701</v>
      </c>
      <c r="H43" s="177" t="s">
        <v>84</v>
      </c>
      <c r="I43" s="163">
        <v>44100.637974537</v>
      </c>
      <c r="J43" s="163">
        <v>44100.5625</v>
      </c>
      <c r="K43" s="174" t="s">
        <v>85</v>
      </c>
      <c r="L43" s="178">
        <v>12000</v>
      </c>
      <c r="M43" s="179" t="s">
        <v>86</v>
      </c>
    </row>
    <row r="44" spans="1:13" ht="20.149999999999999" hidden="1" customHeight="1" x14ac:dyDescent="0.3">
      <c r="A44" s="173">
        <v>43</v>
      </c>
      <c r="B44" s="174" t="s">
        <v>80</v>
      </c>
      <c r="C44" s="175" t="s">
        <v>94</v>
      </c>
      <c r="D44" s="164" t="s">
        <v>126</v>
      </c>
      <c r="E44" s="176" t="s">
        <v>83</v>
      </c>
      <c r="F44" s="167">
        <v>44048.999988425901</v>
      </c>
      <c r="G44" s="167">
        <v>44048.729166666701</v>
      </c>
      <c r="H44" s="177" t="s">
        <v>84</v>
      </c>
      <c r="I44" s="163">
        <v>44100.637974537</v>
      </c>
      <c r="J44" s="163">
        <v>44100.5625</v>
      </c>
      <c r="K44" s="174" t="s">
        <v>85</v>
      </c>
      <c r="L44" s="178">
        <v>12000</v>
      </c>
      <c r="M44" s="179" t="s">
        <v>86</v>
      </c>
    </row>
    <row r="45" spans="1:13" ht="20.149999999999999" hidden="1" customHeight="1" x14ac:dyDescent="0.3">
      <c r="A45" s="162">
        <v>44</v>
      </c>
      <c r="B45" s="174" t="s">
        <v>80</v>
      </c>
      <c r="C45" s="175" t="s">
        <v>94</v>
      </c>
      <c r="D45" s="164" t="s">
        <v>127</v>
      </c>
      <c r="E45" s="176" t="s">
        <v>83</v>
      </c>
      <c r="F45" s="167">
        <v>44048.999988425901</v>
      </c>
      <c r="G45" s="167">
        <v>44048.729166666701</v>
      </c>
      <c r="H45" s="177" t="s">
        <v>84</v>
      </c>
      <c r="I45" s="163">
        <v>44100.637974537</v>
      </c>
      <c r="J45" s="163">
        <v>44100.5625</v>
      </c>
      <c r="K45" s="174" t="s">
        <v>85</v>
      </c>
      <c r="L45" s="178">
        <v>12000</v>
      </c>
      <c r="M45" s="179" t="s">
        <v>86</v>
      </c>
    </row>
    <row r="46" spans="1:13" ht="20.149999999999999" hidden="1" customHeight="1" x14ac:dyDescent="0.3">
      <c r="A46" s="173">
        <v>45</v>
      </c>
      <c r="B46" s="174" t="s">
        <v>80</v>
      </c>
      <c r="C46" s="175" t="s">
        <v>94</v>
      </c>
      <c r="D46" s="164" t="s">
        <v>128</v>
      </c>
      <c r="E46" s="176" t="s">
        <v>83</v>
      </c>
      <c r="F46" s="167">
        <v>44048.999988425901</v>
      </c>
      <c r="G46" s="167">
        <v>44048.729166666701</v>
      </c>
      <c r="H46" s="177" t="s">
        <v>84</v>
      </c>
      <c r="I46" s="163">
        <v>44100.637974537</v>
      </c>
      <c r="J46" s="163">
        <v>44100.5625</v>
      </c>
      <c r="K46" s="174" t="s">
        <v>85</v>
      </c>
      <c r="L46" s="178">
        <v>12000</v>
      </c>
      <c r="M46" s="179" t="s">
        <v>86</v>
      </c>
    </row>
    <row r="47" spans="1:13" ht="20.149999999999999" hidden="1" customHeight="1" x14ac:dyDescent="0.3">
      <c r="A47" s="162">
        <v>46</v>
      </c>
      <c r="B47" s="174" t="s">
        <v>80</v>
      </c>
      <c r="C47" s="175" t="s">
        <v>94</v>
      </c>
      <c r="D47" s="164" t="s">
        <v>129</v>
      </c>
      <c r="E47" s="176" t="s">
        <v>83</v>
      </c>
      <c r="F47" s="167">
        <v>44048.999988425901</v>
      </c>
      <c r="G47" s="167">
        <v>44048.729166666701</v>
      </c>
      <c r="H47" s="177" t="s">
        <v>84</v>
      </c>
      <c r="I47" s="163">
        <v>44100.637974537</v>
      </c>
      <c r="J47" s="163">
        <v>44100.5625</v>
      </c>
      <c r="K47" s="174" t="s">
        <v>85</v>
      </c>
      <c r="L47" s="178">
        <v>12000</v>
      </c>
      <c r="M47" s="179" t="s">
        <v>86</v>
      </c>
    </row>
    <row r="48" spans="1:13" ht="20.149999999999999" hidden="1" customHeight="1" x14ac:dyDescent="0.3">
      <c r="A48" s="173">
        <v>47</v>
      </c>
      <c r="B48" s="174" t="s">
        <v>80</v>
      </c>
      <c r="C48" s="175" t="s">
        <v>94</v>
      </c>
      <c r="D48" s="164" t="s">
        <v>130</v>
      </c>
      <c r="E48" s="176" t="s">
        <v>83</v>
      </c>
      <c r="F48" s="167">
        <v>44048.999988425901</v>
      </c>
      <c r="G48" s="167">
        <v>44048.729166666701</v>
      </c>
      <c r="H48" s="177" t="s">
        <v>84</v>
      </c>
      <c r="I48" s="163">
        <v>44100.637974537</v>
      </c>
      <c r="J48" s="163">
        <v>44100.5625</v>
      </c>
      <c r="K48" s="174" t="s">
        <v>85</v>
      </c>
      <c r="L48" s="178">
        <v>12000</v>
      </c>
      <c r="M48" s="179" t="s">
        <v>86</v>
      </c>
    </row>
    <row r="49" spans="1:13" ht="20.149999999999999" hidden="1" customHeight="1" x14ac:dyDescent="0.3">
      <c r="A49" s="162">
        <v>48</v>
      </c>
      <c r="B49" s="174" t="s">
        <v>80</v>
      </c>
      <c r="C49" s="175" t="s">
        <v>94</v>
      </c>
      <c r="D49" s="164" t="s">
        <v>131</v>
      </c>
      <c r="E49" s="176" t="s">
        <v>83</v>
      </c>
      <c r="F49" s="167">
        <v>44048.999988425901</v>
      </c>
      <c r="G49" s="167">
        <v>44048.729166666701</v>
      </c>
      <c r="H49" s="177" t="s">
        <v>84</v>
      </c>
      <c r="I49" s="163">
        <v>44100.637974537</v>
      </c>
      <c r="J49" s="163">
        <v>44100.5625</v>
      </c>
      <c r="K49" s="174" t="s">
        <v>85</v>
      </c>
      <c r="L49" s="178">
        <v>12000</v>
      </c>
      <c r="M49" s="179" t="s">
        <v>86</v>
      </c>
    </row>
    <row r="50" spans="1:13" ht="20.149999999999999" hidden="1" customHeight="1" x14ac:dyDescent="0.3">
      <c r="A50" s="173">
        <v>49</v>
      </c>
      <c r="B50" s="174" t="s">
        <v>80</v>
      </c>
      <c r="C50" s="175" t="s">
        <v>94</v>
      </c>
      <c r="D50" s="164" t="s">
        <v>132</v>
      </c>
      <c r="E50" s="176" t="s">
        <v>83</v>
      </c>
      <c r="F50" s="167">
        <v>44048.999988425901</v>
      </c>
      <c r="G50" s="167">
        <v>44048.729166666701</v>
      </c>
      <c r="H50" s="177" t="s">
        <v>84</v>
      </c>
      <c r="I50" s="163">
        <v>44100.637974537</v>
      </c>
      <c r="J50" s="163">
        <v>44100.5625</v>
      </c>
      <c r="K50" s="174" t="s">
        <v>85</v>
      </c>
      <c r="L50" s="178">
        <v>12000</v>
      </c>
      <c r="M50" s="179" t="s">
        <v>86</v>
      </c>
    </row>
    <row r="51" spans="1:13" ht="20.149999999999999" hidden="1" customHeight="1" x14ac:dyDescent="0.3">
      <c r="A51" s="162">
        <v>50</v>
      </c>
      <c r="B51" s="174" t="s">
        <v>80</v>
      </c>
      <c r="C51" s="175" t="s">
        <v>94</v>
      </c>
      <c r="D51" s="164" t="s">
        <v>133</v>
      </c>
      <c r="E51" s="176" t="s">
        <v>83</v>
      </c>
      <c r="F51" s="167">
        <v>44048.999988425901</v>
      </c>
      <c r="G51" s="167">
        <v>44048.729166666701</v>
      </c>
      <c r="H51" s="177" t="s">
        <v>84</v>
      </c>
      <c r="I51" s="163">
        <v>44100.637974537</v>
      </c>
      <c r="J51" s="163">
        <v>44100.5625</v>
      </c>
      <c r="K51" s="174" t="s">
        <v>85</v>
      </c>
      <c r="L51" s="178">
        <v>12000</v>
      </c>
      <c r="M51" s="179" t="s">
        <v>86</v>
      </c>
    </row>
    <row r="52" spans="1:13" ht="20.149999999999999" hidden="1" customHeight="1" x14ac:dyDescent="0.3">
      <c r="A52" s="173">
        <v>51</v>
      </c>
      <c r="B52" s="174" t="s">
        <v>80</v>
      </c>
      <c r="C52" s="175" t="s">
        <v>94</v>
      </c>
      <c r="D52" s="164" t="s">
        <v>134</v>
      </c>
      <c r="E52" s="176" t="s">
        <v>83</v>
      </c>
      <c r="F52" s="167">
        <v>44048.999988425901</v>
      </c>
      <c r="G52" s="167">
        <v>44048.729166666701</v>
      </c>
      <c r="H52" s="177" t="s">
        <v>84</v>
      </c>
      <c r="I52" s="163">
        <v>44100.637974537</v>
      </c>
      <c r="J52" s="163">
        <v>44100.5625</v>
      </c>
      <c r="K52" s="174" t="s">
        <v>85</v>
      </c>
      <c r="L52" s="178">
        <v>12000</v>
      </c>
      <c r="M52" s="179" t="s">
        <v>86</v>
      </c>
    </row>
    <row r="53" spans="1:13" ht="20.149999999999999" hidden="1" customHeight="1" x14ac:dyDescent="0.3">
      <c r="A53" s="162">
        <v>52</v>
      </c>
      <c r="B53" s="174" t="s">
        <v>80</v>
      </c>
      <c r="C53" s="175" t="s">
        <v>94</v>
      </c>
      <c r="D53" s="164" t="s">
        <v>135</v>
      </c>
      <c r="E53" s="176" t="s">
        <v>83</v>
      </c>
      <c r="F53" s="167">
        <v>44048.999988425901</v>
      </c>
      <c r="G53" s="167">
        <v>44048.729166666701</v>
      </c>
      <c r="H53" s="177" t="s">
        <v>84</v>
      </c>
      <c r="I53" s="163">
        <v>44100.637974537</v>
      </c>
      <c r="J53" s="163">
        <v>44100.5625</v>
      </c>
      <c r="K53" s="174" t="s">
        <v>85</v>
      </c>
      <c r="L53" s="178">
        <v>12000</v>
      </c>
      <c r="M53" s="179" t="s">
        <v>86</v>
      </c>
    </row>
    <row r="54" spans="1:13" ht="20.149999999999999" hidden="1" customHeight="1" x14ac:dyDescent="0.3">
      <c r="A54" s="173">
        <v>53</v>
      </c>
      <c r="B54" s="174" t="s">
        <v>80</v>
      </c>
      <c r="C54" s="175" t="s">
        <v>94</v>
      </c>
      <c r="D54" s="164" t="s">
        <v>136</v>
      </c>
      <c r="E54" s="176" t="s">
        <v>83</v>
      </c>
      <c r="F54" s="167">
        <v>44048.999988425901</v>
      </c>
      <c r="G54" s="167">
        <v>44048.729166666701</v>
      </c>
      <c r="H54" s="177" t="s">
        <v>84</v>
      </c>
      <c r="I54" s="163">
        <v>44100.637974537</v>
      </c>
      <c r="J54" s="163">
        <v>44100.5625</v>
      </c>
      <c r="K54" s="174" t="s">
        <v>85</v>
      </c>
      <c r="L54" s="178">
        <v>12000</v>
      </c>
      <c r="M54" s="179" t="s">
        <v>86</v>
      </c>
    </row>
    <row r="55" spans="1:13" ht="20.149999999999999" hidden="1" customHeight="1" x14ac:dyDescent="0.3">
      <c r="A55" s="162">
        <v>54</v>
      </c>
      <c r="B55" s="174" t="s">
        <v>80</v>
      </c>
      <c r="C55" s="175" t="s">
        <v>94</v>
      </c>
      <c r="D55" s="164" t="s">
        <v>137</v>
      </c>
      <c r="E55" s="176" t="s">
        <v>83</v>
      </c>
      <c r="F55" s="167">
        <v>44048.999988425901</v>
      </c>
      <c r="G55" s="167">
        <v>44048.729166666701</v>
      </c>
      <c r="H55" s="177" t="s">
        <v>84</v>
      </c>
      <c r="I55" s="163">
        <v>44100.637974537</v>
      </c>
      <c r="J55" s="163">
        <v>44100.5625</v>
      </c>
      <c r="K55" s="174" t="s">
        <v>85</v>
      </c>
      <c r="L55" s="178">
        <v>12000</v>
      </c>
      <c r="M55" s="179" t="s">
        <v>86</v>
      </c>
    </row>
    <row r="56" spans="1:13" ht="20.149999999999999" hidden="1" customHeight="1" x14ac:dyDescent="0.3">
      <c r="A56" s="173">
        <v>55</v>
      </c>
      <c r="B56" s="174" t="s">
        <v>80</v>
      </c>
      <c r="C56" s="175" t="s">
        <v>94</v>
      </c>
      <c r="D56" s="164" t="s">
        <v>138</v>
      </c>
      <c r="E56" s="176" t="s">
        <v>83</v>
      </c>
      <c r="F56" s="167">
        <v>44048.999988425901</v>
      </c>
      <c r="G56" s="167">
        <v>44048.729166666701</v>
      </c>
      <c r="H56" s="177" t="s">
        <v>84</v>
      </c>
      <c r="I56" s="163">
        <v>44100.637974537</v>
      </c>
      <c r="J56" s="163">
        <v>44100.5625</v>
      </c>
      <c r="K56" s="174" t="s">
        <v>85</v>
      </c>
      <c r="L56" s="178">
        <v>12000</v>
      </c>
      <c r="M56" s="179" t="s">
        <v>86</v>
      </c>
    </row>
    <row r="57" spans="1:13" ht="20.149999999999999" hidden="1" customHeight="1" x14ac:dyDescent="0.3">
      <c r="A57" s="162">
        <v>56</v>
      </c>
      <c r="B57" s="174" t="s">
        <v>80</v>
      </c>
      <c r="C57" s="175" t="s">
        <v>94</v>
      </c>
      <c r="D57" s="164" t="s">
        <v>139</v>
      </c>
      <c r="E57" s="176" t="s">
        <v>83</v>
      </c>
      <c r="F57" s="167">
        <v>44048.999988425901</v>
      </c>
      <c r="G57" s="167">
        <v>44048.729166666701</v>
      </c>
      <c r="H57" s="177" t="s">
        <v>84</v>
      </c>
      <c r="I57" s="163">
        <v>44100.637974537</v>
      </c>
      <c r="J57" s="163">
        <v>44100.5625</v>
      </c>
      <c r="K57" s="174" t="s">
        <v>85</v>
      </c>
      <c r="L57" s="178">
        <v>12000</v>
      </c>
      <c r="M57" s="179" t="s">
        <v>86</v>
      </c>
    </row>
    <row r="58" spans="1:13" ht="20.149999999999999" hidden="1" customHeight="1" x14ac:dyDescent="0.3">
      <c r="A58" s="173">
        <v>57</v>
      </c>
      <c r="B58" s="174" t="s">
        <v>80</v>
      </c>
      <c r="C58" s="175" t="s">
        <v>94</v>
      </c>
      <c r="D58" s="164" t="s">
        <v>140</v>
      </c>
      <c r="E58" s="176" t="s">
        <v>83</v>
      </c>
      <c r="F58" s="167">
        <v>44048.999988425901</v>
      </c>
      <c r="G58" s="167">
        <v>44048.729166666701</v>
      </c>
      <c r="H58" s="177" t="s">
        <v>84</v>
      </c>
      <c r="I58" s="163">
        <v>44100.637974537</v>
      </c>
      <c r="J58" s="163">
        <v>44100.5625</v>
      </c>
      <c r="K58" s="174" t="s">
        <v>85</v>
      </c>
      <c r="L58" s="178">
        <v>12000</v>
      </c>
      <c r="M58" s="179" t="s">
        <v>86</v>
      </c>
    </row>
    <row r="59" spans="1:13" ht="20.149999999999999" hidden="1" customHeight="1" x14ac:dyDescent="0.3">
      <c r="A59" s="162">
        <v>58</v>
      </c>
      <c r="B59" s="174" t="s">
        <v>80</v>
      </c>
      <c r="C59" s="175" t="s">
        <v>94</v>
      </c>
      <c r="D59" s="164" t="s">
        <v>141</v>
      </c>
      <c r="E59" s="176" t="s">
        <v>83</v>
      </c>
      <c r="F59" s="167">
        <v>44048.999988425901</v>
      </c>
      <c r="G59" s="167">
        <v>44048.729166666701</v>
      </c>
      <c r="H59" s="177" t="s">
        <v>84</v>
      </c>
      <c r="I59" s="163">
        <v>44100.637974537</v>
      </c>
      <c r="J59" s="163">
        <v>44100.5625</v>
      </c>
      <c r="K59" s="174" t="s">
        <v>85</v>
      </c>
      <c r="L59" s="178">
        <v>12000</v>
      </c>
      <c r="M59" s="179" t="s">
        <v>86</v>
      </c>
    </row>
    <row r="60" spans="1:13" ht="20.149999999999999" hidden="1" customHeight="1" x14ac:dyDescent="0.3">
      <c r="A60" s="173">
        <v>59</v>
      </c>
      <c r="B60" s="174" t="s">
        <v>80</v>
      </c>
      <c r="C60" s="175" t="s">
        <v>94</v>
      </c>
      <c r="D60" s="164" t="s">
        <v>142</v>
      </c>
      <c r="E60" s="176" t="s">
        <v>83</v>
      </c>
      <c r="F60" s="167">
        <v>44048.999988425901</v>
      </c>
      <c r="G60" s="167">
        <v>44048.729166666701</v>
      </c>
      <c r="H60" s="177" t="s">
        <v>84</v>
      </c>
      <c r="I60" s="163">
        <v>44100.637974537</v>
      </c>
      <c r="J60" s="163">
        <v>44100.5625</v>
      </c>
      <c r="K60" s="174" t="s">
        <v>85</v>
      </c>
      <c r="L60" s="178">
        <v>12000</v>
      </c>
      <c r="M60" s="179" t="s">
        <v>86</v>
      </c>
    </row>
    <row r="61" spans="1:13" ht="20.149999999999999" hidden="1" customHeight="1" x14ac:dyDescent="0.3">
      <c r="A61" s="162">
        <v>60</v>
      </c>
      <c r="B61" s="174" t="s">
        <v>80</v>
      </c>
      <c r="C61" s="175" t="s">
        <v>94</v>
      </c>
      <c r="D61" s="164" t="s">
        <v>143</v>
      </c>
      <c r="E61" s="176" t="s">
        <v>83</v>
      </c>
      <c r="F61" s="167">
        <v>44048.999988425901</v>
      </c>
      <c r="G61" s="167">
        <v>44048.729166666701</v>
      </c>
      <c r="H61" s="177" t="s">
        <v>84</v>
      </c>
      <c r="I61" s="163">
        <v>44100.637974537</v>
      </c>
      <c r="J61" s="163">
        <v>44100.5625</v>
      </c>
      <c r="K61" s="174" t="s">
        <v>85</v>
      </c>
      <c r="L61" s="178">
        <v>12000</v>
      </c>
      <c r="M61" s="179" t="s">
        <v>86</v>
      </c>
    </row>
    <row r="62" spans="1:13" ht="20.149999999999999" hidden="1" customHeight="1" x14ac:dyDescent="0.3">
      <c r="A62" s="173">
        <v>61</v>
      </c>
      <c r="B62" s="174" t="s">
        <v>80</v>
      </c>
      <c r="C62" s="175" t="s">
        <v>94</v>
      </c>
      <c r="D62" s="164" t="s">
        <v>144</v>
      </c>
      <c r="E62" s="176" t="s">
        <v>83</v>
      </c>
      <c r="F62" s="167">
        <v>44048.999988425901</v>
      </c>
      <c r="G62" s="167">
        <v>44048.729166666701</v>
      </c>
      <c r="H62" s="177" t="s">
        <v>84</v>
      </c>
      <c r="I62" s="163">
        <v>44100.637974537</v>
      </c>
      <c r="J62" s="163">
        <v>44100.5625</v>
      </c>
      <c r="K62" s="174" t="s">
        <v>85</v>
      </c>
      <c r="L62" s="178">
        <v>12000</v>
      </c>
      <c r="M62" s="179" t="s">
        <v>86</v>
      </c>
    </row>
    <row r="63" spans="1:13" ht="20.149999999999999" hidden="1" customHeight="1" x14ac:dyDescent="0.3">
      <c r="A63" s="162">
        <v>62</v>
      </c>
      <c r="B63" s="174" t="s">
        <v>80</v>
      </c>
      <c r="C63" s="175" t="s">
        <v>94</v>
      </c>
      <c r="D63" s="164" t="s">
        <v>145</v>
      </c>
      <c r="E63" s="176" t="s">
        <v>83</v>
      </c>
      <c r="F63" s="167">
        <v>44048.999988425901</v>
      </c>
      <c r="G63" s="167">
        <v>44048.729166666701</v>
      </c>
      <c r="H63" s="177" t="s">
        <v>84</v>
      </c>
      <c r="I63" s="163">
        <v>44100.637974537</v>
      </c>
      <c r="J63" s="163">
        <v>44100.5625</v>
      </c>
      <c r="K63" s="174" t="s">
        <v>85</v>
      </c>
      <c r="L63" s="178">
        <v>12000</v>
      </c>
      <c r="M63" s="179" t="s">
        <v>86</v>
      </c>
    </row>
    <row r="64" spans="1:13" ht="20.149999999999999" hidden="1" customHeight="1" x14ac:dyDescent="0.3">
      <c r="A64" s="173">
        <v>63</v>
      </c>
      <c r="B64" s="174" t="s">
        <v>80</v>
      </c>
      <c r="C64" s="175" t="s">
        <v>94</v>
      </c>
      <c r="D64" s="164" t="s">
        <v>146</v>
      </c>
      <c r="E64" s="176" t="s">
        <v>83</v>
      </c>
      <c r="F64" s="167">
        <v>44048.999988425901</v>
      </c>
      <c r="G64" s="167">
        <v>44048.729166666701</v>
      </c>
      <c r="H64" s="177" t="s">
        <v>84</v>
      </c>
      <c r="I64" s="163">
        <v>44100.637974537</v>
      </c>
      <c r="J64" s="163">
        <v>44100.5625</v>
      </c>
      <c r="K64" s="174" t="s">
        <v>85</v>
      </c>
      <c r="L64" s="178">
        <v>12000</v>
      </c>
      <c r="M64" s="179" t="s">
        <v>86</v>
      </c>
    </row>
    <row r="65" spans="1:13" ht="20.149999999999999" hidden="1" customHeight="1" x14ac:dyDescent="0.3">
      <c r="A65" s="162">
        <v>64</v>
      </c>
      <c r="B65" s="174" t="s">
        <v>80</v>
      </c>
      <c r="C65" s="175" t="s">
        <v>94</v>
      </c>
      <c r="D65" s="164" t="s">
        <v>147</v>
      </c>
      <c r="E65" s="176" t="s">
        <v>83</v>
      </c>
      <c r="F65" s="167">
        <v>44048.999988425901</v>
      </c>
      <c r="G65" s="167">
        <v>44048.729166666701</v>
      </c>
      <c r="H65" s="177" t="s">
        <v>84</v>
      </c>
      <c r="I65" s="163">
        <v>44100.637974537</v>
      </c>
      <c r="J65" s="163">
        <v>44100.5625</v>
      </c>
      <c r="K65" s="174" t="s">
        <v>85</v>
      </c>
      <c r="L65" s="178">
        <v>12000</v>
      </c>
      <c r="M65" s="179" t="s">
        <v>86</v>
      </c>
    </row>
    <row r="66" spans="1:13" ht="20.149999999999999" hidden="1" customHeight="1" x14ac:dyDescent="0.3">
      <c r="A66" s="173">
        <v>65</v>
      </c>
      <c r="B66" s="174" t="s">
        <v>80</v>
      </c>
      <c r="C66" s="175" t="s">
        <v>94</v>
      </c>
      <c r="D66" s="164" t="s">
        <v>148</v>
      </c>
      <c r="E66" s="176" t="s">
        <v>83</v>
      </c>
      <c r="F66" s="167">
        <v>44048.999988425901</v>
      </c>
      <c r="G66" s="167">
        <v>44048.729166666701</v>
      </c>
      <c r="H66" s="177" t="s">
        <v>84</v>
      </c>
      <c r="I66" s="163">
        <v>44100.637974537</v>
      </c>
      <c r="J66" s="163">
        <v>44100.5625</v>
      </c>
      <c r="K66" s="174" t="s">
        <v>85</v>
      </c>
      <c r="L66" s="178">
        <v>12000</v>
      </c>
      <c r="M66" s="179" t="s">
        <v>86</v>
      </c>
    </row>
    <row r="67" spans="1:13" ht="20.149999999999999" hidden="1" customHeight="1" x14ac:dyDescent="0.3">
      <c r="A67" s="162">
        <v>66</v>
      </c>
      <c r="B67" s="174" t="s">
        <v>80</v>
      </c>
      <c r="C67" s="175" t="s">
        <v>94</v>
      </c>
      <c r="D67" s="164" t="s">
        <v>149</v>
      </c>
      <c r="E67" s="176" t="s">
        <v>83</v>
      </c>
      <c r="F67" s="167">
        <v>44048.999988425901</v>
      </c>
      <c r="G67" s="167">
        <v>44048.729166666701</v>
      </c>
      <c r="H67" s="177" t="s">
        <v>84</v>
      </c>
      <c r="I67" s="163">
        <v>44100.637974537</v>
      </c>
      <c r="J67" s="163">
        <v>44100.5625</v>
      </c>
      <c r="K67" s="174" t="s">
        <v>85</v>
      </c>
      <c r="L67" s="178">
        <v>12000</v>
      </c>
      <c r="M67" s="179" t="s">
        <v>86</v>
      </c>
    </row>
    <row r="68" spans="1:13" ht="20.149999999999999" hidden="1" customHeight="1" x14ac:dyDescent="0.3">
      <c r="A68" s="173">
        <v>67</v>
      </c>
      <c r="B68" s="174" t="s">
        <v>80</v>
      </c>
      <c r="C68" s="175" t="s">
        <v>94</v>
      </c>
      <c r="D68" s="164" t="s">
        <v>150</v>
      </c>
      <c r="E68" s="176" t="s">
        <v>83</v>
      </c>
      <c r="F68" s="167">
        <v>44048.999988425901</v>
      </c>
      <c r="G68" s="167">
        <v>44048.729166666701</v>
      </c>
      <c r="H68" s="177" t="s">
        <v>84</v>
      </c>
      <c r="I68" s="163">
        <v>44100.637974537</v>
      </c>
      <c r="J68" s="163">
        <v>44100.5625</v>
      </c>
      <c r="K68" s="174" t="s">
        <v>85</v>
      </c>
      <c r="L68" s="178">
        <v>12000</v>
      </c>
      <c r="M68" s="179" t="s">
        <v>86</v>
      </c>
    </row>
    <row r="69" spans="1:13" ht="20.149999999999999" hidden="1" customHeight="1" x14ac:dyDescent="0.3">
      <c r="A69" s="162">
        <v>68</v>
      </c>
      <c r="B69" s="174" t="s">
        <v>80</v>
      </c>
      <c r="C69" s="175" t="s">
        <v>94</v>
      </c>
      <c r="D69" s="164" t="s">
        <v>151</v>
      </c>
      <c r="E69" s="176" t="s">
        <v>83</v>
      </c>
      <c r="F69" s="167">
        <v>44048.999988425901</v>
      </c>
      <c r="G69" s="167">
        <v>44048.729166666701</v>
      </c>
      <c r="H69" s="177" t="s">
        <v>84</v>
      </c>
      <c r="I69" s="163">
        <v>44100.637974537</v>
      </c>
      <c r="J69" s="163">
        <v>44100.5625</v>
      </c>
      <c r="K69" s="174" t="s">
        <v>85</v>
      </c>
      <c r="L69" s="178">
        <v>12000</v>
      </c>
      <c r="M69" s="179" t="s">
        <v>86</v>
      </c>
    </row>
    <row r="70" spans="1:13" ht="20.149999999999999" hidden="1" customHeight="1" x14ac:dyDescent="0.3">
      <c r="A70" s="173">
        <v>69</v>
      </c>
      <c r="B70" s="174" t="s">
        <v>80</v>
      </c>
      <c r="C70" s="175" t="s">
        <v>94</v>
      </c>
      <c r="D70" s="164" t="s">
        <v>152</v>
      </c>
      <c r="E70" s="176" t="s">
        <v>83</v>
      </c>
      <c r="F70" s="167">
        <v>44048.999988425901</v>
      </c>
      <c r="G70" s="167">
        <v>44048.729166666701</v>
      </c>
      <c r="H70" s="177" t="s">
        <v>84</v>
      </c>
      <c r="I70" s="163">
        <v>44100.637974537</v>
      </c>
      <c r="J70" s="163">
        <v>44100.5625</v>
      </c>
      <c r="K70" s="174" t="s">
        <v>85</v>
      </c>
      <c r="L70" s="178">
        <v>12000</v>
      </c>
      <c r="M70" s="179" t="s">
        <v>86</v>
      </c>
    </row>
    <row r="71" spans="1:13" ht="20.149999999999999" hidden="1" customHeight="1" x14ac:dyDescent="0.3">
      <c r="A71" s="162">
        <v>70</v>
      </c>
      <c r="B71" s="174" t="s">
        <v>80</v>
      </c>
      <c r="C71" s="175" t="s">
        <v>94</v>
      </c>
      <c r="D71" s="164" t="s">
        <v>153</v>
      </c>
      <c r="E71" s="176" t="s">
        <v>83</v>
      </c>
      <c r="F71" s="167">
        <v>44048.999988425901</v>
      </c>
      <c r="G71" s="167">
        <v>44048.729166666701</v>
      </c>
      <c r="H71" s="177" t="s">
        <v>84</v>
      </c>
      <c r="I71" s="163">
        <v>44100.637974537</v>
      </c>
      <c r="J71" s="163">
        <v>44100.5625</v>
      </c>
      <c r="K71" s="174" t="s">
        <v>85</v>
      </c>
      <c r="L71" s="178">
        <v>12000</v>
      </c>
      <c r="M71" s="179" t="s">
        <v>86</v>
      </c>
    </row>
    <row r="72" spans="1:13" ht="20.149999999999999" hidden="1" customHeight="1" x14ac:dyDescent="0.3">
      <c r="A72" s="173">
        <v>71</v>
      </c>
      <c r="B72" s="174" t="s">
        <v>80</v>
      </c>
      <c r="C72" s="175" t="s">
        <v>94</v>
      </c>
      <c r="D72" s="164" t="s">
        <v>154</v>
      </c>
      <c r="E72" s="176" t="s">
        <v>83</v>
      </c>
      <c r="F72" s="167">
        <v>44048.999988425901</v>
      </c>
      <c r="G72" s="167">
        <v>44048.729166666701</v>
      </c>
      <c r="H72" s="177" t="s">
        <v>84</v>
      </c>
      <c r="I72" s="163">
        <v>44100.637974537</v>
      </c>
      <c r="J72" s="163">
        <v>44100.5625</v>
      </c>
      <c r="K72" s="174" t="s">
        <v>85</v>
      </c>
      <c r="L72" s="178">
        <v>12000</v>
      </c>
      <c r="M72" s="179" t="s">
        <v>86</v>
      </c>
    </row>
    <row r="73" spans="1:13" ht="20.149999999999999" hidden="1" customHeight="1" x14ac:dyDescent="0.3">
      <c r="A73" s="162">
        <v>72</v>
      </c>
      <c r="B73" s="174" t="s">
        <v>80</v>
      </c>
      <c r="C73" s="175" t="s">
        <v>94</v>
      </c>
      <c r="D73" s="164" t="s">
        <v>155</v>
      </c>
      <c r="E73" s="176" t="s">
        <v>83</v>
      </c>
      <c r="F73" s="167">
        <v>44048.999988425901</v>
      </c>
      <c r="G73" s="167">
        <v>44048.729166666701</v>
      </c>
      <c r="H73" s="177" t="s">
        <v>84</v>
      </c>
      <c r="I73" s="163">
        <v>44100.637974537</v>
      </c>
      <c r="J73" s="163">
        <v>44100.5625</v>
      </c>
      <c r="K73" s="174" t="s">
        <v>85</v>
      </c>
      <c r="L73" s="178">
        <v>12000</v>
      </c>
      <c r="M73" s="179" t="s">
        <v>86</v>
      </c>
    </row>
    <row r="74" spans="1:13" ht="20.149999999999999" hidden="1" customHeight="1" x14ac:dyDescent="0.3">
      <c r="A74" s="173">
        <v>73</v>
      </c>
      <c r="B74" s="174" t="s">
        <v>80</v>
      </c>
      <c r="C74" s="175" t="s">
        <v>94</v>
      </c>
      <c r="D74" s="164" t="s">
        <v>156</v>
      </c>
      <c r="E74" s="176" t="s">
        <v>83</v>
      </c>
      <c r="F74" s="167">
        <v>44048.999988425901</v>
      </c>
      <c r="G74" s="167">
        <v>44048.729166666701</v>
      </c>
      <c r="H74" s="177" t="s">
        <v>84</v>
      </c>
      <c r="I74" s="163">
        <v>44100.637974537</v>
      </c>
      <c r="J74" s="163">
        <v>44100.5625</v>
      </c>
      <c r="K74" s="174" t="s">
        <v>85</v>
      </c>
      <c r="L74" s="178">
        <v>12000</v>
      </c>
      <c r="M74" s="179" t="s">
        <v>86</v>
      </c>
    </row>
    <row r="75" spans="1:13" ht="20.149999999999999" hidden="1" customHeight="1" x14ac:dyDescent="0.3">
      <c r="A75" s="162">
        <v>74</v>
      </c>
      <c r="B75" s="174" t="s">
        <v>80</v>
      </c>
      <c r="C75" s="175" t="s">
        <v>94</v>
      </c>
      <c r="D75" s="169" t="s">
        <v>157</v>
      </c>
      <c r="E75" s="180" t="s">
        <v>83</v>
      </c>
      <c r="F75" s="167">
        <v>44048.999988425901</v>
      </c>
      <c r="G75" s="167">
        <v>44048.729166666701</v>
      </c>
      <c r="H75" s="177" t="s">
        <v>84</v>
      </c>
      <c r="I75" s="163">
        <v>44100.637974537</v>
      </c>
      <c r="J75" s="163">
        <v>44100.5625</v>
      </c>
      <c r="K75" s="174" t="s">
        <v>85</v>
      </c>
      <c r="L75" s="178">
        <v>12000</v>
      </c>
      <c r="M75" s="179" t="s">
        <v>86</v>
      </c>
    </row>
    <row r="76" spans="1:13" ht="20.149999999999999" hidden="1" customHeight="1" x14ac:dyDescent="0.3">
      <c r="A76" s="173">
        <v>75</v>
      </c>
      <c r="B76" s="174" t="s">
        <v>80</v>
      </c>
      <c r="C76" s="175" t="s">
        <v>94</v>
      </c>
      <c r="D76" s="169" t="s">
        <v>158</v>
      </c>
      <c r="E76" s="180" t="s">
        <v>83</v>
      </c>
      <c r="F76" s="167">
        <v>44048.999988425901</v>
      </c>
      <c r="G76" s="167">
        <v>44048.729166666701</v>
      </c>
      <c r="H76" s="177" t="s">
        <v>84</v>
      </c>
      <c r="I76" s="163">
        <v>44100.637974537</v>
      </c>
      <c r="J76" s="163">
        <v>44100.5625</v>
      </c>
      <c r="K76" s="174" t="s">
        <v>85</v>
      </c>
      <c r="L76" s="178">
        <v>12000</v>
      </c>
      <c r="M76" s="179" t="s">
        <v>86</v>
      </c>
    </row>
    <row r="77" spans="1:13" ht="20.149999999999999" hidden="1" customHeight="1" x14ac:dyDescent="0.3">
      <c r="A77" s="162">
        <v>76</v>
      </c>
      <c r="B77" s="174" t="s">
        <v>80</v>
      </c>
      <c r="C77" s="175" t="s">
        <v>94</v>
      </c>
      <c r="D77" s="169" t="s">
        <v>159</v>
      </c>
      <c r="E77" s="180" t="s">
        <v>83</v>
      </c>
      <c r="F77" s="167">
        <v>44048.999988425901</v>
      </c>
      <c r="G77" s="167">
        <v>44048.729166666701</v>
      </c>
      <c r="H77" s="177" t="s">
        <v>84</v>
      </c>
      <c r="I77" s="163">
        <v>44100.637974537</v>
      </c>
      <c r="J77" s="163">
        <v>44100.5625</v>
      </c>
      <c r="K77" s="174" t="s">
        <v>85</v>
      </c>
      <c r="L77" s="178">
        <v>12000</v>
      </c>
      <c r="M77" s="179" t="s">
        <v>86</v>
      </c>
    </row>
    <row r="78" spans="1:13" ht="20.149999999999999" hidden="1" customHeight="1" x14ac:dyDescent="0.3">
      <c r="A78" s="173">
        <v>77</v>
      </c>
      <c r="B78" s="174" t="s">
        <v>80</v>
      </c>
      <c r="C78" s="175" t="s">
        <v>94</v>
      </c>
      <c r="D78" s="169" t="s">
        <v>160</v>
      </c>
      <c r="E78" s="180" t="s">
        <v>83</v>
      </c>
      <c r="F78" s="167">
        <v>44048.999988425901</v>
      </c>
      <c r="G78" s="167">
        <v>44048.729166666701</v>
      </c>
      <c r="H78" s="177" t="s">
        <v>84</v>
      </c>
      <c r="I78" s="163">
        <v>44100.637974537</v>
      </c>
      <c r="J78" s="163">
        <v>44100.5625</v>
      </c>
      <c r="K78" s="174" t="s">
        <v>85</v>
      </c>
      <c r="L78" s="178">
        <v>12000</v>
      </c>
      <c r="M78" s="179" t="s">
        <v>86</v>
      </c>
    </row>
    <row r="79" spans="1:13" ht="20.149999999999999" hidden="1" customHeight="1" x14ac:dyDescent="0.3">
      <c r="A79" s="162">
        <v>78</v>
      </c>
      <c r="B79" s="174" t="s">
        <v>80</v>
      </c>
      <c r="C79" s="175" t="s">
        <v>94</v>
      </c>
      <c r="D79" s="169" t="s">
        <v>161</v>
      </c>
      <c r="E79" s="180" t="s">
        <v>83</v>
      </c>
      <c r="F79" s="167">
        <v>44048.999988425901</v>
      </c>
      <c r="G79" s="167">
        <v>44048.729166666701</v>
      </c>
      <c r="H79" s="177" t="s">
        <v>84</v>
      </c>
      <c r="I79" s="163">
        <v>44100.637974537</v>
      </c>
      <c r="J79" s="163">
        <v>44100.5625</v>
      </c>
      <c r="K79" s="174" t="s">
        <v>85</v>
      </c>
      <c r="L79" s="178">
        <v>12000</v>
      </c>
      <c r="M79" s="179" t="s">
        <v>86</v>
      </c>
    </row>
    <row r="80" spans="1:13" ht="20.149999999999999" hidden="1" customHeight="1" x14ac:dyDescent="0.3">
      <c r="A80" s="173">
        <v>79</v>
      </c>
      <c r="B80" s="174" t="s">
        <v>80</v>
      </c>
      <c r="C80" s="175" t="s">
        <v>94</v>
      </c>
      <c r="D80" s="169" t="s">
        <v>162</v>
      </c>
      <c r="E80" s="180" t="s">
        <v>83</v>
      </c>
      <c r="F80" s="167">
        <v>44048.999988425901</v>
      </c>
      <c r="G80" s="167">
        <v>44048.729166666701</v>
      </c>
      <c r="H80" s="177" t="s">
        <v>84</v>
      </c>
      <c r="I80" s="163">
        <v>44100.637974537</v>
      </c>
      <c r="J80" s="163">
        <v>44100.5625</v>
      </c>
      <c r="K80" s="174" t="s">
        <v>85</v>
      </c>
      <c r="L80" s="178">
        <v>12000</v>
      </c>
      <c r="M80" s="179" t="s">
        <v>86</v>
      </c>
    </row>
    <row r="81" spans="1:13" ht="20.149999999999999" hidden="1" customHeight="1" x14ac:dyDescent="0.3">
      <c r="A81" s="162">
        <v>80</v>
      </c>
      <c r="B81" s="174" t="s">
        <v>80</v>
      </c>
      <c r="C81" s="175" t="s">
        <v>94</v>
      </c>
      <c r="D81" s="169" t="s">
        <v>163</v>
      </c>
      <c r="E81" s="180" t="s">
        <v>83</v>
      </c>
      <c r="F81" s="167">
        <v>44048.999988425901</v>
      </c>
      <c r="G81" s="167">
        <v>44048.729166666701</v>
      </c>
      <c r="H81" s="177" t="s">
        <v>84</v>
      </c>
      <c r="I81" s="163">
        <v>44100.637974537</v>
      </c>
      <c r="J81" s="163">
        <v>44100.5625</v>
      </c>
      <c r="K81" s="174" t="s">
        <v>85</v>
      </c>
      <c r="L81" s="178">
        <v>12000</v>
      </c>
      <c r="M81" s="179" t="s">
        <v>86</v>
      </c>
    </row>
    <row r="82" spans="1:13" ht="20.149999999999999" hidden="1" customHeight="1" x14ac:dyDescent="0.3">
      <c r="A82" s="173">
        <v>81</v>
      </c>
      <c r="B82" s="174" t="s">
        <v>80</v>
      </c>
      <c r="C82" s="175" t="s">
        <v>94</v>
      </c>
      <c r="D82" s="169" t="s">
        <v>164</v>
      </c>
      <c r="E82" s="180" t="s">
        <v>83</v>
      </c>
      <c r="F82" s="167">
        <v>44048.999988425901</v>
      </c>
      <c r="G82" s="167">
        <v>44048.729166666701</v>
      </c>
      <c r="H82" s="177" t="s">
        <v>84</v>
      </c>
      <c r="I82" s="163">
        <v>44100.637974537</v>
      </c>
      <c r="J82" s="163">
        <v>44100.5625</v>
      </c>
      <c r="K82" s="174" t="s">
        <v>85</v>
      </c>
      <c r="L82" s="178">
        <v>12000</v>
      </c>
      <c r="M82" s="179" t="s">
        <v>86</v>
      </c>
    </row>
    <row r="83" spans="1:13" ht="20.149999999999999" hidden="1" customHeight="1" x14ac:dyDescent="0.3">
      <c r="A83" s="162">
        <v>82</v>
      </c>
      <c r="B83" s="174" t="s">
        <v>80</v>
      </c>
      <c r="C83" s="175" t="s">
        <v>94</v>
      </c>
      <c r="D83" s="169" t="s">
        <v>165</v>
      </c>
      <c r="E83" s="180" t="s">
        <v>83</v>
      </c>
      <c r="F83" s="167">
        <v>44048.999988425901</v>
      </c>
      <c r="G83" s="167">
        <v>44048.729166666701</v>
      </c>
      <c r="H83" s="177" t="s">
        <v>84</v>
      </c>
      <c r="I83" s="163">
        <v>44100.637974537</v>
      </c>
      <c r="J83" s="163">
        <v>44100.5625</v>
      </c>
      <c r="K83" s="174" t="s">
        <v>85</v>
      </c>
      <c r="L83" s="178">
        <v>12000</v>
      </c>
      <c r="M83" s="179" t="s">
        <v>86</v>
      </c>
    </row>
    <row r="84" spans="1:13" ht="20.149999999999999" hidden="1" customHeight="1" x14ac:dyDescent="0.3">
      <c r="A84" s="173">
        <v>83</v>
      </c>
      <c r="B84" s="174" t="s">
        <v>80</v>
      </c>
      <c r="C84" s="175" t="s">
        <v>94</v>
      </c>
      <c r="D84" s="169" t="s">
        <v>166</v>
      </c>
      <c r="E84" s="180" t="s">
        <v>83</v>
      </c>
      <c r="F84" s="167">
        <v>44048.999988425901</v>
      </c>
      <c r="G84" s="167">
        <v>44048.729166666701</v>
      </c>
      <c r="H84" s="177" t="s">
        <v>84</v>
      </c>
      <c r="I84" s="163">
        <v>44100.637974537</v>
      </c>
      <c r="J84" s="163">
        <v>44100.5625</v>
      </c>
      <c r="K84" s="174" t="s">
        <v>85</v>
      </c>
      <c r="L84" s="178">
        <v>12000</v>
      </c>
      <c r="M84" s="179" t="s">
        <v>86</v>
      </c>
    </row>
    <row r="85" spans="1:13" ht="20.149999999999999" hidden="1" customHeight="1" x14ac:dyDescent="0.3">
      <c r="A85" s="162">
        <v>84</v>
      </c>
      <c r="B85" s="174" t="s">
        <v>80</v>
      </c>
      <c r="C85" s="175" t="s">
        <v>94</v>
      </c>
      <c r="D85" s="169" t="s">
        <v>167</v>
      </c>
      <c r="E85" s="180" t="s">
        <v>83</v>
      </c>
      <c r="F85" s="167">
        <v>44048.999988425901</v>
      </c>
      <c r="G85" s="167">
        <v>44048.729166666701</v>
      </c>
      <c r="H85" s="177" t="s">
        <v>84</v>
      </c>
      <c r="I85" s="163">
        <v>44100.637974537</v>
      </c>
      <c r="J85" s="163">
        <v>44100.5625</v>
      </c>
      <c r="K85" s="174" t="s">
        <v>85</v>
      </c>
      <c r="L85" s="178">
        <v>12000</v>
      </c>
      <c r="M85" s="179" t="s">
        <v>86</v>
      </c>
    </row>
    <row r="86" spans="1:13" ht="20.149999999999999" hidden="1" customHeight="1" x14ac:dyDescent="0.3">
      <c r="A86" s="173">
        <v>85</v>
      </c>
      <c r="B86" s="174" t="s">
        <v>80</v>
      </c>
      <c r="C86" s="175" t="s">
        <v>94</v>
      </c>
      <c r="D86" s="178" t="s">
        <v>168</v>
      </c>
      <c r="E86" s="181" t="s">
        <v>83</v>
      </c>
      <c r="F86" s="182">
        <v>44048.999988425901</v>
      </c>
      <c r="G86" s="182">
        <v>44048.729166666701</v>
      </c>
      <c r="H86" s="177" t="s">
        <v>84</v>
      </c>
      <c r="I86" s="174">
        <v>44100.637974537</v>
      </c>
      <c r="J86" s="174">
        <v>44100.5625</v>
      </c>
      <c r="K86" s="174" t="s">
        <v>85</v>
      </c>
      <c r="L86" s="178">
        <v>12000</v>
      </c>
      <c r="M86" s="179" t="s">
        <v>86</v>
      </c>
    </row>
    <row r="87" spans="1:13" ht="20.149999999999999" hidden="1" customHeight="1" x14ac:dyDescent="0.3">
      <c r="A87" s="162">
        <v>86</v>
      </c>
      <c r="B87" s="183" t="s">
        <v>80</v>
      </c>
      <c r="C87" s="184" t="s">
        <v>94</v>
      </c>
      <c r="D87" s="184" t="s">
        <v>169</v>
      </c>
      <c r="E87" s="180" t="s">
        <v>83</v>
      </c>
      <c r="F87" s="167">
        <v>44048.999988425901</v>
      </c>
      <c r="G87" s="167">
        <v>44048.729166666701</v>
      </c>
      <c r="H87" s="185" t="s">
        <v>84</v>
      </c>
      <c r="I87" s="183">
        <v>44100.637974537</v>
      </c>
      <c r="J87" s="183">
        <v>44100.5625</v>
      </c>
      <c r="K87" s="183" t="s">
        <v>85</v>
      </c>
      <c r="L87" s="184">
        <v>12000</v>
      </c>
      <c r="M87" s="185" t="s">
        <v>86</v>
      </c>
    </row>
    <row r="88" spans="1:13" ht="20.149999999999999" hidden="1" customHeight="1" x14ac:dyDescent="0.3">
      <c r="A88" s="162">
        <v>87</v>
      </c>
      <c r="B88" s="183" t="s">
        <v>80</v>
      </c>
      <c r="C88" s="184" t="s">
        <v>94</v>
      </c>
      <c r="D88" s="184" t="s">
        <v>170</v>
      </c>
      <c r="E88" s="180" t="s">
        <v>83</v>
      </c>
      <c r="F88" s="167">
        <v>44048.999988425901</v>
      </c>
      <c r="G88" s="167">
        <v>44048.729166666701</v>
      </c>
      <c r="H88" s="185" t="s">
        <v>84</v>
      </c>
      <c r="I88" s="183">
        <v>44100.637974537</v>
      </c>
      <c r="J88" s="183">
        <v>44100.5625</v>
      </c>
      <c r="K88" s="183" t="s">
        <v>85</v>
      </c>
      <c r="L88" s="184">
        <v>12000</v>
      </c>
      <c r="M88" s="185" t="s">
        <v>86</v>
      </c>
    </row>
    <row r="89" spans="1:13" ht="20.149999999999999" customHeight="1" x14ac:dyDescent="0.3">
      <c r="A89" s="173">
        <v>88</v>
      </c>
      <c r="B89" s="183" t="s">
        <v>80</v>
      </c>
      <c r="C89" s="183" t="s">
        <v>171</v>
      </c>
      <c r="D89" s="183" t="s">
        <v>172</v>
      </c>
      <c r="E89" s="180" t="s">
        <v>173</v>
      </c>
      <c r="F89" s="167">
        <v>44271.467291666697</v>
      </c>
      <c r="G89" s="167">
        <v>44270.696516203701</v>
      </c>
      <c r="H89" s="185" t="s">
        <v>174</v>
      </c>
      <c r="I89" s="183">
        <v>44776.448611111096</v>
      </c>
      <c r="J89" s="183">
        <v>44777.625</v>
      </c>
      <c r="K89" s="183" t="s">
        <v>175</v>
      </c>
      <c r="L89" s="184">
        <v>12000</v>
      </c>
      <c r="M89" s="184" t="s">
        <v>176</v>
      </c>
    </row>
    <row r="90" spans="1:13" ht="20.149999999999999" customHeight="1" x14ac:dyDescent="0.3">
      <c r="A90" s="162">
        <v>89</v>
      </c>
      <c r="B90" s="183" t="s">
        <v>80</v>
      </c>
      <c r="C90" s="183" t="s">
        <v>171</v>
      </c>
      <c r="D90" s="183" t="s">
        <v>177</v>
      </c>
      <c r="E90" s="180" t="s">
        <v>173</v>
      </c>
      <c r="F90" s="167">
        <v>44271.467291666697</v>
      </c>
      <c r="G90" s="167">
        <v>44270.696516203701</v>
      </c>
      <c r="H90" s="185" t="s">
        <v>174</v>
      </c>
      <c r="I90" s="183">
        <v>44776.448611111096</v>
      </c>
      <c r="J90" s="183">
        <v>44777.633333333302</v>
      </c>
      <c r="K90" s="183" t="s">
        <v>175</v>
      </c>
      <c r="L90" s="184">
        <v>12000</v>
      </c>
      <c r="M90" s="184" t="s">
        <v>176</v>
      </c>
    </row>
    <row r="91" spans="1:13" ht="20.149999999999999" customHeight="1" x14ac:dyDescent="0.3">
      <c r="A91" s="162">
        <v>90</v>
      </c>
      <c r="B91" s="183" t="s">
        <v>80</v>
      </c>
      <c r="C91" s="183" t="s">
        <v>171</v>
      </c>
      <c r="D91" s="183" t="s">
        <v>178</v>
      </c>
      <c r="E91" s="180" t="s">
        <v>173</v>
      </c>
      <c r="F91" s="167">
        <v>44271.467291666697</v>
      </c>
      <c r="G91" s="167">
        <v>44270.696516203701</v>
      </c>
      <c r="H91" s="185" t="s">
        <v>174</v>
      </c>
      <c r="I91" s="183">
        <v>44776.448611111096</v>
      </c>
      <c r="J91" s="183">
        <v>44777.641666666699</v>
      </c>
      <c r="K91" s="183" t="s">
        <v>175</v>
      </c>
      <c r="L91" s="184">
        <v>12000</v>
      </c>
      <c r="M91" s="184" t="s">
        <v>176</v>
      </c>
    </row>
    <row r="92" spans="1:13" ht="20.149999999999999" customHeight="1" x14ac:dyDescent="0.3">
      <c r="A92" s="173">
        <v>91</v>
      </c>
      <c r="B92" s="183" t="s">
        <v>80</v>
      </c>
      <c r="C92" s="183" t="s">
        <v>171</v>
      </c>
      <c r="D92" s="183" t="s">
        <v>129</v>
      </c>
      <c r="E92" s="180" t="s">
        <v>173</v>
      </c>
      <c r="F92" s="167">
        <v>44271.467291666697</v>
      </c>
      <c r="G92" s="167">
        <v>44270.696516203701</v>
      </c>
      <c r="H92" s="185" t="s">
        <v>174</v>
      </c>
      <c r="I92" s="183">
        <v>44776.448611111096</v>
      </c>
      <c r="J92" s="183">
        <v>44777.65</v>
      </c>
      <c r="K92" s="183" t="s">
        <v>175</v>
      </c>
      <c r="L92" s="184">
        <v>12000</v>
      </c>
      <c r="M92" s="184" t="s">
        <v>176</v>
      </c>
    </row>
    <row r="93" spans="1:13" ht="20.149999999999999" customHeight="1" x14ac:dyDescent="0.3">
      <c r="A93" s="162">
        <v>92</v>
      </c>
      <c r="B93" s="183" t="s">
        <v>80</v>
      </c>
      <c r="C93" s="183" t="s">
        <v>171</v>
      </c>
      <c r="D93" s="183" t="s">
        <v>130</v>
      </c>
      <c r="E93" s="180" t="s">
        <v>173</v>
      </c>
      <c r="F93" s="167">
        <v>44271.467291666697</v>
      </c>
      <c r="G93" s="167">
        <v>44270.696516203701</v>
      </c>
      <c r="H93" s="185" t="s">
        <v>174</v>
      </c>
      <c r="I93" s="183">
        <v>44776.448611111096</v>
      </c>
      <c r="J93" s="183">
        <v>44777.658333333296</v>
      </c>
      <c r="K93" s="183" t="s">
        <v>175</v>
      </c>
      <c r="L93" s="184">
        <v>12000</v>
      </c>
      <c r="M93" s="184" t="s">
        <v>176</v>
      </c>
    </row>
    <row r="94" spans="1:13" ht="20.149999999999999" customHeight="1" x14ac:dyDescent="0.3">
      <c r="A94" s="162">
        <v>93</v>
      </c>
      <c r="B94" s="183" t="s">
        <v>80</v>
      </c>
      <c r="C94" s="183" t="s">
        <v>171</v>
      </c>
      <c r="D94" s="183" t="s">
        <v>131</v>
      </c>
      <c r="E94" s="180" t="s">
        <v>173</v>
      </c>
      <c r="F94" s="167">
        <v>44271.467291666697</v>
      </c>
      <c r="G94" s="167">
        <v>44270.696516203701</v>
      </c>
      <c r="H94" s="185" t="s">
        <v>174</v>
      </c>
      <c r="I94" s="183">
        <v>44776.448611111096</v>
      </c>
      <c r="J94" s="183">
        <v>44777.666666666701</v>
      </c>
      <c r="K94" s="183" t="s">
        <v>175</v>
      </c>
      <c r="L94" s="184">
        <v>12000</v>
      </c>
      <c r="M94" s="184" t="s">
        <v>176</v>
      </c>
    </row>
    <row r="95" spans="1:13" ht="20.149999999999999" customHeight="1" x14ac:dyDescent="0.3">
      <c r="A95" s="173">
        <v>94</v>
      </c>
      <c r="B95" s="183" t="s">
        <v>80</v>
      </c>
      <c r="C95" s="183" t="s">
        <v>171</v>
      </c>
      <c r="D95" s="183" t="s">
        <v>132</v>
      </c>
      <c r="E95" s="180" t="s">
        <v>173</v>
      </c>
      <c r="F95" s="167">
        <v>44271.467291666697</v>
      </c>
      <c r="G95" s="167">
        <v>44270.696516203701</v>
      </c>
      <c r="H95" s="185" t="s">
        <v>174</v>
      </c>
      <c r="I95" s="183">
        <v>44776.448611111096</v>
      </c>
      <c r="J95" s="183">
        <v>44777.675000000003</v>
      </c>
      <c r="K95" s="183" t="s">
        <v>175</v>
      </c>
      <c r="L95" s="184">
        <v>12000</v>
      </c>
      <c r="M95" s="184" t="s">
        <v>176</v>
      </c>
    </row>
    <row r="96" spans="1:13" ht="20.149999999999999" customHeight="1" x14ac:dyDescent="0.3">
      <c r="A96" s="173">
        <v>95</v>
      </c>
      <c r="B96" s="183" t="s">
        <v>80</v>
      </c>
      <c r="C96" s="183" t="s">
        <v>171</v>
      </c>
      <c r="D96" s="183" t="s">
        <v>133</v>
      </c>
      <c r="E96" s="180" t="s">
        <v>173</v>
      </c>
      <c r="F96" s="167">
        <v>44271.467291666697</v>
      </c>
      <c r="G96" s="167">
        <v>44270.696516203701</v>
      </c>
      <c r="H96" s="185" t="s">
        <v>174</v>
      </c>
      <c r="I96" s="183">
        <v>44776.448611111096</v>
      </c>
      <c r="J96" s="183">
        <v>44777.683333333298</v>
      </c>
      <c r="K96" s="183" t="s">
        <v>175</v>
      </c>
      <c r="L96" s="184">
        <v>12000</v>
      </c>
      <c r="M96" s="184" t="s">
        <v>176</v>
      </c>
    </row>
    <row r="97" spans="1:13" ht="20.149999999999999" customHeight="1" x14ac:dyDescent="0.3">
      <c r="A97" s="162">
        <v>96</v>
      </c>
      <c r="B97" s="183" t="s">
        <v>80</v>
      </c>
      <c r="C97" s="183" t="s">
        <v>171</v>
      </c>
      <c r="D97" s="183" t="s">
        <v>134</v>
      </c>
      <c r="E97" s="180" t="s">
        <v>173</v>
      </c>
      <c r="F97" s="167">
        <v>44271.467291666697</v>
      </c>
      <c r="G97" s="167">
        <v>44270.696516203701</v>
      </c>
      <c r="H97" s="185" t="s">
        <v>174</v>
      </c>
      <c r="I97" s="183">
        <v>44776.448611111096</v>
      </c>
      <c r="J97" s="183">
        <v>44777.691666666702</v>
      </c>
      <c r="K97" s="183" t="s">
        <v>175</v>
      </c>
      <c r="L97" s="184">
        <v>12000</v>
      </c>
      <c r="M97" s="184" t="s">
        <v>176</v>
      </c>
    </row>
    <row r="98" spans="1:13" ht="20.149999999999999" customHeight="1" x14ac:dyDescent="0.3">
      <c r="A98" s="162">
        <v>97</v>
      </c>
      <c r="B98" s="183" t="s">
        <v>80</v>
      </c>
      <c r="C98" s="183" t="s">
        <v>171</v>
      </c>
      <c r="D98" s="183" t="s">
        <v>179</v>
      </c>
      <c r="E98" s="180" t="s">
        <v>173</v>
      </c>
      <c r="F98" s="167">
        <v>44271.467291666697</v>
      </c>
      <c r="G98" s="167">
        <v>44270.696516203701</v>
      </c>
      <c r="H98" s="185" t="s">
        <v>174</v>
      </c>
      <c r="I98" s="183">
        <v>44776.448611111096</v>
      </c>
      <c r="J98" s="183">
        <v>44777.701388888898</v>
      </c>
      <c r="K98" s="183" t="s">
        <v>175</v>
      </c>
      <c r="L98" s="184">
        <v>12000</v>
      </c>
      <c r="M98" s="184" t="s">
        <v>176</v>
      </c>
    </row>
    <row r="99" spans="1:13" ht="20.149999999999999" hidden="1" customHeight="1" x14ac:dyDescent="0.3">
      <c r="A99" s="162">
        <v>98</v>
      </c>
      <c r="B99" s="183" t="s">
        <v>80</v>
      </c>
      <c r="C99" s="183" t="s">
        <v>81</v>
      </c>
      <c r="D99" s="183" t="s">
        <v>111</v>
      </c>
      <c r="E99" s="186" t="s">
        <v>173</v>
      </c>
      <c r="F99" s="186">
        <v>44457.735486111102</v>
      </c>
      <c r="G99" s="186">
        <v>44457.736562500002</v>
      </c>
      <c r="H99" s="183" t="s">
        <v>84</v>
      </c>
      <c r="I99" s="183">
        <v>44887.440335648098</v>
      </c>
      <c r="J99" s="183">
        <v>44889.740451388898</v>
      </c>
      <c r="K99" s="183" t="s">
        <v>85</v>
      </c>
      <c r="L99" s="184">
        <v>12000</v>
      </c>
      <c r="M99" s="183" t="s">
        <v>86</v>
      </c>
    </row>
    <row r="100" spans="1:13" ht="20.149999999999999" hidden="1" customHeight="1" x14ac:dyDescent="0.3">
      <c r="A100" s="162">
        <v>99</v>
      </c>
      <c r="B100" s="183" t="s">
        <v>80</v>
      </c>
      <c r="C100" s="183" t="s">
        <v>81</v>
      </c>
      <c r="D100" s="183" t="s">
        <v>112</v>
      </c>
      <c r="E100" s="186" t="s">
        <v>173</v>
      </c>
      <c r="F100" s="186">
        <v>44457.735486111102</v>
      </c>
      <c r="G100" s="186">
        <v>44457.736562500002</v>
      </c>
      <c r="H100" s="183" t="s">
        <v>84</v>
      </c>
      <c r="I100" s="183">
        <v>44887.440335648098</v>
      </c>
      <c r="J100" s="183">
        <v>44889.740578703699</v>
      </c>
      <c r="K100" s="183" t="s">
        <v>85</v>
      </c>
      <c r="L100" s="184">
        <v>12000</v>
      </c>
      <c r="M100" s="183" t="s">
        <v>86</v>
      </c>
    </row>
    <row r="101" spans="1:13" ht="20.149999999999999" hidden="1" customHeight="1" x14ac:dyDescent="0.3">
      <c r="A101" s="162">
        <v>100</v>
      </c>
      <c r="B101" s="183" t="s">
        <v>80</v>
      </c>
      <c r="C101" s="183" t="s">
        <v>81</v>
      </c>
      <c r="D101" s="183" t="s">
        <v>121</v>
      </c>
      <c r="E101" s="186" t="s">
        <v>173</v>
      </c>
      <c r="F101" s="186">
        <v>44466.857418981497</v>
      </c>
      <c r="G101" s="186">
        <v>44466.7104398148</v>
      </c>
      <c r="H101" s="183" t="s">
        <v>84</v>
      </c>
      <c r="I101" s="183">
        <v>44887.440335648098</v>
      </c>
      <c r="J101" s="183">
        <v>44889.740671296298</v>
      </c>
      <c r="K101" s="183" t="s">
        <v>85</v>
      </c>
      <c r="L101" s="184">
        <v>12000</v>
      </c>
      <c r="M101" s="183" t="s">
        <v>86</v>
      </c>
    </row>
    <row r="102" spans="1:13" ht="20.149999999999999" hidden="1" customHeight="1" x14ac:dyDescent="0.3">
      <c r="A102" s="162">
        <v>101</v>
      </c>
      <c r="B102" s="183" t="s">
        <v>80</v>
      </c>
      <c r="C102" s="183" t="s">
        <v>81</v>
      </c>
      <c r="D102" s="183" t="s">
        <v>122</v>
      </c>
      <c r="E102" s="186" t="s">
        <v>173</v>
      </c>
      <c r="F102" s="186">
        <v>44466.857418981497</v>
      </c>
      <c r="G102" s="186">
        <v>44466.7104398148</v>
      </c>
      <c r="H102" s="183" t="s">
        <v>84</v>
      </c>
      <c r="I102" s="183">
        <v>44887.440335648098</v>
      </c>
      <c r="J102" s="183">
        <v>44889.740763888898</v>
      </c>
      <c r="K102" s="183" t="s">
        <v>85</v>
      </c>
      <c r="L102" s="184">
        <v>12000</v>
      </c>
      <c r="M102" s="183" t="s">
        <v>86</v>
      </c>
    </row>
    <row r="103" spans="1:13" ht="20.149999999999999" hidden="1" customHeight="1" x14ac:dyDescent="0.3">
      <c r="A103" s="162">
        <v>102</v>
      </c>
      <c r="B103" s="183" t="s">
        <v>80</v>
      </c>
      <c r="C103" s="183" t="s">
        <v>81</v>
      </c>
      <c r="D103" s="183" t="s">
        <v>151</v>
      </c>
      <c r="E103" s="186" t="s">
        <v>173</v>
      </c>
      <c r="F103" s="186">
        <v>44483.755324074104</v>
      </c>
      <c r="G103" s="186">
        <v>44484.698240740698</v>
      </c>
      <c r="H103" s="183" t="s">
        <v>84</v>
      </c>
      <c r="I103" s="183">
        <v>44887.440335648098</v>
      </c>
      <c r="J103" s="183">
        <v>44889.740868055596</v>
      </c>
      <c r="K103" s="183" t="s">
        <v>85</v>
      </c>
      <c r="L103" s="184">
        <v>12000</v>
      </c>
      <c r="M103" s="183" t="s">
        <v>86</v>
      </c>
    </row>
    <row r="104" spans="1:13" ht="20.149999999999999" hidden="1" customHeight="1" x14ac:dyDescent="0.3">
      <c r="A104" s="162">
        <v>103</v>
      </c>
      <c r="B104" s="183" t="s">
        <v>80</v>
      </c>
      <c r="C104" s="183" t="s">
        <v>81</v>
      </c>
      <c r="D104" s="183" t="s">
        <v>152</v>
      </c>
      <c r="E104" s="186" t="s">
        <v>173</v>
      </c>
      <c r="F104" s="186">
        <v>44483.755324074104</v>
      </c>
      <c r="G104" s="186">
        <v>44484.698240740698</v>
      </c>
      <c r="H104" s="183" t="s">
        <v>84</v>
      </c>
      <c r="I104" s="183">
        <v>44887.440335648098</v>
      </c>
      <c r="J104" s="183">
        <v>44889.7410185185</v>
      </c>
      <c r="K104" s="183" t="s">
        <v>85</v>
      </c>
      <c r="L104" s="184">
        <v>12000</v>
      </c>
      <c r="M104" s="183" t="s">
        <v>86</v>
      </c>
    </row>
    <row r="105" spans="1:13" ht="20.149999999999999" hidden="1" customHeight="1" x14ac:dyDescent="0.3">
      <c r="A105" s="162">
        <v>104</v>
      </c>
      <c r="B105" s="183" t="s">
        <v>80</v>
      </c>
      <c r="C105" s="183" t="s">
        <v>81</v>
      </c>
      <c r="D105" s="183" t="s">
        <v>153</v>
      </c>
      <c r="E105" s="186" t="s">
        <v>173</v>
      </c>
      <c r="F105" s="186">
        <v>44483.755324074104</v>
      </c>
      <c r="G105" s="186">
        <v>44484.698240740698</v>
      </c>
      <c r="H105" s="183" t="s">
        <v>84</v>
      </c>
      <c r="I105" s="183">
        <v>44887.440335648098</v>
      </c>
      <c r="J105" s="183">
        <v>44889.741157407399</v>
      </c>
      <c r="K105" s="183" t="s">
        <v>85</v>
      </c>
      <c r="L105" s="184">
        <v>12000</v>
      </c>
      <c r="M105" s="183" t="s">
        <v>86</v>
      </c>
    </row>
    <row r="106" spans="1:13" ht="20.149999999999999" hidden="1" customHeight="1" x14ac:dyDescent="0.3">
      <c r="A106" s="162">
        <v>105</v>
      </c>
      <c r="B106" s="183" t="s">
        <v>80</v>
      </c>
      <c r="C106" s="183" t="s">
        <v>81</v>
      </c>
      <c r="D106" s="183" t="s">
        <v>154</v>
      </c>
      <c r="E106" s="186" t="s">
        <v>173</v>
      </c>
      <c r="F106" s="186">
        <v>44483.755324074104</v>
      </c>
      <c r="G106" s="186">
        <v>44484.698240740698</v>
      </c>
      <c r="H106" s="183" t="s">
        <v>84</v>
      </c>
      <c r="I106" s="183">
        <v>44887.440335648098</v>
      </c>
      <c r="J106" s="183">
        <v>44889.741261574098</v>
      </c>
      <c r="K106" s="183" t="s">
        <v>85</v>
      </c>
      <c r="L106" s="184">
        <v>12000</v>
      </c>
      <c r="M106" s="183" t="s">
        <v>86</v>
      </c>
    </row>
    <row r="107" spans="1:13" ht="20.149999999999999" hidden="1" customHeight="1" x14ac:dyDescent="0.3">
      <c r="A107" s="162">
        <v>106</v>
      </c>
      <c r="B107" s="183" t="s">
        <v>80</v>
      </c>
      <c r="C107" s="183" t="s">
        <v>81</v>
      </c>
      <c r="D107" s="183" t="s">
        <v>155</v>
      </c>
      <c r="E107" s="186" t="s">
        <v>173</v>
      </c>
      <c r="F107" s="186">
        <v>44483.755324074104</v>
      </c>
      <c r="G107" s="186">
        <v>44484.698240740698</v>
      </c>
      <c r="H107" s="183" t="s">
        <v>84</v>
      </c>
      <c r="I107" s="183">
        <v>44887.440335648098</v>
      </c>
      <c r="J107" s="183">
        <v>44889.7414699074</v>
      </c>
      <c r="K107" s="183" t="s">
        <v>85</v>
      </c>
      <c r="L107" s="184">
        <v>12000</v>
      </c>
      <c r="M107" s="183" t="s">
        <v>86</v>
      </c>
    </row>
    <row r="108" spans="1:13" ht="20.149999999999999" hidden="1" customHeight="1" x14ac:dyDescent="0.3">
      <c r="A108" s="162">
        <v>107</v>
      </c>
      <c r="B108" s="183" t="s">
        <v>80</v>
      </c>
      <c r="C108" s="183" t="s">
        <v>81</v>
      </c>
      <c r="D108" s="183" t="s">
        <v>156</v>
      </c>
      <c r="E108" s="186" t="s">
        <v>173</v>
      </c>
      <c r="F108" s="186">
        <v>44483.755324074104</v>
      </c>
      <c r="G108" s="186">
        <v>44484.698240740698</v>
      </c>
      <c r="H108" s="183" t="s">
        <v>84</v>
      </c>
      <c r="I108" s="183">
        <v>44887.440335648098</v>
      </c>
      <c r="J108" s="183">
        <v>44889.741354166697</v>
      </c>
      <c r="K108" s="183" t="s">
        <v>85</v>
      </c>
      <c r="L108" s="184">
        <v>12000</v>
      </c>
      <c r="M108" s="183" t="s">
        <v>86</v>
      </c>
    </row>
    <row r="109" spans="1:13" ht="20.149999999999999" hidden="1" customHeight="1" x14ac:dyDescent="0.3">
      <c r="A109" s="162">
        <v>108</v>
      </c>
      <c r="B109" s="183" t="s">
        <v>80</v>
      </c>
      <c r="C109" s="183" t="s">
        <v>81</v>
      </c>
      <c r="D109" s="183" t="s">
        <v>161</v>
      </c>
      <c r="E109" s="186" t="s">
        <v>83</v>
      </c>
      <c r="F109" s="186">
        <v>44483.755324074104</v>
      </c>
      <c r="G109" s="186">
        <v>44484.698240740698</v>
      </c>
      <c r="H109" s="183" t="s">
        <v>84</v>
      </c>
      <c r="I109" s="183">
        <v>44887.440335648098</v>
      </c>
      <c r="J109" s="183">
        <v>44889.741585648102</v>
      </c>
      <c r="K109" s="183" t="s">
        <v>85</v>
      </c>
      <c r="L109" s="184">
        <v>12000</v>
      </c>
      <c r="M109" s="183" t="s">
        <v>86</v>
      </c>
    </row>
    <row r="110" spans="1:13" ht="20.149999999999999" hidden="1" customHeight="1" x14ac:dyDescent="0.3">
      <c r="A110" s="162">
        <v>109</v>
      </c>
      <c r="B110" s="183" t="s">
        <v>80</v>
      </c>
      <c r="C110" s="183" t="s">
        <v>81</v>
      </c>
      <c r="D110" s="183" t="s">
        <v>162</v>
      </c>
      <c r="E110" s="186" t="s">
        <v>83</v>
      </c>
      <c r="F110" s="186">
        <v>44483.755324074104</v>
      </c>
      <c r="G110" s="186">
        <v>44484.698240740698</v>
      </c>
      <c r="H110" s="183" t="s">
        <v>84</v>
      </c>
      <c r="I110" s="183">
        <v>44887.440335648098</v>
      </c>
      <c r="J110" s="183">
        <v>44889.7416898148</v>
      </c>
      <c r="K110" s="183" t="s">
        <v>85</v>
      </c>
      <c r="L110" s="184">
        <v>12000</v>
      </c>
      <c r="M110" s="183" t="s">
        <v>86</v>
      </c>
    </row>
    <row r="111" spans="1:13" ht="20.149999999999999" customHeight="1" x14ac:dyDescent="0.3">
      <c r="A111" s="187">
        <v>110</v>
      </c>
      <c r="B111" s="186" t="s">
        <v>80</v>
      </c>
      <c r="C111" s="186" t="s">
        <v>180</v>
      </c>
      <c r="D111" s="186" t="s">
        <v>159</v>
      </c>
      <c r="E111" s="186" t="s">
        <v>173</v>
      </c>
      <c r="F111" s="186">
        <v>45304.669780092598</v>
      </c>
      <c r="G111" s="186">
        <v>45306.627268518503</v>
      </c>
      <c r="H111" s="186" t="s">
        <v>174</v>
      </c>
      <c r="I111" s="134">
        <v>45428.618240740703</v>
      </c>
      <c r="J111" s="134">
        <v>45435.4140625</v>
      </c>
      <c r="K111" s="186" t="s">
        <v>85</v>
      </c>
      <c r="L111" s="188">
        <v>12000</v>
      </c>
      <c r="M111" s="186" t="s">
        <v>86</v>
      </c>
    </row>
    <row r="112" spans="1:13" ht="20.149999999999999" customHeight="1" x14ac:dyDescent="0.3">
      <c r="A112" s="187">
        <v>111</v>
      </c>
      <c r="B112" s="186" t="s">
        <v>80</v>
      </c>
      <c r="C112" s="186" t="s">
        <v>180</v>
      </c>
      <c r="D112" s="186" t="s">
        <v>160</v>
      </c>
      <c r="E112" s="186" t="s">
        <v>173</v>
      </c>
      <c r="F112" s="186">
        <v>45304.669872685197</v>
      </c>
      <c r="G112" s="186">
        <v>45306.627349536997</v>
      </c>
      <c r="H112" s="186" t="s">
        <v>174</v>
      </c>
      <c r="I112" s="134">
        <v>45428.618240740703</v>
      </c>
      <c r="J112" s="134">
        <v>45435.4141087963</v>
      </c>
      <c r="K112" s="186" t="s">
        <v>85</v>
      </c>
      <c r="L112" s="188">
        <v>12000</v>
      </c>
      <c r="M112" s="186" t="s">
        <v>86</v>
      </c>
    </row>
    <row r="113" spans="1:13" ht="20.149999999999999" customHeight="1" x14ac:dyDescent="0.3">
      <c r="A113" s="187">
        <v>112</v>
      </c>
      <c r="B113" s="186" t="s">
        <v>80</v>
      </c>
      <c r="C113" s="186" t="s">
        <v>180</v>
      </c>
      <c r="D113" s="186" t="s">
        <v>161</v>
      </c>
      <c r="E113" s="186" t="s">
        <v>173</v>
      </c>
      <c r="F113" s="186">
        <v>45304.670081018499</v>
      </c>
      <c r="G113" s="186">
        <v>45306.630335648202</v>
      </c>
      <c r="H113" s="186" t="s">
        <v>174</v>
      </c>
      <c r="I113" s="134">
        <v>45428.618240740703</v>
      </c>
      <c r="J113" s="134">
        <v>45435.4141550926</v>
      </c>
      <c r="K113" s="186" t="s">
        <v>85</v>
      </c>
      <c r="L113" s="188">
        <v>12000</v>
      </c>
      <c r="M113" s="186" t="s">
        <v>86</v>
      </c>
    </row>
    <row r="114" spans="1:13" ht="20.149999999999999" customHeight="1" x14ac:dyDescent="0.3">
      <c r="A114" s="187">
        <v>113</v>
      </c>
      <c r="B114" s="186" t="s">
        <v>80</v>
      </c>
      <c r="C114" s="186" t="s">
        <v>180</v>
      </c>
      <c r="D114" s="186" t="s">
        <v>162</v>
      </c>
      <c r="E114" s="186" t="s">
        <v>173</v>
      </c>
      <c r="F114" s="186">
        <v>45304.670138888898</v>
      </c>
      <c r="G114" s="186">
        <v>45306.630358796298</v>
      </c>
      <c r="H114" s="186" t="s">
        <v>174</v>
      </c>
      <c r="I114" s="134">
        <v>45428.618240740703</v>
      </c>
      <c r="J114" s="134">
        <v>45435.4142013889</v>
      </c>
      <c r="K114" s="49" t="s">
        <v>85</v>
      </c>
      <c r="L114" s="188">
        <v>12000</v>
      </c>
      <c r="M114" s="186" t="s">
        <v>86</v>
      </c>
    </row>
    <row r="115" spans="1:13" s="154" customFormat="1" ht="20.149999999999999" hidden="1" customHeight="1" x14ac:dyDescent="0.3">
      <c r="A115" s="226">
        <v>114</v>
      </c>
      <c r="B115" s="226" t="s">
        <v>80</v>
      </c>
      <c r="C115" s="226" t="s">
        <v>81</v>
      </c>
      <c r="D115" s="226" t="s">
        <v>181</v>
      </c>
      <c r="E115" s="134" t="s">
        <v>173</v>
      </c>
      <c r="F115" s="134">
        <v>44810.576296296298</v>
      </c>
      <c r="G115" s="186">
        <v>44810.6745717593</v>
      </c>
      <c r="H115" s="186" t="s">
        <v>182</v>
      </c>
      <c r="I115" s="186">
        <v>45191.725972222201</v>
      </c>
      <c r="J115" s="186">
        <v>45207.575497685197</v>
      </c>
      <c r="K115" s="186" t="s">
        <v>85</v>
      </c>
      <c r="L115" s="188">
        <v>12000</v>
      </c>
      <c r="M115" s="134" t="s">
        <v>86</v>
      </c>
    </row>
    <row r="116" spans="1:13" s="154" customFormat="1" ht="19.3" hidden="1" customHeight="1" x14ac:dyDescent="0.3">
      <c r="A116" s="227"/>
      <c r="B116" s="227"/>
      <c r="C116" s="227"/>
      <c r="D116" s="227"/>
      <c r="E116" s="134" t="s">
        <v>183</v>
      </c>
      <c r="F116" s="134">
        <v>45343.630682870396</v>
      </c>
      <c r="G116" s="186">
        <v>45343.546886574099</v>
      </c>
      <c r="H116" s="186" t="s">
        <v>174</v>
      </c>
      <c r="I116" s="134">
        <v>45457.618078703701</v>
      </c>
      <c r="J116" s="134">
        <v>45460.679606481499</v>
      </c>
      <c r="K116" s="186" t="s">
        <v>85</v>
      </c>
      <c r="L116" s="188">
        <v>12000</v>
      </c>
      <c r="M116" s="134" t="s">
        <v>86</v>
      </c>
    </row>
    <row r="117" spans="1:13" s="154" customFormat="1" ht="20.149999999999999" customHeight="1" x14ac:dyDescent="0.4">
      <c r="A117" s="31">
        <v>115</v>
      </c>
      <c r="B117" s="189" t="s">
        <v>80</v>
      </c>
      <c r="C117" s="121" t="s">
        <v>180</v>
      </c>
      <c r="D117" s="121" t="s">
        <v>100</v>
      </c>
      <c r="E117" s="121" t="s">
        <v>173</v>
      </c>
      <c r="F117" s="130">
        <v>45806.581793981502</v>
      </c>
      <c r="G117" s="130">
        <v>45813.364976851903</v>
      </c>
      <c r="H117" s="186" t="s">
        <v>174</v>
      </c>
      <c r="I117" s="134">
        <v>45820.586851851898</v>
      </c>
      <c r="J117" s="134">
        <v>45820.718460648102</v>
      </c>
      <c r="K117" s="102" t="s">
        <v>184</v>
      </c>
      <c r="L117" s="103">
        <v>16000</v>
      </c>
      <c r="M117" s="51" t="s">
        <v>86</v>
      </c>
    </row>
    <row r="118" spans="1:13" s="154" customFormat="1" ht="20.149999999999999" customHeight="1" x14ac:dyDescent="0.4">
      <c r="A118" s="31">
        <v>116</v>
      </c>
      <c r="B118" s="189" t="s">
        <v>80</v>
      </c>
      <c r="C118" s="121" t="s">
        <v>171</v>
      </c>
      <c r="D118" s="121" t="s">
        <v>185</v>
      </c>
      <c r="E118" s="121" t="s">
        <v>173</v>
      </c>
      <c r="F118" s="130">
        <v>45806.582233796304</v>
      </c>
      <c r="G118" s="130">
        <v>45813.364629629599</v>
      </c>
      <c r="H118" s="186" t="s">
        <v>174</v>
      </c>
      <c r="I118" s="134">
        <v>45820.586851851898</v>
      </c>
      <c r="J118" s="134">
        <v>45820.718460648102</v>
      </c>
      <c r="K118" s="102" t="s">
        <v>184</v>
      </c>
      <c r="L118" s="103">
        <v>16000</v>
      </c>
      <c r="M118" s="51" t="s">
        <v>86</v>
      </c>
    </row>
    <row r="119" spans="1:13" s="154" customFormat="1" ht="20.149999999999999" customHeight="1" x14ac:dyDescent="0.4">
      <c r="A119" s="31">
        <v>117</v>
      </c>
      <c r="B119" s="189" t="s">
        <v>80</v>
      </c>
      <c r="C119" s="121" t="s">
        <v>180</v>
      </c>
      <c r="D119" s="121" t="s">
        <v>186</v>
      </c>
      <c r="E119" s="121" t="s">
        <v>173</v>
      </c>
      <c r="F119" s="130">
        <v>45806.5852662037</v>
      </c>
      <c r="G119" s="130">
        <v>45813.364780092597</v>
      </c>
      <c r="H119" s="186" t="s">
        <v>174</v>
      </c>
      <c r="I119" s="134">
        <v>45820.586851851898</v>
      </c>
      <c r="J119" s="134">
        <v>45820.718460648102</v>
      </c>
      <c r="K119" s="102" t="s">
        <v>184</v>
      </c>
      <c r="L119" s="103">
        <v>16000</v>
      </c>
      <c r="M119" s="51" t="s">
        <v>86</v>
      </c>
    </row>
    <row r="120" spans="1:13" s="155" customFormat="1" ht="39" customHeight="1" x14ac:dyDescent="0.35">
      <c r="A120" s="31">
        <v>118</v>
      </c>
      <c r="B120" s="189" t="s">
        <v>80</v>
      </c>
      <c r="C120" s="121" t="s">
        <v>180</v>
      </c>
      <c r="D120" s="121" t="s">
        <v>187</v>
      </c>
      <c r="E120" s="121" t="s">
        <v>173</v>
      </c>
      <c r="F120" s="130">
        <v>45806.583078703698</v>
      </c>
      <c r="G120" s="130">
        <v>45813.364884259303</v>
      </c>
      <c r="H120" s="51" t="s">
        <v>188</v>
      </c>
      <c r="I120" s="134" t="s">
        <v>189</v>
      </c>
      <c r="J120" s="134" t="s">
        <v>190</v>
      </c>
      <c r="K120" s="149" t="s">
        <v>184</v>
      </c>
      <c r="L120" s="190">
        <v>16000</v>
      </c>
      <c r="M120" s="51" t="s">
        <v>86</v>
      </c>
    </row>
    <row r="121" spans="1:13" s="154" customFormat="1" ht="20.149999999999999" customHeight="1" x14ac:dyDescent="0.4">
      <c r="A121" s="31">
        <v>119</v>
      </c>
      <c r="B121" s="189" t="s">
        <v>80</v>
      </c>
      <c r="C121" s="121" t="s">
        <v>180</v>
      </c>
      <c r="D121" s="121" t="s">
        <v>102</v>
      </c>
      <c r="E121" s="121" t="s">
        <v>173</v>
      </c>
      <c r="F121" s="130">
        <v>45806.581134259301</v>
      </c>
      <c r="G121" s="130">
        <v>45813.365034722199</v>
      </c>
      <c r="H121" s="191" t="s">
        <v>174</v>
      </c>
      <c r="I121" s="134">
        <v>45820.586851851898</v>
      </c>
      <c r="J121" s="134">
        <v>45820.718460648102</v>
      </c>
      <c r="K121" s="102" t="s">
        <v>184</v>
      </c>
      <c r="L121" s="103">
        <v>16000</v>
      </c>
      <c r="M121" s="51" t="s">
        <v>86</v>
      </c>
    </row>
    <row r="122" spans="1:13" s="154" customFormat="1" ht="20.149999999999999" customHeight="1" x14ac:dyDescent="0.4">
      <c r="A122" s="31">
        <v>120</v>
      </c>
      <c r="B122" s="189" t="s">
        <v>80</v>
      </c>
      <c r="C122" s="121" t="s">
        <v>180</v>
      </c>
      <c r="D122" s="121" t="s">
        <v>191</v>
      </c>
      <c r="E122" s="121" t="s">
        <v>173</v>
      </c>
      <c r="F122" s="130">
        <v>45806.5850347222</v>
      </c>
      <c r="G122" s="130">
        <v>45813.364837963003</v>
      </c>
      <c r="H122" s="186" t="s">
        <v>174</v>
      </c>
      <c r="I122" s="134">
        <v>45820.586851851898</v>
      </c>
      <c r="J122" s="134">
        <v>45820.718460648102</v>
      </c>
      <c r="K122" s="102" t="s">
        <v>184</v>
      </c>
      <c r="L122" s="103">
        <v>16000</v>
      </c>
      <c r="M122" s="51" t="s">
        <v>86</v>
      </c>
    </row>
    <row r="123" spans="1:13" s="154" customFormat="1" ht="20.149999999999999" customHeight="1" x14ac:dyDescent="0.4">
      <c r="A123" s="31">
        <v>121</v>
      </c>
      <c r="B123" s="189" t="s">
        <v>80</v>
      </c>
      <c r="C123" s="121" t="s">
        <v>180</v>
      </c>
      <c r="D123" s="121" t="s">
        <v>192</v>
      </c>
      <c r="E123" s="121" t="s">
        <v>173</v>
      </c>
      <c r="F123" s="130">
        <v>45806.5847222222</v>
      </c>
      <c r="G123" s="130">
        <v>45813.364722222199</v>
      </c>
      <c r="H123" s="186" t="s">
        <v>174</v>
      </c>
      <c r="I123" s="134">
        <v>45820.586851851898</v>
      </c>
      <c r="J123" s="134">
        <v>45820.718460648102</v>
      </c>
      <c r="K123" s="102" t="s">
        <v>184</v>
      </c>
      <c r="L123" s="103">
        <v>16000</v>
      </c>
      <c r="M123" s="51" t="s">
        <v>86</v>
      </c>
    </row>
    <row r="124" spans="1:13" s="154" customFormat="1" ht="20.149999999999999" customHeight="1" x14ac:dyDescent="0.4">
      <c r="A124" s="31">
        <v>122</v>
      </c>
      <c r="B124" s="189" t="s">
        <v>80</v>
      </c>
      <c r="C124" s="121" t="s">
        <v>180</v>
      </c>
      <c r="D124" s="121" t="s">
        <v>103</v>
      </c>
      <c r="E124" s="121" t="s">
        <v>173</v>
      </c>
      <c r="F124" s="130">
        <v>45806.582662036999</v>
      </c>
      <c r="G124" s="130">
        <v>45813.3650694444</v>
      </c>
      <c r="H124" s="186" t="s">
        <v>174</v>
      </c>
      <c r="I124" s="134">
        <v>45820.586851851898</v>
      </c>
      <c r="J124" s="134">
        <v>45820.718460648102</v>
      </c>
      <c r="K124" s="102" t="s">
        <v>184</v>
      </c>
      <c r="L124" s="103">
        <v>16000</v>
      </c>
      <c r="M124" s="51" t="s">
        <v>86</v>
      </c>
    </row>
    <row r="125" spans="1:13" s="154" customFormat="1" ht="20.149999999999999" customHeight="1" x14ac:dyDescent="0.4">
      <c r="A125" s="31">
        <v>123</v>
      </c>
      <c r="B125" s="189" t="s">
        <v>80</v>
      </c>
      <c r="C125" s="121" t="s">
        <v>171</v>
      </c>
      <c r="D125" s="121" t="s">
        <v>193</v>
      </c>
      <c r="E125" s="121" t="s">
        <v>173</v>
      </c>
      <c r="F125" s="130">
        <v>45806.580613425896</v>
      </c>
      <c r="G125" s="130">
        <v>45813.364675925899</v>
      </c>
      <c r="H125" s="186" t="s">
        <v>174</v>
      </c>
      <c r="I125" s="134">
        <v>45820.586851851898</v>
      </c>
      <c r="J125" s="134">
        <v>45820.718460648102</v>
      </c>
      <c r="K125" s="102" t="s">
        <v>184</v>
      </c>
      <c r="L125" s="103">
        <v>16000</v>
      </c>
      <c r="M125" s="51" t="s">
        <v>86</v>
      </c>
    </row>
    <row r="126" spans="1:13" s="154" customFormat="1" ht="20.149999999999999" customHeight="1" x14ac:dyDescent="0.4">
      <c r="A126" s="31">
        <v>124</v>
      </c>
      <c r="B126" s="189" t="s">
        <v>80</v>
      </c>
      <c r="C126" s="121" t="s">
        <v>180</v>
      </c>
      <c r="D126" s="121" t="s">
        <v>99</v>
      </c>
      <c r="E126" s="121" t="s">
        <v>173</v>
      </c>
      <c r="F126" s="130">
        <v>45806.580150463</v>
      </c>
      <c r="G126" s="130">
        <v>45813.364930555603</v>
      </c>
      <c r="H126" s="49" t="s">
        <v>174</v>
      </c>
      <c r="I126" s="134">
        <v>45820.586851851898</v>
      </c>
      <c r="J126" s="134">
        <v>45820.718460648102</v>
      </c>
      <c r="K126" s="102" t="s">
        <v>184</v>
      </c>
      <c r="L126" s="103">
        <v>16000</v>
      </c>
      <c r="M126" s="51" t="s">
        <v>86</v>
      </c>
    </row>
    <row r="127" spans="1:13" s="154" customFormat="1" ht="43.3" customHeight="1" x14ac:dyDescent="0.3">
      <c r="A127" s="35">
        <v>125</v>
      </c>
      <c r="B127" s="189" t="s">
        <v>80</v>
      </c>
      <c r="C127" s="121" t="s">
        <v>94</v>
      </c>
      <c r="D127" s="121" t="s">
        <v>178</v>
      </c>
      <c r="E127" s="49" t="s">
        <v>173</v>
      </c>
      <c r="F127" s="113">
        <v>44310.718379629601</v>
      </c>
      <c r="G127" s="113">
        <v>44312.4070601852</v>
      </c>
      <c r="H127" s="51" t="s">
        <v>194</v>
      </c>
      <c r="I127" s="134" t="s">
        <v>195</v>
      </c>
      <c r="J127" s="134" t="s">
        <v>196</v>
      </c>
      <c r="K127" s="149" t="s">
        <v>85</v>
      </c>
      <c r="L127" s="190">
        <v>16000</v>
      </c>
      <c r="M127" s="51" t="s">
        <v>86</v>
      </c>
    </row>
    <row r="128" spans="1:13" s="154" customFormat="1" ht="40.85" customHeight="1" x14ac:dyDescent="0.3">
      <c r="A128" s="35">
        <v>126</v>
      </c>
      <c r="B128" s="189" t="s">
        <v>80</v>
      </c>
      <c r="C128" s="121" t="s">
        <v>94</v>
      </c>
      <c r="D128" s="121" t="s">
        <v>177</v>
      </c>
      <c r="E128" s="79" t="s">
        <v>173</v>
      </c>
      <c r="F128" s="192">
        <v>44313.895335648202</v>
      </c>
      <c r="G128" s="113">
        <v>44313.752106481501</v>
      </c>
      <c r="H128" s="51" t="s">
        <v>194</v>
      </c>
      <c r="I128" s="134" t="s">
        <v>197</v>
      </c>
      <c r="J128" s="134" t="s">
        <v>198</v>
      </c>
      <c r="K128" s="149" t="s">
        <v>85</v>
      </c>
      <c r="L128" s="190">
        <v>16000</v>
      </c>
      <c r="M128" s="51" t="s">
        <v>86</v>
      </c>
    </row>
    <row r="129" spans="1:13" s="154" customFormat="1" ht="40.299999999999997" customHeight="1" x14ac:dyDescent="0.3">
      <c r="A129" s="35">
        <v>127</v>
      </c>
      <c r="B129" s="189" t="s">
        <v>80</v>
      </c>
      <c r="C129" s="121" t="s">
        <v>94</v>
      </c>
      <c r="D129" s="121" t="s">
        <v>172</v>
      </c>
      <c r="E129" s="49" t="s">
        <v>173</v>
      </c>
      <c r="F129" s="113">
        <v>44313.895335648202</v>
      </c>
      <c r="G129" s="193">
        <v>44313.752106481501</v>
      </c>
      <c r="H129" s="51" t="s">
        <v>194</v>
      </c>
      <c r="I129" s="134" t="s">
        <v>199</v>
      </c>
      <c r="J129" s="134" t="s">
        <v>200</v>
      </c>
      <c r="K129" s="149" t="s">
        <v>85</v>
      </c>
      <c r="L129" s="190">
        <v>16000</v>
      </c>
      <c r="M129" s="51" t="s">
        <v>86</v>
      </c>
    </row>
    <row r="130" spans="1:13" s="154" customFormat="1" ht="39.9" customHeight="1" x14ac:dyDescent="0.3">
      <c r="A130" s="35">
        <v>128</v>
      </c>
      <c r="B130" s="189" t="s">
        <v>80</v>
      </c>
      <c r="C130" s="121" t="s">
        <v>94</v>
      </c>
      <c r="D130" s="121" t="s">
        <v>179</v>
      </c>
      <c r="E130" s="85" t="s">
        <v>173</v>
      </c>
      <c r="F130" s="194">
        <v>44313.895335648202</v>
      </c>
      <c r="G130" s="193">
        <v>44313.752106481501</v>
      </c>
      <c r="H130" s="51" t="s">
        <v>194</v>
      </c>
      <c r="I130" s="134" t="s">
        <v>201</v>
      </c>
      <c r="J130" s="134" t="s">
        <v>202</v>
      </c>
      <c r="K130" s="149" t="s">
        <v>85</v>
      </c>
      <c r="L130" s="190">
        <v>16000</v>
      </c>
      <c r="M130" s="51" t="s">
        <v>86</v>
      </c>
    </row>
    <row r="131" spans="1:13" s="154" customFormat="1" ht="39.9" customHeight="1" x14ac:dyDescent="0.3">
      <c r="A131" s="35">
        <v>129</v>
      </c>
      <c r="B131" s="189" t="s">
        <v>80</v>
      </c>
      <c r="C131" s="121" t="s">
        <v>94</v>
      </c>
      <c r="D131" s="121" t="s">
        <v>203</v>
      </c>
      <c r="E131" s="49" t="s">
        <v>173</v>
      </c>
      <c r="F131" s="113">
        <v>44313.895335648202</v>
      </c>
      <c r="G131" s="193">
        <v>44313.752106481501</v>
      </c>
      <c r="H131" s="51" t="s">
        <v>194</v>
      </c>
      <c r="I131" s="134" t="s">
        <v>204</v>
      </c>
      <c r="J131" s="134" t="s">
        <v>205</v>
      </c>
      <c r="K131" s="149" t="s">
        <v>85</v>
      </c>
      <c r="L131" s="190">
        <v>16000</v>
      </c>
      <c r="M131" s="51" t="s">
        <v>86</v>
      </c>
    </row>
    <row r="132" spans="1:13" s="154" customFormat="1" ht="39.9" customHeight="1" x14ac:dyDescent="0.3">
      <c r="A132" s="35">
        <v>130</v>
      </c>
      <c r="B132" s="189" t="s">
        <v>80</v>
      </c>
      <c r="C132" s="121" t="s">
        <v>94</v>
      </c>
      <c r="D132" s="121" t="s">
        <v>206</v>
      </c>
      <c r="E132" s="49" t="s">
        <v>173</v>
      </c>
      <c r="F132" s="113">
        <v>44310.718379629601</v>
      </c>
      <c r="G132" s="113">
        <v>44312.4070601852</v>
      </c>
      <c r="H132" s="51" t="s">
        <v>194</v>
      </c>
      <c r="I132" s="134" t="s">
        <v>207</v>
      </c>
      <c r="J132" s="134" t="s">
        <v>208</v>
      </c>
      <c r="K132" s="149" t="s">
        <v>184</v>
      </c>
      <c r="L132" s="190">
        <v>16000</v>
      </c>
      <c r="M132" s="51" t="s">
        <v>86</v>
      </c>
    </row>
    <row r="133" spans="1:13" s="154" customFormat="1" ht="39.9" customHeight="1" x14ac:dyDescent="0.3">
      <c r="A133" s="35">
        <v>131</v>
      </c>
      <c r="B133" s="189" t="s">
        <v>80</v>
      </c>
      <c r="C133" s="121" t="s">
        <v>171</v>
      </c>
      <c r="D133" s="121" t="s">
        <v>209</v>
      </c>
      <c r="E133" s="49" t="s">
        <v>83</v>
      </c>
      <c r="F133" s="113">
        <v>44864.629166666702</v>
      </c>
      <c r="G133" s="113">
        <v>44868.734722222202</v>
      </c>
      <c r="H133" s="51" t="s">
        <v>210</v>
      </c>
      <c r="I133" s="134" t="s">
        <v>211</v>
      </c>
      <c r="J133" s="134" t="s">
        <v>212</v>
      </c>
      <c r="K133" s="149" t="s">
        <v>85</v>
      </c>
      <c r="L133" s="190">
        <v>12000</v>
      </c>
      <c r="M133" s="51" t="s">
        <v>86</v>
      </c>
    </row>
    <row r="134" spans="1:13" s="154" customFormat="1" ht="39.9" customHeight="1" x14ac:dyDescent="0.3">
      <c r="A134" s="35">
        <v>132</v>
      </c>
      <c r="B134" s="189" t="s">
        <v>80</v>
      </c>
      <c r="C134" s="121" t="s">
        <v>171</v>
      </c>
      <c r="D134" s="121" t="s">
        <v>213</v>
      </c>
      <c r="E134" s="49" t="s">
        <v>83</v>
      </c>
      <c r="F134" s="113">
        <v>44864.6381944444</v>
      </c>
      <c r="G134" s="113">
        <v>44868.734756944403</v>
      </c>
      <c r="H134" s="51" t="s">
        <v>210</v>
      </c>
      <c r="I134" s="134" t="s">
        <v>211</v>
      </c>
      <c r="J134" s="134" t="s">
        <v>214</v>
      </c>
      <c r="K134" s="149" t="s">
        <v>85</v>
      </c>
      <c r="L134" s="190">
        <v>12000</v>
      </c>
      <c r="M134" s="51" t="s">
        <v>86</v>
      </c>
    </row>
    <row r="135" spans="1:13" s="154" customFormat="1" ht="39.9" customHeight="1" x14ac:dyDescent="0.3">
      <c r="A135" s="35">
        <v>133</v>
      </c>
      <c r="B135" s="189" t="s">
        <v>80</v>
      </c>
      <c r="C135" s="121" t="s">
        <v>180</v>
      </c>
      <c r="D135" s="121" t="s">
        <v>209</v>
      </c>
      <c r="E135" s="49" t="s">
        <v>83</v>
      </c>
      <c r="F135" s="113">
        <v>44868.454861111102</v>
      </c>
      <c r="G135" s="113">
        <v>44868.734814814801</v>
      </c>
      <c r="H135" s="51" t="s">
        <v>210</v>
      </c>
      <c r="I135" s="134" t="s">
        <v>211</v>
      </c>
      <c r="J135" s="134" t="s">
        <v>214</v>
      </c>
      <c r="K135" s="149" t="s">
        <v>85</v>
      </c>
      <c r="L135" s="190">
        <v>12000</v>
      </c>
      <c r="M135" s="51" t="s">
        <v>86</v>
      </c>
    </row>
    <row r="136" spans="1:13" s="154" customFormat="1" ht="39.9" customHeight="1" x14ac:dyDescent="0.3">
      <c r="A136" s="35">
        <v>134</v>
      </c>
      <c r="B136" s="189" t="s">
        <v>80</v>
      </c>
      <c r="C136" s="121" t="s">
        <v>180</v>
      </c>
      <c r="D136" s="121" t="s">
        <v>213</v>
      </c>
      <c r="E136" s="49" t="s">
        <v>83</v>
      </c>
      <c r="F136" s="113">
        <v>44864.628472222197</v>
      </c>
      <c r="G136" s="113">
        <v>44868.7348726852</v>
      </c>
      <c r="H136" s="51" t="s">
        <v>210</v>
      </c>
      <c r="I136" s="134" t="s">
        <v>211</v>
      </c>
      <c r="J136" s="134" t="s">
        <v>214</v>
      </c>
      <c r="K136" s="149" t="s">
        <v>85</v>
      </c>
      <c r="L136" s="190">
        <v>12000</v>
      </c>
      <c r="M136" s="51" t="s">
        <v>86</v>
      </c>
    </row>
    <row r="137" spans="1:13" s="154" customFormat="1" ht="39.9" customHeight="1" x14ac:dyDescent="0.3">
      <c r="A137" s="35">
        <v>135</v>
      </c>
      <c r="B137" s="189" t="s">
        <v>80</v>
      </c>
      <c r="C137" s="121" t="s">
        <v>81</v>
      </c>
      <c r="D137" s="121" t="s">
        <v>215</v>
      </c>
      <c r="E137" s="49" t="s">
        <v>216</v>
      </c>
      <c r="F137" s="113" t="s">
        <v>217</v>
      </c>
      <c r="G137" s="113" t="s">
        <v>218</v>
      </c>
      <c r="H137" s="51" t="s">
        <v>219</v>
      </c>
      <c r="I137" s="134" t="s">
        <v>220</v>
      </c>
      <c r="J137" s="134" t="s">
        <v>221</v>
      </c>
      <c r="K137" s="149" t="s">
        <v>85</v>
      </c>
      <c r="L137" s="190">
        <v>12000</v>
      </c>
      <c r="M137" s="51" t="s">
        <v>86</v>
      </c>
    </row>
    <row r="138" spans="1:13" s="154" customFormat="1" ht="39.9" customHeight="1" x14ac:dyDescent="0.3">
      <c r="A138" s="35">
        <v>136</v>
      </c>
      <c r="B138" s="189" t="s">
        <v>80</v>
      </c>
      <c r="C138" s="121" t="s">
        <v>81</v>
      </c>
      <c r="D138" s="121" t="s">
        <v>222</v>
      </c>
      <c r="E138" s="49" t="s">
        <v>216</v>
      </c>
      <c r="F138" s="113" t="s">
        <v>217</v>
      </c>
      <c r="G138" s="113" t="s">
        <v>218</v>
      </c>
      <c r="H138" s="51" t="s">
        <v>219</v>
      </c>
      <c r="I138" s="134" t="s">
        <v>223</v>
      </c>
      <c r="J138" s="134" t="s">
        <v>224</v>
      </c>
      <c r="K138" s="149" t="s">
        <v>85</v>
      </c>
      <c r="L138" s="190">
        <v>12000</v>
      </c>
      <c r="M138" s="51" t="s">
        <v>86</v>
      </c>
    </row>
    <row r="139" spans="1:13" s="154" customFormat="1" ht="39.9" customHeight="1" x14ac:dyDescent="0.3">
      <c r="A139" s="35">
        <v>137</v>
      </c>
      <c r="B139" s="189" t="s">
        <v>80</v>
      </c>
      <c r="C139" s="121" t="s">
        <v>81</v>
      </c>
      <c r="D139" s="121" t="s">
        <v>225</v>
      </c>
      <c r="E139" s="49" t="s">
        <v>216</v>
      </c>
      <c r="F139" s="113" t="s">
        <v>217</v>
      </c>
      <c r="G139" s="113" t="s">
        <v>218</v>
      </c>
      <c r="H139" s="51" t="s">
        <v>219</v>
      </c>
      <c r="I139" s="134" t="s">
        <v>226</v>
      </c>
      <c r="J139" s="134" t="s">
        <v>227</v>
      </c>
      <c r="K139" s="149" t="s">
        <v>85</v>
      </c>
      <c r="L139" s="190">
        <v>12000</v>
      </c>
      <c r="M139" s="51" t="s">
        <v>86</v>
      </c>
    </row>
    <row r="140" spans="1:13" s="154" customFormat="1" ht="39.9" customHeight="1" x14ac:dyDescent="0.3">
      <c r="A140" s="35">
        <v>138</v>
      </c>
      <c r="B140" s="189" t="s">
        <v>80</v>
      </c>
      <c r="C140" s="121" t="s">
        <v>81</v>
      </c>
      <c r="D140" s="121" t="s">
        <v>228</v>
      </c>
      <c r="E140" s="49" t="s">
        <v>216</v>
      </c>
      <c r="F140" s="113" t="s">
        <v>217</v>
      </c>
      <c r="G140" s="113" t="s">
        <v>218</v>
      </c>
      <c r="H140" s="51" t="s">
        <v>219</v>
      </c>
      <c r="I140" s="134" t="s">
        <v>229</v>
      </c>
      <c r="J140" s="134" t="s">
        <v>230</v>
      </c>
      <c r="K140" s="149" t="s">
        <v>85</v>
      </c>
      <c r="L140" s="190">
        <v>12000</v>
      </c>
      <c r="M140" s="51" t="s">
        <v>86</v>
      </c>
    </row>
    <row r="141" spans="1:13" s="154" customFormat="1" ht="39.9" customHeight="1" x14ac:dyDescent="0.3">
      <c r="A141" s="35">
        <v>139</v>
      </c>
      <c r="B141" s="189" t="s">
        <v>80</v>
      </c>
      <c r="C141" s="121" t="s">
        <v>81</v>
      </c>
      <c r="D141" s="121" t="s">
        <v>113</v>
      </c>
      <c r="E141" s="49" t="s">
        <v>216</v>
      </c>
      <c r="F141" s="113" t="s">
        <v>217</v>
      </c>
      <c r="G141" s="113" t="s">
        <v>218</v>
      </c>
      <c r="H141" s="51" t="s">
        <v>219</v>
      </c>
      <c r="I141" s="134" t="s">
        <v>231</v>
      </c>
      <c r="J141" s="134" t="s">
        <v>232</v>
      </c>
      <c r="K141" s="149" t="s">
        <v>85</v>
      </c>
      <c r="L141" s="190">
        <v>12000</v>
      </c>
      <c r="M141" s="51" t="s">
        <v>86</v>
      </c>
    </row>
    <row r="142" spans="1:13" s="154" customFormat="1" ht="39.9" customHeight="1" x14ac:dyDescent="0.3">
      <c r="A142" s="35">
        <v>140</v>
      </c>
      <c r="B142" s="189" t="s">
        <v>80</v>
      </c>
      <c r="C142" s="121" t="s">
        <v>81</v>
      </c>
      <c r="D142" s="121" t="s">
        <v>114</v>
      </c>
      <c r="E142" s="49" t="s">
        <v>216</v>
      </c>
      <c r="F142" s="113" t="s">
        <v>217</v>
      </c>
      <c r="G142" s="113" t="s">
        <v>218</v>
      </c>
      <c r="H142" s="51" t="s">
        <v>219</v>
      </c>
      <c r="I142" s="134" t="s">
        <v>233</v>
      </c>
      <c r="J142" s="134" t="s">
        <v>234</v>
      </c>
      <c r="K142" s="149" t="s">
        <v>85</v>
      </c>
      <c r="L142" s="190">
        <v>12000</v>
      </c>
      <c r="M142" s="51" t="s">
        <v>86</v>
      </c>
    </row>
    <row r="143" spans="1:13" s="154" customFormat="1" ht="39.9" customHeight="1" x14ac:dyDescent="0.3">
      <c r="A143" s="35">
        <v>141</v>
      </c>
      <c r="B143" s="189" t="s">
        <v>80</v>
      </c>
      <c r="C143" s="121" t="s">
        <v>81</v>
      </c>
      <c r="D143" s="121" t="s">
        <v>115</v>
      </c>
      <c r="E143" s="49" t="s">
        <v>216</v>
      </c>
      <c r="F143" s="113" t="s">
        <v>235</v>
      </c>
      <c r="G143" s="113" t="s">
        <v>236</v>
      </c>
      <c r="H143" s="51" t="s">
        <v>219</v>
      </c>
      <c r="I143" s="134" t="s">
        <v>237</v>
      </c>
      <c r="J143" s="134" t="s">
        <v>238</v>
      </c>
      <c r="K143" s="149" t="s">
        <v>85</v>
      </c>
      <c r="L143" s="190">
        <v>12000</v>
      </c>
      <c r="M143" s="51" t="s">
        <v>86</v>
      </c>
    </row>
    <row r="144" spans="1:13" s="154" customFormat="1" ht="39.9" customHeight="1" x14ac:dyDescent="0.3">
      <c r="A144" s="35">
        <v>142</v>
      </c>
      <c r="B144" s="189" t="s">
        <v>80</v>
      </c>
      <c r="C144" s="121" t="s">
        <v>81</v>
      </c>
      <c r="D144" s="121" t="s">
        <v>116</v>
      </c>
      <c r="E144" s="49" t="s">
        <v>216</v>
      </c>
      <c r="F144" s="113" t="s">
        <v>235</v>
      </c>
      <c r="G144" s="113" t="s">
        <v>236</v>
      </c>
      <c r="H144" s="51" t="s">
        <v>219</v>
      </c>
      <c r="I144" s="134" t="s">
        <v>239</v>
      </c>
      <c r="J144" s="134" t="s">
        <v>240</v>
      </c>
      <c r="K144" s="149" t="s">
        <v>85</v>
      </c>
      <c r="L144" s="190">
        <v>12000</v>
      </c>
      <c r="M144" s="51" t="s">
        <v>86</v>
      </c>
    </row>
    <row r="145" spans="1:13" s="154" customFormat="1" ht="39.9" customHeight="1" x14ac:dyDescent="0.3">
      <c r="A145" s="35">
        <v>143</v>
      </c>
      <c r="B145" s="189" t="s">
        <v>80</v>
      </c>
      <c r="C145" s="121" t="s">
        <v>81</v>
      </c>
      <c r="D145" s="121" t="s">
        <v>117</v>
      </c>
      <c r="E145" s="49" t="s">
        <v>216</v>
      </c>
      <c r="F145" s="113" t="s">
        <v>235</v>
      </c>
      <c r="G145" s="113" t="s">
        <v>236</v>
      </c>
      <c r="H145" s="51" t="s">
        <v>219</v>
      </c>
      <c r="I145" s="134" t="s">
        <v>241</v>
      </c>
      <c r="J145" s="134" t="s">
        <v>242</v>
      </c>
      <c r="K145" s="149" t="s">
        <v>85</v>
      </c>
      <c r="L145" s="190">
        <v>12000</v>
      </c>
      <c r="M145" s="51" t="s">
        <v>86</v>
      </c>
    </row>
    <row r="146" spans="1:13" s="154" customFormat="1" ht="39.9" customHeight="1" x14ac:dyDescent="0.3">
      <c r="A146" s="35">
        <v>144</v>
      </c>
      <c r="B146" s="189" t="s">
        <v>80</v>
      </c>
      <c r="C146" s="121" t="s">
        <v>81</v>
      </c>
      <c r="D146" s="121" t="s">
        <v>118</v>
      </c>
      <c r="E146" s="49" t="s">
        <v>216</v>
      </c>
      <c r="F146" s="113" t="s">
        <v>235</v>
      </c>
      <c r="G146" s="113" t="s">
        <v>236</v>
      </c>
      <c r="H146" s="51" t="s">
        <v>219</v>
      </c>
      <c r="I146" s="134" t="s">
        <v>243</v>
      </c>
      <c r="J146" s="134" t="s">
        <v>244</v>
      </c>
      <c r="K146" s="149" t="s">
        <v>85</v>
      </c>
      <c r="L146" s="190">
        <v>12000</v>
      </c>
      <c r="M146" s="51" t="s">
        <v>86</v>
      </c>
    </row>
    <row r="147" spans="1:13" s="154" customFormat="1" ht="39.9" customHeight="1" x14ac:dyDescent="0.3">
      <c r="A147" s="35">
        <v>145</v>
      </c>
      <c r="B147" s="189" t="s">
        <v>80</v>
      </c>
      <c r="C147" s="121" t="s">
        <v>81</v>
      </c>
      <c r="D147" s="121" t="s">
        <v>119</v>
      </c>
      <c r="E147" s="49" t="s">
        <v>216</v>
      </c>
      <c r="F147" s="113" t="s">
        <v>235</v>
      </c>
      <c r="G147" s="113" t="s">
        <v>236</v>
      </c>
      <c r="H147" s="51" t="s">
        <v>219</v>
      </c>
      <c r="I147" s="134" t="s">
        <v>698</v>
      </c>
      <c r="J147" s="134" t="s">
        <v>245</v>
      </c>
      <c r="K147" s="149" t="s">
        <v>85</v>
      </c>
      <c r="L147" s="190">
        <v>12000</v>
      </c>
      <c r="M147" s="51" t="s">
        <v>86</v>
      </c>
    </row>
    <row r="148" spans="1:13" s="154" customFormat="1" ht="39.9" customHeight="1" x14ac:dyDescent="0.3">
      <c r="A148" s="35">
        <v>146</v>
      </c>
      <c r="B148" s="189" t="s">
        <v>80</v>
      </c>
      <c r="C148" s="121" t="s">
        <v>81</v>
      </c>
      <c r="D148" s="121" t="s">
        <v>120</v>
      </c>
      <c r="E148" s="49" t="s">
        <v>173</v>
      </c>
      <c r="F148" s="113">
        <v>44466.857418981497</v>
      </c>
      <c r="G148" s="113">
        <v>44466.7104398148</v>
      </c>
      <c r="H148" s="51" t="s">
        <v>174</v>
      </c>
      <c r="I148" s="134">
        <v>45947.618217592601</v>
      </c>
      <c r="J148" s="134">
        <v>45958.669918981497</v>
      </c>
      <c r="K148" s="149" t="s">
        <v>85</v>
      </c>
      <c r="L148" s="190">
        <v>12000</v>
      </c>
      <c r="M148" s="51" t="s">
        <v>86</v>
      </c>
    </row>
    <row r="149" spans="1:13" s="154" customFormat="1" ht="39.9" customHeight="1" x14ac:dyDescent="0.3">
      <c r="A149" s="35">
        <v>147</v>
      </c>
      <c r="B149" s="189" t="s">
        <v>80</v>
      </c>
      <c r="C149" s="121" t="s">
        <v>171</v>
      </c>
      <c r="D149" s="121" t="s">
        <v>246</v>
      </c>
      <c r="E149" s="49" t="s">
        <v>173</v>
      </c>
      <c r="F149" s="113">
        <v>45863.696145833303</v>
      </c>
      <c r="G149" s="113">
        <v>45868.748611111099</v>
      </c>
      <c r="H149" s="315" t="s">
        <v>174</v>
      </c>
      <c r="I149" s="316">
        <v>46204.617418981499</v>
      </c>
      <c r="J149" s="316">
        <v>46205.425555555601</v>
      </c>
      <c r="K149" s="317" t="s">
        <v>184</v>
      </c>
      <c r="L149" s="318">
        <v>16000</v>
      </c>
      <c r="M149" s="315" t="s">
        <v>86</v>
      </c>
    </row>
    <row r="150" spans="1:13" s="154" customFormat="1" ht="39.9" customHeight="1" x14ac:dyDescent="0.3">
      <c r="A150" s="150">
        <v>148</v>
      </c>
      <c r="B150" s="328" t="s">
        <v>80</v>
      </c>
      <c r="C150" s="329" t="s">
        <v>266</v>
      </c>
      <c r="D150" s="329" t="s">
        <v>97</v>
      </c>
      <c r="E150" s="327" t="s">
        <v>173</v>
      </c>
      <c r="F150" s="330">
        <v>44464.666087963</v>
      </c>
      <c r="G150" s="330">
        <v>44465.596759259301</v>
      </c>
      <c r="H150" s="152" t="s">
        <v>697</v>
      </c>
      <c r="I150" s="151" t="s">
        <v>699</v>
      </c>
      <c r="J150" s="151" t="s">
        <v>701</v>
      </c>
      <c r="K150" s="195" t="s">
        <v>85</v>
      </c>
      <c r="L150" s="196">
        <v>12000</v>
      </c>
      <c r="M150" s="152" t="s">
        <v>86</v>
      </c>
    </row>
    <row r="151" spans="1:13" s="154" customFormat="1" ht="39.9" customHeight="1" x14ac:dyDescent="0.3">
      <c r="A151" s="150">
        <v>149</v>
      </c>
      <c r="B151" s="328" t="s">
        <v>80</v>
      </c>
      <c r="C151" s="329" t="s">
        <v>266</v>
      </c>
      <c r="D151" s="329" t="s">
        <v>98</v>
      </c>
      <c r="E151" s="327" t="s">
        <v>173</v>
      </c>
      <c r="F151" s="330">
        <v>44464.666087963</v>
      </c>
      <c r="G151" s="330">
        <v>44465.596759259301</v>
      </c>
      <c r="H151" s="152" t="s">
        <v>697</v>
      </c>
      <c r="I151" s="151" t="s">
        <v>700</v>
      </c>
      <c r="J151" s="151" t="s">
        <v>702</v>
      </c>
      <c r="K151" s="195" t="s">
        <v>85</v>
      </c>
      <c r="L151" s="196">
        <v>12000</v>
      </c>
      <c r="M151" s="152" t="s">
        <v>86</v>
      </c>
    </row>
    <row r="152" spans="1:13" s="154" customFormat="1" ht="39.9" customHeight="1" x14ac:dyDescent="0.3">
      <c r="A152" s="35">
        <v>150</v>
      </c>
      <c r="B152" s="189"/>
      <c r="C152" s="121"/>
      <c r="D152" s="121"/>
      <c r="E152" s="49"/>
      <c r="F152" s="113"/>
      <c r="G152" s="113"/>
      <c r="H152" s="51"/>
      <c r="I152" s="134"/>
      <c r="J152" s="134"/>
      <c r="K152" s="149"/>
      <c r="L152" s="190"/>
      <c r="M152" s="51"/>
    </row>
    <row r="153" spans="1:13" s="154" customFormat="1" ht="39.9" customHeight="1" x14ac:dyDescent="0.3">
      <c r="A153" s="35">
        <v>151</v>
      </c>
      <c r="B153" s="189"/>
      <c r="C153" s="121"/>
      <c r="D153" s="121"/>
      <c r="E153" s="49"/>
      <c r="F153" s="113"/>
      <c r="G153" s="113"/>
      <c r="H153" s="51"/>
      <c r="I153" s="134"/>
      <c r="J153" s="134"/>
      <c r="K153" s="149"/>
      <c r="L153" s="190"/>
      <c r="M153" s="51"/>
    </row>
    <row r="154" spans="1:13" s="154" customFormat="1" ht="39.9" customHeight="1" x14ac:dyDescent="0.3">
      <c r="A154" s="35">
        <v>152</v>
      </c>
      <c r="B154" s="189"/>
      <c r="C154" s="121"/>
      <c r="D154" s="121"/>
      <c r="E154" s="49"/>
      <c r="F154" s="113"/>
      <c r="G154" s="113"/>
      <c r="H154" s="51"/>
      <c r="I154" s="134"/>
      <c r="J154" s="134"/>
      <c r="K154" s="149"/>
      <c r="L154" s="190"/>
      <c r="M154" s="51"/>
    </row>
    <row r="155" spans="1:13" s="154" customFormat="1" ht="39.9" customHeight="1" x14ac:dyDescent="0.3">
      <c r="A155" s="35">
        <v>153</v>
      </c>
      <c r="B155" s="189"/>
      <c r="C155" s="121"/>
      <c r="D155" s="121"/>
      <c r="E155" s="49"/>
      <c r="F155" s="113"/>
      <c r="G155" s="113"/>
      <c r="H155" s="51"/>
      <c r="I155" s="134"/>
      <c r="J155" s="134"/>
      <c r="K155" s="149"/>
      <c r="L155" s="190"/>
      <c r="M155" s="51"/>
    </row>
  </sheetData>
  <autoFilter ref="A1:M155" xr:uid="{00000000-0009-0000-0000-000001000000}">
    <filterColumn colId="2">
      <filters>
        <filter val="EA118-C3-1"/>
        <filter val="EA118-C3-2"/>
      </filters>
    </filterColumn>
  </autoFilter>
  <mergeCells count="4">
    <mergeCell ref="A115:A116"/>
    <mergeCell ref="B115:B116"/>
    <mergeCell ref="C115:C116"/>
    <mergeCell ref="D115:D116"/>
  </mergeCells>
  <phoneticPr fontId="31" type="noConversion"/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N1128"/>
  <sheetViews>
    <sheetView zoomScale="50" zoomScaleNormal="50" workbookViewId="0">
      <pane ySplit="1" topLeftCell="A702" activePane="bottomLeft" state="frozen"/>
      <selection pane="bottomLeft" activeCell="E736" sqref="A736:XFD739"/>
    </sheetView>
  </sheetViews>
  <sheetFormatPr defaultColWidth="8.84375" defaultRowHeight="14.6" x14ac:dyDescent="0.35"/>
  <cols>
    <col min="1" max="1" width="8.84375" style="31"/>
    <col min="2" max="2" width="8.84375" style="32"/>
    <col min="3" max="3" width="12.3828125" style="32" customWidth="1"/>
    <col min="4" max="4" width="13.3828125" style="32" customWidth="1"/>
    <col min="5" max="5" width="18.3828125" style="32" customWidth="1"/>
    <col min="6" max="6" width="18.07421875" style="32" customWidth="1"/>
    <col min="7" max="7" width="19" style="32" customWidth="1"/>
    <col min="8" max="8" width="17" style="31" customWidth="1"/>
    <col min="9" max="9" width="22.3828125" style="33" customWidth="1"/>
    <col min="10" max="10" width="23" style="34" customWidth="1"/>
    <col min="11" max="11" width="19" style="32" customWidth="1"/>
    <col min="12" max="12" width="8.07421875" style="32" customWidth="1"/>
    <col min="13" max="13" width="8.84375" style="31"/>
    <col min="14" max="16384" width="8.84375" style="32"/>
  </cols>
  <sheetData>
    <row r="1" spans="1:13" ht="42.9" x14ac:dyDescent="0.35">
      <c r="A1" s="35" t="s">
        <v>247</v>
      </c>
      <c r="B1" s="36" t="s">
        <v>248</v>
      </c>
      <c r="C1" s="37" t="s">
        <v>249</v>
      </c>
      <c r="D1" s="38" t="s">
        <v>250</v>
      </c>
      <c r="E1" s="39" t="s">
        <v>251</v>
      </c>
      <c r="F1" s="40" t="s">
        <v>75</v>
      </c>
      <c r="G1" s="41" t="s">
        <v>252</v>
      </c>
      <c r="H1" s="42" t="s">
        <v>74</v>
      </c>
      <c r="I1" s="43" t="s">
        <v>75</v>
      </c>
      <c r="J1" s="44" t="s">
        <v>76</v>
      </c>
      <c r="K1" s="36" t="s">
        <v>253</v>
      </c>
      <c r="L1" s="45" t="s">
        <v>254</v>
      </c>
      <c r="M1" s="46" t="s">
        <v>255</v>
      </c>
    </row>
    <row r="2" spans="1:13" x14ac:dyDescent="0.4">
      <c r="A2" s="35">
        <v>1</v>
      </c>
      <c r="B2" s="47" t="s">
        <v>80</v>
      </c>
      <c r="C2" s="48" t="s">
        <v>94</v>
      </c>
      <c r="D2" s="48" t="s">
        <v>256</v>
      </c>
      <c r="E2" s="49" t="s">
        <v>173</v>
      </c>
      <c r="F2" s="50">
        <v>44037.999988425901</v>
      </c>
      <c r="G2" s="50">
        <v>44037.999988425901</v>
      </c>
      <c r="H2" s="51" t="s">
        <v>257</v>
      </c>
      <c r="I2" s="52"/>
      <c r="J2" s="53"/>
      <c r="K2" s="54" t="s">
        <v>184</v>
      </c>
      <c r="L2" s="55">
        <v>16000</v>
      </c>
      <c r="M2" s="56" t="s">
        <v>86</v>
      </c>
    </row>
    <row r="3" spans="1:13" x14ac:dyDescent="0.4">
      <c r="A3" s="35">
        <v>2</v>
      </c>
      <c r="B3" s="47" t="s">
        <v>80</v>
      </c>
      <c r="C3" s="48" t="s">
        <v>94</v>
      </c>
      <c r="D3" s="48" t="s">
        <v>258</v>
      </c>
      <c r="E3" s="49" t="s">
        <v>173</v>
      </c>
      <c r="F3" s="50">
        <v>44037.999988425901</v>
      </c>
      <c r="G3" s="50">
        <v>44037.999988425901</v>
      </c>
      <c r="H3" s="51" t="s">
        <v>257</v>
      </c>
      <c r="I3" s="52"/>
      <c r="J3" s="53"/>
      <c r="K3" s="54" t="s">
        <v>184</v>
      </c>
      <c r="L3" s="55">
        <v>16000</v>
      </c>
      <c r="M3" s="56" t="s">
        <v>86</v>
      </c>
    </row>
    <row r="4" spans="1:13" x14ac:dyDescent="0.4">
      <c r="A4" s="35">
        <v>3</v>
      </c>
      <c r="B4" s="47" t="s">
        <v>80</v>
      </c>
      <c r="C4" s="48" t="s">
        <v>94</v>
      </c>
      <c r="D4" s="48" t="s">
        <v>259</v>
      </c>
      <c r="E4" s="49" t="s">
        <v>173</v>
      </c>
      <c r="F4" s="50">
        <v>44037.999988425901</v>
      </c>
      <c r="G4" s="50">
        <v>44037.999988425901</v>
      </c>
      <c r="H4" s="51" t="s">
        <v>257</v>
      </c>
      <c r="I4" s="52"/>
      <c r="J4" s="53"/>
      <c r="K4" s="54" t="s">
        <v>184</v>
      </c>
      <c r="L4" s="55">
        <v>16000</v>
      </c>
      <c r="M4" s="56" t="s">
        <v>86</v>
      </c>
    </row>
    <row r="5" spans="1:13" x14ac:dyDescent="0.4">
      <c r="A5" s="35">
        <v>4</v>
      </c>
      <c r="B5" s="47" t="s">
        <v>80</v>
      </c>
      <c r="C5" s="48" t="s">
        <v>94</v>
      </c>
      <c r="D5" s="48" t="s">
        <v>260</v>
      </c>
      <c r="E5" s="49" t="s">
        <v>173</v>
      </c>
      <c r="F5" s="50">
        <v>44037.999988425901</v>
      </c>
      <c r="G5" s="50">
        <v>44037.999988425901</v>
      </c>
      <c r="H5" s="51" t="s">
        <v>257</v>
      </c>
      <c r="I5" s="52"/>
      <c r="J5" s="53"/>
      <c r="K5" s="54" t="s">
        <v>184</v>
      </c>
      <c r="L5" s="55">
        <v>16000</v>
      </c>
      <c r="M5" s="56" t="s">
        <v>86</v>
      </c>
    </row>
    <row r="6" spans="1:13" x14ac:dyDescent="0.4">
      <c r="A6" s="35">
        <v>5</v>
      </c>
      <c r="B6" s="47" t="s">
        <v>80</v>
      </c>
      <c r="C6" s="48" t="s">
        <v>94</v>
      </c>
      <c r="D6" s="48" t="s">
        <v>261</v>
      </c>
      <c r="E6" s="49" t="s">
        <v>173</v>
      </c>
      <c r="F6" s="50">
        <v>44037.999988425901</v>
      </c>
      <c r="G6" s="50">
        <v>44037.999988425901</v>
      </c>
      <c r="H6" s="51" t="s">
        <v>257</v>
      </c>
      <c r="I6" s="52"/>
      <c r="J6" s="53"/>
      <c r="K6" s="54" t="s">
        <v>184</v>
      </c>
      <c r="L6" s="55">
        <v>16000</v>
      </c>
      <c r="M6" s="56" t="s">
        <v>86</v>
      </c>
    </row>
    <row r="7" spans="1:13" x14ac:dyDescent="0.4">
      <c r="A7" s="35">
        <v>6</v>
      </c>
      <c r="B7" s="47" t="s">
        <v>80</v>
      </c>
      <c r="C7" s="48" t="s">
        <v>94</v>
      </c>
      <c r="D7" s="48" t="s">
        <v>262</v>
      </c>
      <c r="E7" s="49" t="s">
        <v>173</v>
      </c>
      <c r="F7" s="50">
        <v>44037.999988425901</v>
      </c>
      <c r="G7" s="50">
        <v>44037.999988425901</v>
      </c>
      <c r="H7" s="51" t="s">
        <v>257</v>
      </c>
      <c r="I7" s="52"/>
      <c r="J7" s="53"/>
      <c r="K7" s="54" t="s">
        <v>184</v>
      </c>
      <c r="L7" s="55">
        <v>16000</v>
      </c>
      <c r="M7" s="56" t="s">
        <v>86</v>
      </c>
    </row>
    <row r="8" spans="1:13" x14ac:dyDescent="0.4">
      <c r="A8" s="35">
        <v>7</v>
      </c>
      <c r="B8" s="47" t="s">
        <v>80</v>
      </c>
      <c r="C8" s="48" t="s">
        <v>81</v>
      </c>
      <c r="D8" s="48" t="s">
        <v>263</v>
      </c>
      <c r="E8" s="49" t="s">
        <v>173</v>
      </c>
      <c r="F8" s="50">
        <v>44037.999988425901</v>
      </c>
      <c r="G8" s="50">
        <v>44037.999988425901</v>
      </c>
      <c r="H8" s="51" t="s">
        <v>257</v>
      </c>
      <c r="I8" s="52"/>
      <c r="J8" s="53"/>
      <c r="K8" s="54" t="s">
        <v>184</v>
      </c>
      <c r="L8" s="55">
        <v>16000</v>
      </c>
      <c r="M8" s="56" t="s">
        <v>86</v>
      </c>
    </row>
    <row r="9" spans="1:13" x14ac:dyDescent="0.4">
      <c r="A9" s="35">
        <v>8</v>
      </c>
      <c r="B9" s="47" t="s">
        <v>80</v>
      </c>
      <c r="C9" s="48" t="s">
        <v>81</v>
      </c>
      <c r="D9" s="48" t="s">
        <v>259</v>
      </c>
      <c r="E9" s="49" t="s">
        <v>173</v>
      </c>
      <c r="F9" s="50">
        <v>44037.999988425901</v>
      </c>
      <c r="G9" s="50">
        <v>44037.999988425901</v>
      </c>
      <c r="H9" s="51" t="s">
        <v>257</v>
      </c>
      <c r="I9" s="52"/>
      <c r="J9" s="53"/>
      <c r="K9" s="54" t="s">
        <v>184</v>
      </c>
      <c r="L9" s="55">
        <v>16000</v>
      </c>
      <c r="M9" s="56" t="s">
        <v>86</v>
      </c>
    </row>
    <row r="10" spans="1:13" x14ac:dyDescent="0.4">
      <c r="A10" s="35">
        <v>9</v>
      </c>
      <c r="B10" s="47" t="s">
        <v>80</v>
      </c>
      <c r="C10" s="48" t="s">
        <v>81</v>
      </c>
      <c r="D10" s="48" t="s">
        <v>264</v>
      </c>
      <c r="E10" s="49" t="s">
        <v>173</v>
      </c>
      <c r="F10" s="50">
        <v>44037.999988425901</v>
      </c>
      <c r="G10" s="50">
        <v>44037.999988425901</v>
      </c>
      <c r="H10" s="51" t="s">
        <v>257</v>
      </c>
      <c r="I10" s="52"/>
      <c r="J10" s="53"/>
      <c r="K10" s="54" t="s">
        <v>184</v>
      </c>
      <c r="L10" s="55">
        <v>16000</v>
      </c>
      <c r="M10" s="56" t="s">
        <v>86</v>
      </c>
    </row>
    <row r="11" spans="1:13" x14ac:dyDescent="0.4">
      <c r="A11" s="35">
        <v>10</v>
      </c>
      <c r="B11" s="47" t="s">
        <v>80</v>
      </c>
      <c r="C11" s="48" t="s">
        <v>81</v>
      </c>
      <c r="D11" s="48" t="s">
        <v>261</v>
      </c>
      <c r="E11" s="49" t="s">
        <v>173</v>
      </c>
      <c r="F11" s="50">
        <v>44037.999988425901</v>
      </c>
      <c r="G11" s="50">
        <v>44037.999988425901</v>
      </c>
      <c r="H11" s="51" t="s">
        <v>257</v>
      </c>
      <c r="I11" s="52"/>
      <c r="J11" s="53"/>
      <c r="K11" s="54" t="s">
        <v>184</v>
      </c>
      <c r="L11" s="55">
        <v>16000</v>
      </c>
      <c r="M11" s="56" t="s">
        <v>86</v>
      </c>
    </row>
    <row r="12" spans="1:13" x14ac:dyDescent="0.4">
      <c r="A12" s="35">
        <v>11</v>
      </c>
      <c r="B12" s="47" t="s">
        <v>80</v>
      </c>
      <c r="C12" s="48" t="s">
        <v>81</v>
      </c>
      <c r="D12" s="48" t="s">
        <v>265</v>
      </c>
      <c r="E12" s="49" t="s">
        <v>173</v>
      </c>
      <c r="F12" s="50">
        <v>44037.999988425901</v>
      </c>
      <c r="G12" s="50">
        <v>44037.999988425901</v>
      </c>
      <c r="H12" s="51" t="s">
        <v>257</v>
      </c>
      <c r="I12" s="52"/>
      <c r="J12" s="53"/>
      <c r="K12" s="54" t="s">
        <v>184</v>
      </c>
      <c r="L12" s="55">
        <v>16000</v>
      </c>
      <c r="M12" s="56" t="s">
        <v>86</v>
      </c>
    </row>
    <row r="13" spans="1:13" x14ac:dyDescent="0.4">
      <c r="A13" s="35">
        <v>12</v>
      </c>
      <c r="B13" s="47" t="s">
        <v>80</v>
      </c>
      <c r="C13" s="48" t="s">
        <v>81</v>
      </c>
      <c r="D13" s="48" t="s">
        <v>256</v>
      </c>
      <c r="E13" s="49" t="s">
        <v>173</v>
      </c>
      <c r="F13" s="50">
        <v>44037.999988425901</v>
      </c>
      <c r="G13" s="50">
        <v>44037.999988425901</v>
      </c>
      <c r="H13" s="51" t="s">
        <v>257</v>
      </c>
      <c r="I13" s="52"/>
      <c r="J13" s="53"/>
      <c r="K13" s="54" t="s">
        <v>184</v>
      </c>
      <c r="L13" s="55">
        <v>16000</v>
      </c>
      <c r="M13" s="56" t="s">
        <v>86</v>
      </c>
    </row>
    <row r="14" spans="1:13" x14ac:dyDescent="0.4">
      <c r="A14" s="35">
        <v>13</v>
      </c>
      <c r="B14" s="47" t="s">
        <v>80</v>
      </c>
      <c r="C14" s="48" t="s">
        <v>266</v>
      </c>
      <c r="D14" s="48" t="s">
        <v>256</v>
      </c>
      <c r="E14" s="49" t="s">
        <v>173</v>
      </c>
      <c r="F14" s="50">
        <v>44037.999988425901</v>
      </c>
      <c r="G14" s="50">
        <v>44037.999988425901</v>
      </c>
      <c r="H14" s="51" t="s">
        <v>257</v>
      </c>
      <c r="I14" s="52"/>
      <c r="J14" s="53"/>
      <c r="K14" s="54" t="s">
        <v>184</v>
      </c>
      <c r="L14" s="55">
        <v>16000</v>
      </c>
      <c r="M14" s="56" t="s">
        <v>86</v>
      </c>
    </row>
    <row r="15" spans="1:13" x14ac:dyDescent="0.4">
      <c r="A15" s="35">
        <v>14</v>
      </c>
      <c r="B15" s="47" t="s">
        <v>80</v>
      </c>
      <c r="C15" s="48" t="s">
        <v>266</v>
      </c>
      <c r="D15" s="48" t="s">
        <v>263</v>
      </c>
      <c r="E15" s="49" t="s">
        <v>173</v>
      </c>
      <c r="F15" s="50">
        <v>44037.999988425901</v>
      </c>
      <c r="G15" s="50">
        <v>44037.999988425901</v>
      </c>
      <c r="H15" s="51" t="s">
        <v>257</v>
      </c>
      <c r="I15" s="52"/>
      <c r="J15" s="53"/>
      <c r="K15" s="54" t="s">
        <v>184</v>
      </c>
      <c r="L15" s="55">
        <v>16000</v>
      </c>
      <c r="M15" s="56" t="s">
        <v>86</v>
      </c>
    </row>
    <row r="16" spans="1:13" x14ac:dyDescent="0.4">
      <c r="A16" s="35">
        <v>15</v>
      </c>
      <c r="B16" s="47" t="s">
        <v>80</v>
      </c>
      <c r="C16" s="48" t="s">
        <v>266</v>
      </c>
      <c r="D16" s="48" t="s">
        <v>260</v>
      </c>
      <c r="E16" s="49" t="s">
        <v>173</v>
      </c>
      <c r="F16" s="50">
        <v>44037.999988425901</v>
      </c>
      <c r="G16" s="50">
        <v>44037.999988425901</v>
      </c>
      <c r="H16" s="51" t="s">
        <v>257</v>
      </c>
      <c r="I16" s="52"/>
      <c r="J16" s="53"/>
      <c r="K16" s="54" t="s">
        <v>184</v>
      </c>
      <c r="L16" s="55">
        <v>16000</v>
      </c>
      <c r="M16" s="56" t="s">
        <v>86</v>
      </c>
    </row>
    <row r="17" spans="1:13" x14ac:dyDescent="0.4">
      <c r="A17" s="35">
        <v>16</v>
      </c>
      <c r="B17" s="47" t="s">
        <v>80</v>
      </c>
      <c r="C17" s="48" t="s">
        <v>266</v>
      </c>
      <c r="D17" s="48" t="s">
        <v>206</v>
      </c>
      <c r="E17" s="49" t="s">
        <v>173</v>
      </c>
      <c r="F17" s="50">
        <v>44037.999988425901</v>
      </c>
      <c r="G17" s="50">
        <v>44037.999988425901</v>
      </c>
      <c r="H17" s="51" t="s">
        <v>257</v>
      </c>
      <c r="I17" s="52"/>
      <c r="J17" s="53"/>
      <c r="K17" s="54" t="s">
        <v>184</v>
      </c>
      <c r="L17" s="55">
        <v>16000</v>
      </c>
      <c r="M17" s="56" t="s">
        <v>86</v>
      </c>
    </row>
    <row r="18" spans="1:13" x14ac:dyDescent="0.4">
      <c r="A18" s="35">
        <v>17</v>
      </c>
      <c r="B18" s="47" t="s">
        <v>80</v>
      </c>
      <c r="C18" s="48" t="s">
        <v>266</v>
      </c>
      <c r="D18" s="48" t="s">
        <v>261</v>
      </c>
      <c r="E18" s="49" t="s">
        <v>173</v>
      </c>
      <c r="F18" s="50">
        <v>44037.999988425901</v>
      </c>
      <c r="G18" s="50">
        <v>44037.999988425901</v>
      </c>
      <c r="H18" s="51" t="s">
        <v>257</v>
      </c>
      <c r="I18" s="52"/>
      <c r="J18" s="53"/>
      <c r="K18" s="54" t="s">
        <v>184</v>
      </c>
      <c r="L18" s="55">
        <v>16000</v>
      </c>
      <c r="M18" s="56" t="s">
        <v>86</v>
      </c>
    </row>
    <row r="19" spans="1:13" x14ac:dyDescent="0.4">
      <c r="A19" s="35">
        <v>18</v>
      </c>
      <c r="B19" s="47" t="s">
        <v>80</v>
      </c>
      <c r="C19" s="48" t="s">
        <v>266</v>
      </c>
      <c r="D19" s="48" t="s">
        <v>262</v>
      </c>
      <c r="E19" s="49" t="s">
        <v>173</v>
      </c>
      <c r="F19" s="50">
        <v>44037.999988425901</v>
      </c>
      <c r="G19" s="50">
        <v>44037.999988425901</v>
      </c>
      <c r="H19" s="51" t="s">
        <v>257</v>
      </c>
      <c r="I19" s="52"/>
      <c r="J19" s="53"/>
      <c r="K19" s="54" t="s">
        <v>184</v>
      </c>
      <c r="L19" s="55">
        <v>16000</v>
      </c>
      <c r="M19" s="56" t="s">
        <v>86</v>
      </c>
    </row>
    <row r="20" spans="1:13" x14ac:dyDescent="0.4">
      <c r="A20" s="35">
        <v>19</v>
      </c>
      <c r="B20" s="47" t="s">
        <v>80</v>
      </c>
      <c r="C20" s="48" t="s">
        <v>267</v>
      </c>
      <c r="D20" s="48" t="s">
        <v>259</v>
      </c>
      <c r="E20" s="49" t="s">
        <v>173</v>
      </c>
      <c r="F20" s="50">
        <v>44037.999988425901</v>
      </c>
      <c r="G20" s="50">
        <v>44037.999988425901</v>
      </c>
      <c r="H20" s="51" t="s">
        <v>257</v>
      </c>
      <c r="I20" s="52"/>
      <c r="J20" s="53"/>
      <c r="K20" s="54" t="s">
        <v>184</v>
      </c>
      <c r="L20" s="55">
        <v>16000</v>
      </c>
      <c r="M20" s="56" t="s">
        <v>86</v>
      </c>
    </row>
    <row r="21" spans="1:13" x14ac:dyDescent="0.4">
      <c r="A21" s="35">
        <v>20</v>
      </c>
      <c r="B21" s="47" t="s">
        <v>80</v>
      </c>
      <c r="C21" s="48" t="s">
        <v>267</v>
      </c>
      <c r="D21" s="48" t="s">
        <v>260</v>
      </c>
      <c r="E21" s="49" t="s">
        <v>173</v>
      </c>
      <c r="F21" s="50">
        <v>44037.999988425901</v>
      </c>
      <c r="G21" s="50">
        <v>44037.999988425901</v>
      </c>
      <c r="H21" s="51" t="s">
        <v>257</v>
      </c>
      <c r="I21" s="52"/>
      <c r="J21" s="53"/>
      <c r="K21" s="54" t="s">
        <v>184</v>
      </c>
      <c r="L21" s="55">
        <v>16000</v>
      </c>
      <c r="M21" s="56" t="s">
        <v>86</v>
      </c>
    </row>
    <row r="22" spans="1:13" x14ac:dyDescent="0.4">
      <c r="A22" s="35">
        <v>21</v>
      </c>
      <c r="B22" s="47" t="s">
        <v>80</v>
      </c>
      <c r="C22" s="48" t="s">
        <v>267</v>
      </c>
      <c r="D22" s="48" t="s">
        <v>264</v>
      </c>
      <c r="E22" s="49" t="s">
        <v>173</v>
      </c>
      <c r="F22" s="50">
        <v>44037.999988425901</v>
      </c>
      <c r="G22" s="50">
        <v>44037.999988425901</v>
      </c>
      <c r="H22" s="51" t="s">
        <v>257</v>
      </c>
      <c r="I22" s="52"/>
      <c r="J22" s="53"/>
      <c r="K22" s="54" t="s">
        <v>184</v>
      </c>
      <c r="L22" s="55">
        <v>16000</v>
      </c>
      <c r="M22" s="56" t="s">
        <v>86</v>
      </c>
    </row>
    <row r="23" spans="1:13" x14ac:dyDescent="0.4">
      <c r="A23" s="35">
        <v>22</v>
      </c>
      <c r="B23" s="47" t="s">
        <v>80</v>
      </c>
      <c r="C23" s="48" t="s">
        <v>267</v>
      </c>
      <c r="D23" s="48" t="s">
        <v>261</v>
      </c>
      <c r="E23" s="49" t="s">
        <v>173</v>
      </c>
      <c r="F23" s="50">
        <v>44037.999988425901</v>
      </c>
      <c r="G23" s="50">
        <v>44037.999988425901</v>
      </c>
      <c r="H23" s="51" t="s">
        <v>257</v>
      </c>
      <c r="I23" s="52"/>
      <c r="J23" s="53"/>
      <c r="K23" s="54" t="s">
        <v>184</v>
      </c>
      <c r="L23" s="55">
        <v>16000</v>
      </c>
      <c r="M23" s="56" t="s">
        <v>86</v>
      </c>
    </row>
    <row r="24" spans="1:13" x14ac:dyDescent="0.4">
      <c r="A24" s="35">
        <v>23</v>
      </c>
      <c r="B24" s="47" t="s">
        <v>80</v>
      </c>
      <c r="C24" s="48" t="s">
        <v>267</v>
      </c>
      <c r="D24" s="48" t="s">
        <v>256</v>
      </c>
      <c r="E24" s="49" t="s">
        <v>173</v>
      </c>
      <c r="F24" s="50">
        <v>44037.999988425901</v>
      </c>
      <c r="G24" s="50">
        <v>44037.999988425901</v>
      </c>
      <c r="H24" s="51" t="s">
        <v>257</v>
      </c>
      <c r="I24" s="52"/>
      <c r="J24" s="53"/>
      <c r="K24" s="54" t="s">
        <v>184</v>
      </c>
      <c r="L24" s="55">
        <v>16000</v>
      </c>
      <c r="M24" s="56" t="s">
        <v>86</v>
      </c>
    </row>
    <row r="25" spans="1:13" x14ac:dyDescent="0.4">
      <c r="A25" s="35">
        <v>24</v>
      </c>
      <c r="B25" s="47" t="s">
        <v>80</v>
      </c>
      <c r="C25" s="48" t="s">
        <v>180</v>
      </c>
      <c r="D25" s="48" t="s">
        <v>264</v>
      </c>
      <c r="E25" s="49" t="s">
        <v>173</v>
      </c>
      <c r="F25" s="50">
        <v>44037.999988425901</v>
      </c>
      <c r="G25" s="50">
        <v>44037.999988425901</v>
      </c>
      <c r="H25" s="51" t="s">
        <v>257</v>
      </c>
      <c r="I25" s="52"/>
      <c r="J25" s="53"/>
      <c r="K25" s="54" t="s">
        <v>184</v>
      </c>
      <c r="L25" s="55">
        <v>16000</v>
      </c>
      <c r="M25" s="56" t="s">
        <v>86</v>
      </c>
    </row>
    <row r="26" spans="1:13" x14ac:dyDescent="0.4">
      <c r="A26" s="35">
        <v>25</v>
      </c>
      <c r="B26" s="47" t="s">
        <v>80</v>
      </c>
      <c r="C26" s="48" t="s">
        <v>180</v>
      </c>
      <c r="D26" s="48" t="s">
        <v>261</v>
      </c>
      <c r="E26" s="49" t="s">
        <v>173</v>
      </c>
      <c r="F26" s="50">
        <v>44037.999988425901</v>
      </c>
      <c r="G26" s="50">
        <v>44037.999988425901</v>
      </c>
      <c r="H26" s="51" t="s">
        <v>257</v>
      </c>
      <c r="I26" s="52"/>
      <c r="J26" s="53"/>
      <c r="K26" s="54" t="s">
        <v>184</v>
      </c>
      <c r="L26" s="55">
        <v>16000</v>
      </c>
      <c r="M26" s="56" t="s">
        <v>86</v>
      </c>
    </row>
    <row r="27" spans="1:13" x14ac:dyDescent="0.4">
      <c r="A27" s="35">
        <v>26</v>
      </c>
      <c r="B27" s="47" t="s">
        <v>80</v>
      </c>
      <c r="C27" s="48" t="s">
        <v>171</v>
      </c>
      <c r="D27" s="48" t="s">
        <v>264</v>
      </c>
      <c r="E27" s="49" t="s">
        <v>173</v>
      </c>
      <c r="F27" s="50">
        <v>44037.999988425901</v>
      </c>
      <c r="G27" s="50">
        <v>44037.999988425901</v>
      </c>
      <c r="H27" s="51" t="s">
        <v>257</v>
      </c>
      <c r="I27" s="52"/>
      <c r="J27" s="53"/>
      <c r="K27" s="54" t="s">
        <v>184</v>
      </c>
      <c r="L27" s="55">
        <v>16000</v>
      </c>
      <c r="M27" s="56" t="s">
        <v>86</v>
      </c>
    </row>
    <row r="28" spans="1:13" x14ac:dyDescent="0.4">
      <c r="A28" s="35">
        <v>27</v>
      </c>
      <c r="B28" s="47" t="s">
        <v>80</v>
      </c>
      <c r="C28" s="48" t="s">
        <v>171</v>
      </c>
      <c r="D28" s="48" t="s">
        <v>261</v>
      </c>
      <c r="E28" s="49" t="s">
        <v>173</v>
      </c>
      <c r="F28" s="50">
        <v>44037.999988425901</v>
      </c>
      <c r="G28" s="50">
        <v>44037.999988425901</v>
      </c>
      <c r="H28" s="51" t="s">
        <v>257</v>
      </c>
      <c r="I28" s="52"/>
      <c r="J28" s="53"/>
      <c r="K28" s="54" t="s">
        <v>184</v>
      </c>
      <c r="L28" s="55">
        <v>16000</v>
      </c>
      <c r="M28" s="56" t="s">
        <v>86</v>
      </c>
    </row>
    <row r="29" spans="1:13" x14ac:dyDescent="0.4">
      <c r="A29" s="35">
        <v>28</v>
      </c>
      <c r="B29" s="47" t="s">
        <v>80</v>
      </c>
      <c r="C29" s="48" t="s">
        <v>171</v>
      </c>
      <c r="D29" s="48" t="s">
        <v>259</v>
      </c>
      <c r="E29" s="49" t="s">
        <v>173</v>
      </c>
      <c r="F29" s="50">
        <v>44037.999988425901</v>
      </c>
      <c r="G29" s="50">
        <v>44037.999988425901</v>
      </c>
      <c r="H29" s="51" t="s">
        <v>257</v>
      </c>
      <c r="I29" s="52"/>
      <c r="J29" s="53"/>
      <c r="K29" s="54" t="s">
        <v>184</v>
      </c>
      <c r="L29" s="55">
        <v>16000</v>
      </c>
      <c r="M29" s="56" t="s">
        <v>86</v>
      </c>
    </row>
    <row r="30" spans="1:13" x14ac:dyDescent="0.4">
      <c r="A30" s="35">
        <v>29</v>
      </c>
      <c r="B30" s="47" t="s">
        <v>80</v>
      </c>
      <c r="C30" s="48" t="s">
        <v>171</v>
      </c>
      <c r="D30" s="48" t="s">
        <v>260</v>
      </c>
      <c r="E30" s="49" t="s">
        <v>173</v>
      </c>
      <c r="F30" s="50">
        <v>44037.999988425901</v>
      </c>
      <c r="G30" s="50">
        <v>44037.999988425901</v>
      </c>
      <c r="H30" s="51" t="s">
        <v>257</v>
      </c>
      <c r="I30" s="52"/>
      <c r="J30" s="53"/>
      <c r="K30" s="54" t="s">
        <v>184</v>
      </c>
      <c r="L30" s="55">
        <v>16000</v>
      </c>
      <c r="M30" s="56" t="s">
        <v>86</v>
      </c>
    </row>
    <row r="31" spans="1:13" x14ac:dyDescent="0.4">
      <c r="A31" s="275">
        <v>30</v>
      </c>
      <c r="B31" s="268" t="s">
        <v>80</v>
      </c>
      <c r="C31" s="263" t="s">
        <v>171</v>
      </c>
      <c r="D31" s="238" t="s">
        <v>107</v>
      </c>
      <c r="E31" s="49" t="s">
        <v>173</v>
      </c>
      <c r="F31" s="50">
        <v>44038.999988425901</v>
      </c>
      <c r="G31" s="50">
        <v>44038.71875</v>
      </c>
      <c r="H31" s="51" t="s">
        <v>257</v>
      </c>
      <c r="I31" s="52"/>
      <c r="J31" s="53"/>
      <c r="K31" s="232" t="s">
        <v>184</v>
      </c>
      <c r="L31" s="236">
        <v>16000</v>
      </c>
      <c r="M31" s="56" t="s">
        <v>86</v>
      </c>
    </row>
    <row r="32" spans="1:13" ht="13.3" customHeight="1" x14ac:dyDescent="0.35">
      <c r="A32" s="275"/>
      <c r="B32" s="269"/>
      <c r="C32" s="264"/>
      <c r="D32" s="239"/>
      <c r="E32" s="49" t="s">
        <v>183</v>
      </c>
      <c r="F32" s="50">
        <v>45385.770856481497</v>
      </c>
      <c r="G32" s="60">
        <v>45385.679456018501</v>
      </c>
      <c r="H32" s="51" t="s">
        <v>182</v>
      </c>
      <c r="I32" s="61">
        <v>45647.8823148148</v>
      </c>
      <c r="J32" s="61">
        <v>45646.882430555597</v>
      </c>
      <c r="K32" s="233"/>
      <c r="L32" s="237"/>
      <c r="M32" s="56" t="s">
        <v>86</v>
      </c>
    </row>
    <row r="33" spans="1:13" ht="19.75" customHeight="1" x14ac:dyDescent="0.4">
      <c r="A33" s="275">
        <v>31</v>
      </c>
      <c r="B33" s="268" t="s">
        <v>80</v>
      </c>
      <c r="C33" s="263" t="s">
        <v>180</v>
      </c>
      <c r="D33" s="238" t="s">
        <v>107</v>
      </c>
      <c r="E33" s="49" t="s">
        <v>173</v>
      </c>
      <c r="F33" s="62">
        <v>44038.999988425901</v>
      </c>
      <c r="G33" s="63">
        <v>44038.71875</v>
      </c>
      <c r="H33" s="51" t="s">
        <v>257</v>
      </c>
      <c r="I33" s="52"/>
      <c r="J33" s="53"/>
      <c r="K33" s="232" t="s">
        <v>184</v>
      </c>
      <c r="L33" s="236">
        <v>16000</v>
      </c>
      <c r="M33" s="56" t="s">
        <v>86</v>
      </c>
    </row>
    <row r="34" spans="1:13" ht="14.15" x14ac:dyDescent="0.35">
      <c r="A34" s="275"/>
      <c r="B34" s="269"/>
      <c r="C34" s="264"/>
      <c r="D34" s="239"/>
      <c r="E34" s="49" t="s">
        <v>183</v>
      </c>
      <c r="F34" s="62">
        <v>45385.770856481497</v>
      </c>
      <c r="G34" s="63">
        <v>45385.679456018501</v>
      </c>
      <c r="H34" s="51" t="s">
        <v>182</v>
      </c>
      <c r="I34" s="61">
        <v>45647.8823148148</v>
      </c>
      <c r="J34" s="61">
        <v>45646.882430555597</v>
      </c>
      <c r="K34" s="233"/>
      <c r="L34" s="237"/>
      <c r="M34" s="56" t="s">
        <v>86</v>
      </c>
    </row>
    <row r="35" spans="1:13" x14ac:dyDescent="0.4">
      <c r="A35" s="35">
        <v>32</v>
      </c>
      <c r="B35" s="47" t="s">
        <v>80</v>
      </c>
      <c r="C35" s="48" t="s">
        <v>267</v>
      </c>
      <c r="D35" s="48" t="s">
        <v>265</v>
      </c>
      <c r="E35" s="49" t="s">
        <v>173</v>
      </c>
      <c r="F35" s="62">
        <v>44040.999305555597</v>
      </c>
      <c r="G35" s="64">
        <v>44040.625</v>
      </c>
      <c r="H35" s="51" t="s">
        <v>257</v>
      </c>
      <c r="I35" s="52"/>
      <c r="J35" s="53"/>
      <c r="K35" s="54" t="s">
        <v>184</v>
      </c>
      <c r="L35" s="55">
        <v>16000</v>
      </c>
      <c r="M35" s="56" t="s">
        <v>86</v>
      </c>
    </row>
    <row r="36" spans="1:13" x14ac:dyDescent="0.4">
      <c r="A36" s="35">
        <v>33</v>
      </c>
      <c r="B36" s="47" t="s">
        <v>80</v>
      </c>
      <c r="C36" s="48" t="s">
        <v>81</v>
      </c>
      <c r="D36" s="48" t="s">
        <v>268</v>
      </c>
      <c r="E36" s="49" t="s">
        <v>173</v>
      </c>
      <c r="F36" s="62">
        <v>44047.999988425901</v>
      </c>
      <c r="G36" s="64">
        <v>44047.791666666701</v>
      </c>
      <c r="H36" s="51" t="s">
        <v>257</v>
      </c>
      <c r="I36" s="52"/>
      <c r="J36" s="53"/>
      <c r="K36" s="47" t="s">
        <v>85</v>
      </c>
      <c r="L36" s="65">
        <v>12000</v>
      </c>
      <c r="M36" s="56" t="s">
        <v>86</v>
      </c>
    </row>
    <row r="37" spans="1:13" x14ac:dyDescent="0.4">
      <c r="A37" s="35">
        <v>34</v>
      </c>
      <c r="B37" s="47" t="s">
        <v>80</v>
      </c>
      <c r="C37" s="48" t="s">
        <v>81</v>
      </c>
      <c r="D37" s="48" t="s">
        <v>192</v>
      </c>
      <c r="E37" s="49" t="s">
        <v>173</v>
      </c>
      <c r="F37" s="62">
        <v>44047.999988425901</v>
      </c>
      <c r="G37" s="64">
        <v>44047.791666666701</v>
      </c>
      <c r="H37" s="51" t="s">
        <v>257</v>
      </c>
      <c r="I37" s="52"/>
      <c r="J37" s="53"/>
      <c r="K37" s="47" t="s">
        <v>85</v>
      </c>
      <c r="L37" s="65">
        <v>12000</v>
      </c>
      <c r="M37" s="56" t="s">
        <v>86</v>
      </c>
    </row>
    <row r="38" spans="1:13" x14ac:dyDescent="0.4">
      <c r="A38" s="35">
        <v>35</v>
      </c>
      <c r="B38" s="47" t="s">
        <v>80</v>
      </c>
      <c r="C38" s="48" t="s">
        <v>94</v>
      </c>
      <c r="D38" s="48" t="s">
        <v>185</v>
      </c>
      <c r="E38" s="49" t="s">
        <v>173</v>
      </c>
      <c r="F38" s="62">
        <v>44047.999988425901</v>
      </c>
      <c r="G38" s="64">
        <v>44047.791666666701</v>
      </c>
      <c r="H38" s="51" t="s">
        <v>257</v>
      </c>
      <c r="I38" s="52"/>
      <c r="J38" s="53"/>
      <c r="K38" s="47" t="s">
        <v>85</v>
      </c>
      <c r="L38" s="65">
        <v>12000</v>
      </c>
      <c r="M38" s="56" t="s">
        <v>86</v>
      </c>
    </row>
    <row r="39" spans="1:13" x14ac:dyDescent="0.4">
      <c r="A39" s="35">
        <v>36</v>
      </c>
      <c r="B39" s="47" t="s">
        <v>80</v>
      </c>
      <c r="C39" s="48" t="s">
        <v>94</v>
      </c>
      <c r="D39" s="48" t="s">
        <v>193</v>
      </c>
      <c r="E39" s="49" t="s">
        <v>173</v>
      </c>
      <c r="F39" s="62">
        <v>44047.999988425901</v>
      </c>
      <c r="G39" s="64">
        <v>44047.791666666701</v>
      </c>
      <c r="H39" s="51" t="s">
        <v>257</v>
      </c>
      <c r="I39" s="52"/>
      <c r="J39" s="53"/>
      <c r="K39" s="47" t="s">
        <v>85</v>
      </c>
      <c r="L39" s="65">
        <v>12000</v>
      </c>
      <c r="M39" s="56" t="s">
        <v>86</v>
      </c>
    </row>
    <row r="40" spans="1:13" x14ac:dyDescent="0.4">
      <c r="A40" s="35">
        <v>37</v>
      </c>
      <c r="B40" s="47" t="s">
        <v>80</v>
      </c>
      <c r="C40" s="48" t="s">
        <v>94</v>
      </c>
      <c r="D40" s="48" t="s">
        <v>192</v>
      </c>
      <c r="E40" s="49" t="s">
        <v>173</v>
      </c>
      <c r="F40" s="62">
        <v>44047.999988425901</v>
      </c>
      <c r="G40" s="64">
        <v>44047.791666666701</v>
      </c>
      <c r="H40" s="51" t="s">
        <v>257</v>
      </c>
      <c r="I40" s="52"/>
      <c r="J40" s="53"/>
      <c r="K40" s="47" t="s">
        <v>85</v>
      </c>
      <c r="L40" s="65">
        <v>12000</v>
      </c>
      <c r="M40" s="56" t="s">
        <v>86</v>
      </c>
    </row>
    <row r="41" spans="1:13" x14ac:dyDescent="0.4">
      <c r="A41" s="35">
        <v>38</v>
      </c>
      <c r="B41" s="47" t="s">
        <v>80</v>
      </c>
      <c r="C41" s="48" t="s">
        <v>94</v>
      </c>
      <c r="D41" s="48" t="s">
        <v>186</v>
      </c>
      <c r="E41" s="49" t="s">
        <v>173</v>
      </c>
      <c r="F41" s="62">
        <v>44047.999988425901</v>
      </c>
      <c r="G41" s="64">
        <v>44047.791666666701</v>
      </c>
      <c r="H41" s="51" t="s">
        <v>257</v>
      </c>
      <c r="I41" s="52"/>
      <c r="J41" s="53"/>
      <c r="K41" s="47" t="s">
        <v>85</v>
      </c>
      <c r="L41" s="65">
        <v>12000</v>
      </c>
      <c r="M41" s="56" t="s">
        <v>86</v>
      </c>
    </row>
    <row r="42" spans="1:13" x14ac:dyDescent="0.4">
      <c r="A42" s="35">
        <v>39</v>
      </c>
      <c r="B42" s="47" t="s">
        <v>80</v>
      </c>
      <c r="C42" s="48" t="s">
        <v>94</v>
      </c>
      <c r="D42" s="48" t="s">
        <v>191</v>
      </c>
      <c r="E42" s="49" t="s">
        <v>173</v>
      </c>
      <c r="F42" s="62">
        <v>44047.999988425901</v>
      </c>
      <c r="G42" s="64">
        <v>44047.791666666701</v>
      </c>
      <c r="H42" s="51" t="s">
        <v>257</v>
      </c>
      <c r="I42" s="52"/>
      <c r="J42" s="53"/>
      <c r="K42" s="47" t="s">
        <v>85</v>
      </c>
      <c r="L42" s="65">
        <v>12000</v>
      </c>
      <c r="M42" s="56" t="s">
        <v>86</v>
      </c>
    </row>
    <row r="43" spans="1:13" x14ac:dyDescent="0.4">
      <c r="A43" s="35">
        <v>40</v>
      </c>
      <c r="B43" s="47" t="s">
        <v>80</v>
      </c>
      <c r="C43" s="48" t="s">
        <v>94</v>
      </c>
      <c r="D43" s="48" t="s">
        <v>187</v>
      </c>
      <c r="E43" s="49" t="s">
        <v>173</v>
      </c>
      <c r="F43" s="62">
        <v>44047.999988425901</v>
      </c>
      <c r="G43" s="64">
        <v>44047.791666666701</v>
      </c>
      <c r="H43" s="51" t="s">
        <v>257</v>
      </c>
      <c r="I43" s="52"/>
      <c r="J43" s="53"/>
      <c r="K43" s="47" t="s">
        <v>85</v>
      </c>
      <c r="L43" s="65">
        <v>12000</v>
      </c>
      <c r="M43" s="56" t="s">
        <v>86</v>
      </c>
    </row>
    <row r="44" spans="1:13" x14ac:dyDescent="0.4">
      <c r="A44" s="35">
        <v>41</v>
      </c>
      <c r="B44" s="47" t="s">
        <v>80</v>
      </c>
      <c r="C44" s="48" t="s">
        <v>94</v>
      </c>
      <c r="D44" s="48" t="s">
        <v>209</v>
      </c>
      <c r="E44" s="49" t="s">
        <v>173</v>
      </c>
      <c r="F44" s="62">
        <v>44047.999988425901</v>
      </c>
      <c r="G44" s="64">
        <v>44047.791666666701</v>
      </c>
      <c r="H44" s="51" t="s">
        <v>257</v>
      </c>
      <c r="I44" s="52"/>
      <c r="J44" s="53"/>
      <c r="K44" s="47" t="s">
        <v>85</v>
      </c>
      <c r="L44" s="65">
        <v>12000</v>
      </c>
      <c r="M44" s="56" t="s">
        <v>86</v>
      </c>
    </row>
    <row r="45" spans="1:13" x14ac:dyDescent="0.4">
      <c r="A45" s="275">
        <v>42</v>
      </c>
      <c r="B45" s="268" t="s">
        <v>80</v>
      </c>
      <c r="C45" s="263" t="s">
        <v>94</v>
      </c>
      <c r="D45" s="238" t="s">
        <v>213</v>
      </c>
      <c r="E45" s="49" t="s">
        <v>173</v>
      </c>
      <c r="F45" s="62">
        <v>44047.999988425901</v>
      </c>
      <c r="G45" s="64">
        <v>44047.791666666701</v>
      </c>
      <c r="H45" s="51" t="s">
        <v>257</v>
      </c>
      <c r="I45" s="66"/>
      <c r="J45" s="66"/>
      <c r="K45" s="47" t="s">
        <v>85</v>
      </c>
      <c r="L45" s="65">
        <v>12000</v>
      </c>
      <c r="M45" s="56" t="s">
        <v>86</v>
      </c>
    </row>
    <row r="46" spans="1:13" x14ac:dyDescent="0.4">
      <c r="A46" s="275"/>
      <c r="B46" s="269"/>
      <c r="C46" s="264"/>
      <c r="D46" s="239"/>
      <c r="E46" s="49" t="s">
        <v>269</v>
      </c>
      <c r="F46" s="62">
        <v>44642.999988425901</v>
      </c>
      <c r="G46" s="64"/>
      <c r="H46" s="51" t="s">
        <v>257</v>
      </c>
      <c r="I46" s="66">
        <v>44744.655925925901</v>
      </c>
      <c r="J46" s="66">
        <v>44742.6875</v>
      </c>
      <c r="K46" s="47" t="s">
        <v>85</v>
      </c>
      <c r="L46" s="65">
        <v>12000</v>
      </c>
      <c r="M46" s="56" t="s">
        <v>86</v>
      </c>
    </row>
    <row r="47" spans="1:13" x14ac:dyDescent="0.4">
      <c r="A47" s="35">
        <v>43</v>
      </c>
      <c r="B47" s="47" t="s">
        <v>80</v>
      </c>
      <c r="C47" s="48" t="s">
        <v>94</v>
      </c>
      <c r="D47" s="48" t="s">
        <v>270</v>
      </c>
      <c r="E47" s="49" t="s">
        <v>173</v>
      </c>
      <c r="F47" s="62">
        <v>44047.999988425901</v>
      </c>
      <c r="G47" s="64">
        <v>44047.791666666701</v>
      </c>
      <c r="H47" s="51" t="s">
        <v>257</v>
      </c>
      <c r="I47" s="52"/>
      <c r="J47" s="53"/>
      <c r="K47" s="47" t="s">
        <v>85</v>
      </c>
      <c r="L47" s="65">
        <v>12000</v>
      </c>
      <c r="M47" s="56" t="s">
        <v>86</v>
      </c>
    </row>
    <row r="48" spans="1:13" x14ac:dyDescent="0.4">
      <c r="A48" s="35">
        <v>44</v>
      </c>
      <c r="B48" s="47" t="s">
        <v>80</v>
      </c>
      <c r="C48" s="48" t="s">
        <v>94</v>
      </c>
      <c r="D48" s="48" t="s">
        <v>95</v>
      </c>
      <c r="E48" s="49" t="s">
        <v>173</v>
      </c>
      <c r="F48" s="62">
        <v>44047.999988425901</v>
      </c>
      <c r="G48" s="64">
        <v>44047.791666666701</v>
      </c>
      <c r="H48" s="51" t="s">
        <v>257</v>
      </c>
      <c r="I48" s="52"/>
      <c r="J48" s="53"/>
      <c r="K48" s="47" t="s">
        <v>85</v>
      </c>
      <c r="L48" s="65">
        <v>12000</v>
      </c>
      <c r="M48" s="56" t="s">
        <v>86</v>
      </c>
    </row>
    <row r="49" spans="1:13" x14ac:dyDescent="0.4">
      <c r="A49" s="35">
        <v>45</v>
      </c>
      <c r="B49" s="47" t="s">
        <v>80</v>
      </c>
      <c r="C49" s="48" t="s">
        <v>94</v>
      </c>
      <c r="D49" s="48" t="s">
        <v>97</v>
      </c>
      <c r="E49" s="49" t="s">
        <v>173</v>
      </c>
      <c r="F49" s="62">
        <v>44047.999988425901</v>
      </c>
      <c r="G49" s="64">
        <v>44047.791666666701</v>
      </c>
      <c r="H49" s="51" t="s">
        <v>257</v>
      </c>
      <c r="I49" s="52"/>
      <c r="J49" s="53"/>
      <c r="K49" s="47" t="s">
        <v>85</v>
      </c>
      <c r="L49" s="65">
        <v>12000</v>
      </c>
      <c r="M49" s="56" t="s">
        <v>86</v>
      </c>
    </row>
    <row r="50" spans="1:13" x14ac:dyDescent="0.4">
      <c r="A50" s="35">
        <v>46</v>
      </c>
      <c r="B50" s="47" t="s">
        <v>80</v>
      </c>
      <c r="C50" s="48" t="s">
        <v>94</v>
      </c>
      <c r="D50" s="48" t="s">
        <v>98</v>
      </c>
      <c r="E50" s="49" t="s">
        <v>173</v>
      </c>
      <c r="F50" s="62">
        <v>44047.999988425901</v>
      </c>
      <c r="G50" s="64">
        <v>44047.791666666701</v>
      </c>
      <c r="H50" s="51" t="s">
        <v>257</v>
      </c>
      <c r="I50" s="52"/>
      <c r="J50" s="53"/>
      <c r="K50" s="47" t="s">
        <v>85</v>
      </c>
      <c r="L50" s="65">
        <v>12000</v>
      </c>
      <c r="M50" s="56" t="s">
        <v>86</v>
      </c>
    </row>
    <row r="51" spans="1:13" x14ac:dyDescent="0.4">
      <c r="A51" s="35">
        <v>47</v>
      </c>
      <c r="B51" s="47" t="s">
        <v>80</v>
      </c>
      <c r="C51" s="48" t="s">
        <v>94</v>
      </c>
      <c r="D51" s="48" t="s">
        <v>271</v>
      </c>
      <c r="E51" s="49" t="s">
        <v>173</v>
      </c>
      <c r="F51" s="62">
        <v>44047.999988425901</v>
      </c>
      <c r="G51" s="64">
        <v>44047.791666666701</v>
      </c>
      <c r="H51" s="51" t="s">
        <v>257</v>
      </c>
      <c r="I51" s="52"/>
      <c r="J51" s="53"/>
      <c r="K51" s="47" t="s">
        <v>85</v>
      </c>
      <c r="L51" s="65">
        <v>12000</v>
      </c>
      <c r="M51" s="56" t="s">
        <v>86</v>
      </c>
    </row>
    <row r="52" spans="1:13" x14ac:dyDescent="0.4">
      <c r="A52" s="35">
        <v>48</v>
      </c>
      <c r="B52" s="47" t="s">
        <v>80</v>
      </c>
      <c r="C52" s="48" t="s">
        <v>94</v>
      </c>
      <c r="D52" s="48" t="s">
        <v>272</v>
      </c>
      <c r="E52" s="49" t="s">
        <v>173</v>
      </c>
      <c r="F52" s="62">
        <v>44047.999988425901</v>
      </c>
      <c r="G52" s="64">
        <v>44047.791666666701</v>
      </c>
      <c r="H52" s="51" t="s">
        <v>257</v>
      </c>
      <c r="I52" s="52"/>
      <c r="J52" s="53"/>
      <c r="K52" s="47" t="s">
        <v>85</v>
      </c>
      <c r="L52" s="65">
        <v>12000</v>
      </c>
      <c r="M52" s="56" t="s">
        <v>86</v>
      </c>
    </row>
    <row r="53" spans="1:13" x14ac:dyDescent="0.4">
      <c r="A53" s="35">
        <v>49</v>
      </c>
      <c r="B53" s="47" t="s">
        <v>80</v>
      </c>
      <c r="C53" s="48" t="s">
        <v>94</v>
      </c>
      <c r="D53" s="48" t="s">
        <v>99</v>
      </c>
      <c r="E53" s="49" t="s">
        <v>173</v>
      </c>
      <c r="F53" s="62">
        <v>44047.999988425901</v>
      </c>
      <c r="G53" s="64">
        <v>44047.791666666701</v>
      </c>
      <c r="H53" s="51" t="s">
        <v>257</v>
      </c>
      <c r="I53" s="52"/>
      <c r="J53" s="53"/>
      <c r="K53" s="47" t="s">
        <v>85</v>
      </c>
      <c r="L53" s="65">
        <v>12000</v>
      </c>
      <c r="M53" s="56" t="s">
        <v>86</v>
      </c>
    </row>
    <row r="54" spans="1:13" x14ac:dyDescent="0.4">
      <c r="A54" s="35">
        <v>50</v>
      </c>
      <c r="B54" s="47" t="s">
        <v>80</v>
      </c>
      <c r="C54" s="48" t="s">
        <v>94</v>
      </c>
      <c r="D54" s="48" t="s">
        <v>100</v>
      </c>
      <c r="E54" s="49" t="s">
        <v>173</v>
      </c>
      <c r="F54" s="62">
        <v>44047.999988425901</v>
      </c>
      <c r="G54" s="64">
        <v>44047.791666666701</v>
      </c>
      <c r="H54" s="51" t="s">
        <v>257</v>
      </c>
      <c r="I54" s="52"/>
      <c r="J54" s="53"/>
      <c r="K54" s="47" t="s">
        <v>85</v>
      </c>
      <c r="L54" s="65">
        <v>12000</v>
      </c>
      <c r="M54" s="56" t="s">
        <v>86</v>
      </c>
    </row>
    <row r="55" spans="1:13" x14ac:dyDescent="0.4">
      <c r="A55" s="35">
        <v>51</v>
      </c>
      <c r="B55" s="47" t="s">
        <v>80</v>
      </c>
      <c r="C55" s="48" t="s">
        <v>94</v>
      </c>
      <c r="D55" s="48" t="s">
        <v>101</v>
      </c>
      <c r="E55" s="49" t="s">
        <v>173</v>
      </c>
      <c r="F55" s="62">
        <v>44047.999988425901</v>
      </c>
      <c r="G55" s="64">
        <v>44047.791666666701</v>
      </c>
      <c r="H55" s="51" t="s">
        <v>257</v>
      </c>
      <c r="I55" s="52"/>
      <c r="J55" s="53"/>
      <c r="K55" s="47" t="s">
        <v>85</v>
      </c>
      <c r="L55" s="65">
        <v>12000</v>
      </c>
      <c r="M55" s="56" t="s">
        <v>86</v>
      </c>
    </row>
    <row r="56" spans="1:13" x14ac:dyDescent="0.4">
      <c r="A56" s="35">
        <v>52</v>
      </c>
      <c r="B56" s="47" t="s">
        <v>80</v>
      </c>
      <c r="C56" s="48" t="s">
        <v>94</v>
      </c>
      <c r="D56" s="48" t="s">
        <v>102</v>
      </c>
      <c r="E56" s="49" t="s">
        <v>173</v>
      </c>
      <c r="F56" s="62">
        <v>44047.999988425901</v>
      </c>
      <c r="G56" s="64">
        <v>44047.791666666701</v>
      </c>
      <c r="H56" s="51" t="s">
        <v>257</v>
      </c>
      <c r="I56" s="52"/>
      <c r="J56" s="53"/>
      <c r="K56" s="47" t="s">
        <v>85</v>
      </c>
      <c r="L56" s="65">
        <v>12000</v>
      </c>
      <c r="M56" s="56" t="s">
        <v>86</v>
      </c>
    </row>
    <row r="57" spans="1:13" x14ac:dyDescent="0.4">
      <c r="A57" s="35">
        <v>53</v>
      </c>
      <c r="B57" s="47" t="s">
        <v>80</v>
      </c>
      <c r="C57" s="48" t="s">
        <v>94</v>
      </c>
      <c r="D57" s="48" t="s">
        <v>103</v>
      </c>
      <c r="E57" s="49" t="s">
        <v>173</v>
      </c>
      <c r="F57" s="62">
        <v>44047.999988425901</v>
      </c>
      <c r="G57" s="64">
        <v>44047.791666666701</v>
      </c>
      <c r="H57" s="51" t="s">
        <v>257</v>
      </c>
      <c r="I57" s="52"/>
      <c r="J57" s="53"/>
      <c r="K57" s="47" t="s">
        <v>85</v>
      </c>
      <c r="L57" s="65">
        <v>12000</v>
      </c>
      <c r="M57" s="56" t="s">
        <v>86</v>
      </c>
    </row>
    <row r="58" spans="1:13" x14ac:dyDescent="0.4">
      <c r="A58" s="35">
        <v>54</v>
      </c>
      <c r="B58" s="47" t="s">
        <v>80</v>
      </c>
      <c r="C58" s="48" t="s">
        <v>94</v>
      </c>
      <c r="D58" s="48" t="s">
        <v>104</v>
      </c>
      <c r="E58" s="49" t="s">
        <v>173</v>
      </c>
      <c r="F58" s="62">
        <v>44047.999988425901</v>
      </c>
      <c r="G58" s="64">
        <v>44047.791666666701</v>
      </c>
      <c r="H58" s="51" t="s">
        <v>257</v>
      </c>
      <c r="I58" s="52"/>
      <c r="J58" s="53"/>
      <c r="K58" s="47" t="s">
        <v>85</v>
      </c>
      <c r="L58" s="65">
        <v>12000</v>
      </c>
      <c r="M58" s="56" t="s">
        <v>86</v>
      </c>
    </row>
    <row r="59" spans="1:13" x14ac:dyDescent="0.4">
      <c r="A59" s="35">
        <v>55</v>
      </c>
      <c r="B59" s="47" t="s">
        <v>80</v>
      </c>
      <c r="C59" s="48" t="s">
        <v>94</v>
      </c>
      <c r="D59" s="48" t="s">
        <v>105</v>
      </c>
      <c r="E59" s="49" t="s">
        <v>173</v>
      </c>
      <c r="F59" s="62">
        <v>44047.999988425901</v>
      </c>
      <c r="G59" s="64">
        <v>44047.791666666701</v>
      </c>
      <c r="H59" s="51" t="s">
        <v>257</v>
      </c>
      <c r="I59" s="52"/>
      <c r="J59" s="53"/>
      <c r="K59" s="47" t="s">
        <v>85</v>
      </c>
      <c r="L59" s="65">
        <v>12000</v>
      </c>
      <c r="M59" s="56" t="s">
        <v>86</v>
      </c>
    </row>
    <row r="60" spans="1:13" x14ac:dyDescent="0.4">
      <c r="A60" s="35">
        <v>56</v>
      </c>
      <c r="B60" s="47" t="s">
        <v>80</v>
      </c>
      <c r="C60" s="48" t="s">
        <v>94</v>
      </c>
      <c r="D60" s="48" t="s">
        <v>106</v>
      </c>
      <c r="E60" s="49" t="s">
        <v>173</v>
      </c>
      <c r="F60" s="62">
        <v>44047.999988425901</v>
      </c>
      <c r="G60" s="64">
        <v>44047.791666666701</v>
      </c>
      <c r="H60" s="51" t="s">
        <v>257</v>
      </c>
      <c r="I60" s="52"/>
      <c r="J60" s="53"/>
      <c r="K60" s="47" t="s">
        <v>85</v>
      </c>
      <c r="L60" s="65">
        <v>12000</v>
      </c>
      <c r="M60" s="56" t="s">
        <v>86</v>
      </c>
    </row>
    <row r="61" spans="1:13" x14ac:dyDescent="0.4">
      <c r="A61" s="35">
        <v>57</v>
      </c>
      <c r="B61" s="47" t="s">
        <v>80</v>
      </c>
      <c r="C61" s="48" t="s">
        <v>94</v>
      </c>
      <c r="D61" s="48" t="s">
        <v>107</v>
      </c>
      <c r="E61" s="49" t="s">
        <v>173</v>
      </c>
      <c r="F61" s="62">
        <v>44047.999988425901</v>
      </c>
      <c r="G61" s="64">
        <v>44047.791666666701</v>
      </c>
      <c r="H61" s="51" t="s">
        <v>257</v>
      </c>
      <c r="I61" s="52"/>
      <c r="J61" s="53"/>
      <c r="K61" s="47" t="s">
        <v>85</v>
      </c>
      <c r="L61" s="65">
        <v>12000</v>
      </c>
      <c r="M61" s="56" t="s">
        <v>86</v>
      </c>
    </row>
    <row r="62" spans="1:13" x14ac:dyDescent="0.4">
      <c r="A62" s="35">
        <v>58</v>
      </c>
      <c r="B62" s="47" t="s">
        <v>80</v>
      </c>
      <c r="C62" s="48" t="s">
        <v>94</v>
      </c>
      <c r="D62" s="48" t="s">
        <v>108</v>
      </c>
      <c r="E62" s="49" t="s">
        <v>173</v>
      </c>
      <c r="F62" s="62">
        <v>44047.999988425901</v>
      </c>
      <c r="G62" s="64">
        <v>44047.791666666701</v>
      </c>
      <c r="H62" s="51" t="s">
        <v>257</v>
      </c>
      <c r="I62" s="52"/>
      <c r="J62" s="53"/>
      <c r="K62" s="47" t="s">
        <v>85</v>
      </c>
      <c r="L62" s="65">
        <v>12000</v>
      </c>
      <c r="M62" s="56" t="s">
        <v>86</v>
      </c>
    </row>
    <row r="63" spans="1:13" x14ac:dyDescent="0.4">
      <c r="A63" s="35">
        <v>59</v>
      </c>
      <c r="B63" s="47" t="s">
        <v>80</v>
      </c>
      <c r="C63" s="48" t="s">
        <v>94</v>
      </c>
      <c r="D63" s="48" t="s">
        <v>109</v>
      </c>
      <c r="E63" s="49" t="s">
        <v>173</v>
      </c>
      <c r="F63" s="62">
        <v>44047.999988425901</v>
      </c>
      <c r="G63" s="64">
        <v>44047.791666666701</v>
      </c>
      <c r="H63" s="51" t="s">
        <v>257</v>
      </c>
      <c r="I63" s="52"/>
      <c r="J63" s="53"/>
      <c r="K63" s="47" t="s">
        <v>85</v>
      </c>
      <c r="L63" s="65">
        <v>12000</v>
      </c>
      <c r="M63" s="56" t="s">
        <v>86</v>
      </c>
    </row>
    <row r="64" spans="1:13" x14ac:dyDescent="0.4">
      <c r="A64" s="35">
        <v>60</v>
      </c>
      <c r="B64" s="47" t="s">
        <v>80</v>
      </c>
      <c r="C64" s="48" t="s">
        <v>94</v>
      </c>
      <c r="D64" s="48" t="s">
        <v>110</v>
      </c>
      <c r="E64" s="49" t="s">
        <v>173</v>
      </c>
      <c r="F64" s="62">
        <v>44047.999988425901</v>
      </c>
      <c r="G64" s="64">
        <v>44047.791666666701</v>
      </c>
      <c r="H64" s="51" t="s">
        <v>257</v>
      </c>
      <c r="I64" s="52"/>
      <c r="J64" s="53"/>
      <c r="K64" s="47" t="s">
        <v>85</v>
      </c>
      <c r="L64" s="65">
        <v>12000</v>
      </c>
      <c r="M64" s="56" t="s">
        <v>86</v>
      </c>
    </row>
    <row r="65" spans="1:13" x14ac:dyDescent="0.4">
      <c r="A65" s="35">
        <v>61</v>
      </c>
      <c r="B65" s="47" t="s">
        <v>80</v>
      </c>
      <c r="C65" s="48" t="s">
        <v>94</v>
      </c>
      <c r="D65" s="48" t="s">
        <v>111</v>
      </c>
      <c r="E65" s="49" t="s">
        <v>173</v>
      </c>
      <c r="F65" s="62">
        <v>44047.999988425901</v>
      </c>
      <c r="G65" s="64">
        <v>44047.791666666701</v>
      </c>
      <c r="H65" s="51" t="s">
        <v>257</v>
      </c>
      <c r="I65" s="52"/>
      <c r="J65" s="53"/>
      <c r="K65" s="47" t="s">
        <v>85</v>
      </c>
      <c r="L65" s="65">
        <v>12000</v>
      </c>
      <c r="M65" s="56" t="s">
        <v>86</v>
      </c>
    </row>
    <row r="66" spans="1:13" x14ac:dyDescent="0.4">
      <c r="A66" s="35">
        <v>62</v>
      </c>
      <c r="B66" s="47" t="s">
        <v>80</v>
      </c>
      <c r="C66" s="48" t="s">
        <v>94</v>
      </c>
      <c r="D66" s="48" t="s">
        <v>112</v>
      </c>
      <c r="E66" s="49" t="s">
        <v>173</v>
      </c>
      <c r="F66" s="62">
        <v>44047.999988425901</v>
      </c>
      <c r="G66" s="64">
        <v>44047.791666666701</v>
      </c>
      <c r="H66" s="51" t="s">
        <v>257</v>
      </c>
      <c r="I66" s="52"/>
      <c r="J66" s="53"/>
      <c r="K66" s="47" t="s">
        <v>85</v>
      </c>
      <c r="L66" s="65">
        <v>12000</v>
      </c>
      <c r="M66" s="56" t="s">
        <v>86</v>
      </c>
    </row>
    <row r="67" spans="1:13" x14ac:dyDescent="0.4">
      <c r="A67" s="35">
        <v>63</v>
      </c>
      <c r="B67" s="47" t="s">
        <v>80</v>
      </c>
      <c r="C67" s="48" t="s">
        <v>94</v>
      </c>
      <c r="D67" s="48" t="s">
        <v>268</v>
      </c>
      <c r="E67" s="49" t="s">
        <v>173</v>
      </c>
      <c r="F67" s="67">
        <v>44048.999988425901</v>
      </c>
      <c r="G67" s="64">
        <v>44048.729166666701</v>
      </c>
      <c r="H67" s="51" t="s">
        <v>257</v>
      </c>
      <c r="I67" s="52"/>
      <c r="J67" s="53"/>
      <c r="K67" s="47" t="s">
        <v>85</v>
      </c>
      <c r="L67" s="65">
        <v>12000</v>
      </c>
      <c r="M67" s="56" t="s">
        <v>86</v>
      </c>
    </row>
    <row r="68" spans="1:13" x14ac:dyDescent="0.4">
      <c r="A68" s="35">
        <v>64</v>
      </c>
      <c r="B68" s="47" t="s">
        <v>80</v>
      </c>
      <c r="C68" s="48" t="s">
        <v>94</v>
      </c>
      <c r="D68" s="48" t="s">
        <v>225</v>
      </c>
      <c r="E68" s="49" t="s">
        <v>173</v>
      </c>
      <c r="F68" s="67">
        <v>44048.999988425901</v>
      </c>
      <c r="G68" s="64">
        <v>44048.729166666701</v>
      </c>
      <c r="H68" s="51" t="s">
        <v>257</v>
      </c>
      <c r="I68" s="52"/>
      <c r="J68" s="53"/>
      <c r="K68" s="47" t="s">
        <v>85</v>
      </c>
      <c r="L68" s="65">
        <v>12000</v>
      </c>
      <c r="M68" s="56" t="s">
        <v>86</v>
      </c>
    </row>
    <row r="69" spans="1:13" x14ac:dyDescent="0.4">
      <c r="A69" s="35">
        <v>65</v>
      </c>
      <c r="B69" s="47" t="s">
        <v>80</v>
      </c>
      <c r="C69" s="48" t="s">
        <v>94</v>
      </c>
      <c r="D69" s="48" t="s">
        <v>228</v>
      </c>
      <c r="E69" s="49" t="s">
        <v>173</v>
      </c>
      <c r="F69" s="67">
        <v>44048.999988425901</v>
      </c>
      <c r="G69" s="64">
        <v>44048.729166666701</v>
      </c>
      <c r="H69" s="51" t="s">
        <v>257</v>
      </c>
      <c r="I69" s="52"/>
      <c r="J69" s="53"/>
      <c r="K69" s="47" t="s">
        <v>85</v>
      </c>
      <c r="L69" s="65">
        <v>12000</v>
      </c>
      <c r="M69" s="56" t="s">
        <v>86</v>
      </c>
    </row>
    <row r="70" spans="1:13" x14ac:dyDescent="0.4">
      <c r="A70" s="35">
        <v>66</v>
      </c>
      <c r="B70" s="47" t="s">
        <v>80</v>
      </c>
      <c r="C70" s="48" t="s">
        <v>94</v>
      </c>
      <c r="D70" s="48" t="s">
        <v>113</v>
      </c>
      <c r="E70" s="49" t="s">
        <v>173</v>
      </c>
      <c r="F70" s="67">
        <v>44048.999988425901</v>
      </c>
      <c r="G70" s="64">
        <v>44048.729166666701</v>
      </c>
      <c r="H70" s="51" t="s">
        <v>257</v>
      </c>
      <c r="I70" s="52"/>
      <c r="J70" s="53"/>
      <c r="K70" s="47" t="s">
        <v>85</v>
      </c>
      <c r="L70" s="65">
        <v>12000</v>
      </c>
      <c r="M70" s="56" t="s">
        <v>86</v>
      </c>
    </row>
    <row r="71" spans="1:13" x14ac:dyDescent="0.4">
      <c r="A71" s="35">
        <v>67</v>
      </c>
      <c r="B71" s="47" t="s">
        <v>80</v>
      </c>
      <c r="C71" s="48" t="s">
        <v>94</v>
      </c>
      <c r="D71" s="48" t="s">
        <v>114</v>
      </c>
      <c r="E71" s="49" t="s">
        <v>173</v>
      </c>
      <c r="F71" s="67">
        <v>44048.999988425901</v>
      </c>
      <c r="G71" s="64">
        <v>44048.729166666701</v>
      </c>
      <c r="H71" s="51" t="s">
        <v>257</v>
      </c>
      <c r="I71" s="52"/>
      <c r="J71" s="53"/>
      <c r="K71" s="47" t="s">
        <v>85</v>
      </c>
      <c r="L71" s="65">
        <v>12000</v>
      </c>
      <c r="M71" s="56" t="s">
        <v>86</v>
      </c>
    </row>
    <row r="72" spans="1:13" x14ac:dyDescent="0.4">
      <c r="A72" s="35">
        <v>68</v>
      </c>
      <c r="B72" s="47" t="s">
        <v>80</v>
      </c>
      <c r="C72" s="48" t="s">
        <v>94</v>
      </c>
      <c r="D72" s="48" t="s">
        <v>115</v>
      </c>
      <c r="E72" s="49" t="s">
        <v>173</v>
      </c>
      <c r="F72" s="67">
        <v>44048.999988425901</v>
      </c>
      <c r="G72" s="64">
        <v>44048.729166666701</v>
      </c>
      <c r="H72" s="51" t="s">
        <v>257</v>
      </c>
      <c r="I72" s="52"/>
      <c r="J72" s="53"/>
      <c r="K72" s="47" t="s">
        <v>85</v>
      </c>
      <c r="L72" s="65">
        <v>12000</v>
      </c>
      <c r="M72" s="56" t="s">
        <v>86</v>
      </c>
    </row>
    <row r="73" spans="1:13" x14ac:dyDescent="0.4">
      <c r="A73" s="35">
        <v>69</v>
      </c>
      <c r="B73" s="47" t="s">
        <v>80</v>
      </c>
      <c r="C73" s="48" t="s">
        <v>94</v>
      </c>
      <c r="D73" s="48" t="s">
        <v>116</v>
      </c>
      <c r="E73" s="49" t="s">
        <v>173</v>
      </c>
      <c r="F73" s="67">
        <v>44048.999988425901</v>
      </c>
      <c r="G73" s="64">
        <v>44048.729166666701</v>
      </c>
      <c r="H73" s="51" t="s">
        <v>257</v>
      </c>
      <c r="I73" s="52"/>
      <c r="J73" s="53"/>
      <c r="K73" s="47" t="s">
        <v>85</v>
      </c>
      <c r="L73" s="65">
        <v>12000</v>
      </c>
      <c r="M73" s="56" t="s">
        <v>86</v>
      </c>
    </row>
    <row r="74" spans="1:13" x14ac:dyDescent="0.4">
      <c r="A74" s="35">
        <v>70</v>
      </c>
      <c r="B74" s="47" t="s">
        <v>80</v>
      </c>
      <c r="C74" s="48" t="s">
        <v>94</v>
      </c>
      <c r="D74" s="48" t="s">
        <v>117</v>
      </c>
      <c r="E74" s="49" t="s">
        <v>173</v>
      </c>
      <c r="F74" s="67">
        <v>44048.999988425901</v>
      </c>
      <c r="G74" s="64">
        <v>44048.729166666701</v>
      </c>
      <c r="H74" s="51" t="s">
        <v>257</v>
      </c>
      <c r="I74" s="52"/>
      <c r="J74" s="53"/>
      <c r="K74" s="47" t="s">
        <v>85</v>
      </c>
      <c r="L74" s="65">
        <v>12000</v>
      </c>
      <c r="M74" s="56" t="s">
        <v>86</v>
      </c>
    </row>
    <row r="75" spans="1:13" x14ac:dyDescent="0.4">
      <c r="A75" s="35">
        <v>71</v>
      </c>
      <c r="B75" s="47" t="s">
        <v>80</v>
      </c>
      <c r="C75" s="48" t="s">
        <v>94</v>
      </c>
      <c r="D75" s="48" t="s">
        <v>118</v>
      </c>
      <c r="E75" s="49" t="s">
        <v>173</v>
      </c>
      <c r="F75" s="67">
        <v>44048.999988425901</v>
      </c>
      <c r="G75" s="64">
        <v>44048.729166666701</v>
      </c>
      <c r="H75" s="51" t="s">
        <v>257</v>
      </c>
      <c r="I75" s="52"/>
      <c r="J75" s="53"/>
      <c r="K75" s="47" t="s">
        <v>85</v>
      </c>
      <c r="L75" s="65">
        <v>12000</v>
      </c>
      <c r="M75" s="56" t="s">
        <v>86</v>
      </c>
    </row>
    <row r="76" spans="1:13" x14ac:dyDescent="0.4">
      <c r="A76" s="35">
        <v>72</v>
      </c>
      <c r="B76" s="47" t="s">
        <v>80</v>
      </c>
      <c r="C76" s="48" t="s">
        <v>94</v>
      </c>
      <c r="D76" s="48" t="s">
        <v>119</v>
      </c>
      <c r="E76" s="49" t="s">
        <v>173</v>
      </c>
      <c r="F76" s="67">
        <v>44048.999988425901</v>
      </c>
      <c r="G76" s="64">
        <v>44048.729166666701</v>
      </c>
      <c r="H76" s="51" t="s">
        <v>257</v>
      </c>
      <c r="I76" s="52"/>
      <c r="J76" s="53"/>
      <c r="K76" s="47" t="s">
        <v>85</v>
      </c>
      <c r="L76" s="65">
        <v>12000</v>
      </c>
      <c r="M76" s="56" t="s">
        <v>86</v>
      </c>
    </row>
    <row r="77" spans="1:13" x14ac:dyDescent="0.4">
      <c r="A77" s="35">
        <v>73</v>
      </c>
      <c r="B77" s="47" t="s">
        <v>80</v>
      </c>
      <c r="C77" s="48" t="s">
        <v>94</v>
      </c>
      <c r="D77" s="48" t="s">
        <v>120</v>
      </c>
      <c r="E77" s="49" t="s">
        <v>173</v>
      </c>
      <c r="F77" s="67">
        <v>44048.999988425901</v>
      </c>
      <c r="G77" s="64">
        <v>44048.729166666701</v>
      </c>
      <c r="H77" s="51" t="s">
        <v>257</v>
      </c>
      <c r="I77" s="52"/>
      <c r="J77" s="53"/>
      <c r="K77" s="47" t="s">
        <v>85</v>
      </c>
      <c r="L77" s="65">
        <v>12000</v>
      </c>
      <c r="M77" s="56" t="s">
        <v>86</v>
      </c>
    </row>
    <row r="78" spans="1:13" x14ac:dyDescent="0.4">
      <c r="A78" s="35">
        <v>74</v>
      </c>
      <c r="B78" s="47" t="s">
        <v>80</v>
      </c>
      <c r="C78" s="48" t="s">
        <v>94</v>
      </c>
      <c r="D78" s="48" t="s">
        <v>121</v>
      </c>
      <c r="E78" s="49" t="s">
        <v>173</v>
      </c>
      <c r="F78" s="64">
        <v>44048.999988425901</v>
      </c>
      <c r="G78" s="64">
        <v>44048.729166666701</v>
      </c>
      <c r="H78" s="51" t="s">
        <v>257</v>
      </c>
      <c r="I78" s="52"/>
      <c r="J78" s="53"/>
      <c r="K78" s="47" t="s">
        <v>85</v>
      </c>
      <c r="L78" s="65">
        <v>12000</v>
      </c>
      <c r="M78" s="56" t="s">
        <v>86</v>
      </c>
    </row>
    <row r="79" spans="1:13" x14ac:dyDescent="0.4">
      <c r="A79" s="35">
        <v>75</v>
      </c>
      <c r="B79" s="47" t="s">
        <v>80</v>
      </c>
      <c r="C79" s="48" t="s">
        <v>94</v>
      </c>
      <c r="D79" s="48" t="s">
        <v>122</v>
      </c>
      <c r="E79" s="49" t="s">
        <v>173</v>
      </c>
      <c r="F79" s="64">
        <v>44048.999988425901</v>
      </c>
      <c r="G79" s="64">
        <v>44048.729166666701</v>
      </c>
      <c r="H79" s="51" t="s">
        <v>257</v>
      </c>
      <c r="I79" s="52"/>
      <c r="J79" s="53"/>
      <c r="K79" s="47" t="s">
        <v>85</v>
      </c>
      <c r="L79" s="65">
        <v>12000</v>
      </c>
      <c r="M79" s="56" t="s">
        <v>86</v>
      </c>
    </row>
    <row r="80" spans="1:13" x14ac:dyDescent="0.4">
      <c r="A80" s="35">
        <v>76</v>
      </c>
      <c r="B80" s="47" t="s">
        <v>80</v>
      </c>
      <c r="C80" s="48" t="s">
        <v>94</v>
      </c>
      <c r="D80" s="48" t="s">
        <v>82</v>
      </c>
      <c r="E80" s="49" t="s">
        <v>173</v>
      </c>
      <c r="F80" s="64">
        <v>44048.999988425901</v>
      </c>
      <c r="G80" s="64">
        <v>44048.729166666701</v>
      </c>
      <c r="H80" s="51" t="s">
        <v>257</v>
      </c>
      <c r="I80" s="52"/>
      <c r="J80" s="53"/>
      <c r="K80" s="47" t="s">
        <v>85</v>
      </c>
      <c r="L80" s="65">
        <v>12000</v>
      </c>
      <c r="M80" s="56" t="s">
        <v>86</v>
      </c>
    </row>
    <row r="81" spans="1:13" x14ac:dyDescent="0.4">
      <c r="A81" s="35">
        <v>77</v>
      </c>
      <c r="B81" s="47" t="s">
        <v>80</v>
      </c>
      <c r="C81" s="48" t="s">
        <v>94</v>
      </c>
      <c r="D81" s="48" t="s">
        <v>87</v>
      </c>
      <c r="E81" s="49" t="s">
        <v>173</v>
      </c>
      <c r="F81" s="64">
        <v>44048.999988425901</v>
      </c>
      <c r="G81" s="64">
        <v>44048.729166666701</v>
      </c>
      <c r="H81" s="51" t="s">
        <v>257</v>
      </c>
      <c r="I81" s="52"/>
      <c r="J81" s="53"/>
      <c r="K81" s="47" t="s">
        <v>85</v>
      </c>
      <c r="L81" s="65">
        <v>12000</v>
      </c>
      <c r="M81" s="56" t="s">
        <v>86</v>
      </c>
    </row>
    <row r="82" spans="1:13" x14ac:dyDescent="0.4">
      <c r="A82" s="35">
        <v>78</v>
      </c>
      <c r="B82" s="47" t="s">
        <v>80</v>
      </c>
      <c r="C82" s="48" t="s">
        <v>94</v>
      </c>
      <c r="D82" s="48" t="s">
        <v>88</v>
      </c>
      <c r="E82" s="49" t="s">
        <v>173</v>
      </c>
      <c r="F82" s="64">
        <v>44048.999988425901</v>
      </c>
      <c r="G82" s="64">
        <v>44048.729166666701</v>
      </c>
      <c r="H82" s="51" t="s">
        <v>257</v>
      </c>
      <c r="I82" s="52"/>
      <c r="J82" s="53"/>
      <c r="K82" s="47" t="s">
        <v>85</v>
      </c>
      <c r="L82" s="65">
        <v>12000</v>
      </c>
      <c r="M82" s="56" t="s">
        <v>86</v>
      </c>
    </row>
    <row r="83" spans="1:13" x14ac:dyDescent="0.4">
      <c r="A83" s="35">
        <v>79</v>
      </c>
      <c r="B83" s="47" t="s">
        <v>80</v>
      </c>
      <c r="C83" s="48" t="s">
        <v>94</v>
      </c>
      <c r="D83" s="48" t="s">
        <v>89</v>
      </c>
      <c r="E83" s="49" t="s">
        <v>173</v>
      </c>
      <c r="F83" s="64">
        <v>44048.999988425901</v>
      </c>
      <c r="G83" s="64">
        <v>44048.729166666701</v>
      </c>
      <c r="H83" s="51" t="s">
        <v>257</v>
      </c>
      <c r="I83" s="52"/>
      <c r="J83" s="53"/>
      <c r="K83" s="47" t="s">
        <v>85</v>
      </c>
      <c r="L83" s="65">
        <v>12000</v>
      </c>
      <c r="M83" s="56" t="s">
        <v>86</v>
      </c>
    </row>
    <row r="84" spans="1:13" x14ac:dyDescent="0.4">
      <c r="A84" s="35">
        <v>80</v>
      </c>
      <c r="B84" s="47" t="s">
        <v>80</v>
      </c>
      <c r="C84" s="48" t="s">
        <v>94</v>
      </c>
      <c r="D84" s="48" t="s">
        <v>90</v>
      </c>
      <c r="E84" s="49" t="s">
        <v>173</v>
      </c>
      <c r="F84" s="64">
        <v>44048.999988425901</v>
      </c>
      <c r="G84" s="64">
        <v>44048.729166666701</v>
      </c>
      <c r="H84" s="51" t="s">
        <v>257</v>
      </c>
      <c r="I84" s="52"/>
      <c r="J84" s="53"/>
      <c r="K84" s="47" t="s">
        <v>85</v>
      </c>
      <c r="L84" s="65">
        <v>12000</v>
      </c>
      <c r="M84" s="56" t="s">
        <v>86</v>
      </c>
    </row>
    <row r="85" spans="1:13" x14ac:dyDescent="0.4">
      <c r="A85" s="35">
        <v>81</v>
      </c>
      <c r="B85" s="47" t="s">
        <v>80</v>
      </c>
      <c r="C85" s="48" t="s">
        <v>94</v>
      </c>
      <c r="D85" s="48" t="s">
        <v>91</v>
      </c>
      <c r="E85" s="49" t="s">
        <v>173</v>
      </c>
      <c r="F85" s="64">
        <v>44048.999988425901</v>
      </c>
      <c r="G85" s="64">
        <v>44048.729166666701</v>
      </c>
      <c r="H85" s="51" t="s">
        <v>257</v>
      </c>
      <c r="I85" s="52"/>
      <c r="J85" s="53"/>
      <c r="K85" s="47" t="s">
        <v>85</v>
      </c>
      <c r="L85" s="65">
        <v>12000</v>
      </c>
      <c r="M85" s="56" t="s">
        <v>86</v>
      </c>
    </row>
    <row r="86" spans="1:13" x14ac:dyDescent="0.4">
      <c r="A86" s="35">
        <v>82</v>
      </c>
      <c r="B86" s="47" t="s">
        <v>80</v>
      </c>
      <c r="C86" s="48" t="s">
        <v>94</v>
      </c>
      <c r="D86" s="48" t="s">
        <v>92</v>
      </c>
      <c r="E86" s="49" t="s">
        <v>173</v>
      </c>
      <c r="F86" s="64">
        <v>44048.999988425901</v>
      </c>
      <c r="G86" s="64">
        <v>44048.729166666701</v>
      </c>
      <c r="H86" s="51" t="s">
        <v>257</v>
      </c>
      <c r="I86" s="52"/>
      <c r="J86" s="53"/>
      <c r="K86" s="47" t="s">
        <v>85</v>
      </c>
      <c r="L86" s="65">
        <v>12000</v>
      </c>
      <c r="M86" s="56" t="s">
        <v>86</v>
      </c>
    </row>
    <row r="87" spans="1:13" x14ac:dyDescent="0.4">
      <c r="A87" s="35">
        <v>83</v>
      </c>
      <c r="B87" s="47" t="s">
        <v>80</v>
      </c>
      <c r="C87" s="48" t="s">
        <v>94</v>
      </c>
      <c r="D87" s="48" t="s">
        <v>93</v>
      </c>
      <c r="E87" s="49" t="s">
        <v>173</v>
      </c>
      <c r="F87" s="64">
        <v>44048.999988425901</v>
      </c>
      <c r="G87" s="64">
        <v>44048.729166666701</v>
      </c>
      <c r="H87" s="51" t="s">
        <v>257</v>
      </c>
      <c r="I87" s="52"/>
      <c r="J87" s="53"/>
      <c r="K87" s="47" t="s">
        <v>85</v>
      </c>
      <c r="L87" s="65">
        <v>12000</v>
      </c>
      <c r="M87" s="56" t="s">
        <v>86</v>
      </c>
    </row>
    <row r="88" spans="1:13" x14ac:dyDescent="0.4">
      <c r="A88" s="35">
        <v>84</v>
      </c>
      <c r="B88" s="47" t="s">
        <v>80</v>
      </c>
      <c r="C88" s="48" t="s">
        <v>94</v>
      </c>
      <c r="D88" s="48" t="s">
        <v>273</v>
      </c>
      <c r="E88" s="49" t="s">
        <v>173</v>
      </c>
      <c r="F88" s="64">
        <v>44048.999988425901</v>
      </c>
      <c r="G88" s="64">
        <v>44048.729166666701</v>
      </c>
      <c r="H88" s="51" t="s">
        <v>257</v>
      </c>
      <c r="I88" s="52"/>
      <c r="J88" s="53"/>
      <c r="K88" s="47" t="s">
        <v>85</v>
      </c>
      <c r="L88" s="65">
        <v>12000</v>
      </c>
      <c r="M88" s="56" t="s">
        <v>86</v>
      </c>
    </row>
    <row r="89" spans="1:13" x14ac:dyDescent="0.4">
      <c r="A89" s="35">
        <v>85</v>
      </c>
      <c r="B89" s="47" t="s">
        <v>80</v>
      </c>
      <c r="C89" s="48" t="s">
        <v>94</v>
      </c>
      <c r="D89" s="48" t="s">
        <v>274</v>
      </c>
      <c r="E89" s="49" t="s">
        <v>173</v>
      </c>
      <c r="F89" s="64">
        <v>44048.999988425901</v>
      </c>
      <c r="G89" s="64">
        <v>44048.729166666701</v>
      </c>
      <c r="H89" s="51" t="s">
        <v>257</v>
      </c>
      <c r="I89" s="52"/>
      <c r="J89" s="53"/>
      <c r="K89" s="47" t="s">
        <v>85</v>
      </c>
      <c r="L89" s="65">
        <v>12000</v>
      </c>
      <c r="M89" s="56" t="s">
        <v>86</v>
      </c>
    </row>
    <row r="90" spans="1:13" x14ac:dyDescent="0.4">
      <c r="A90" s="35">
        <v>86</v>
      </c>
      <c r="B90" s="47" t="s">
        <v>80</v>
      </c>
      <c r="C90" s="48" t="s">
        <v>94</v>
      </c>
      <c r="D90" s="48" t="s">
        <v>123</v>
      </c>
      <c r="E90" s="49" t="s">
        <v>173</v>
      </c>
      <c r="F90" s="64">
        <v>44048.999988425901</v>
      </c>
      <c r="G90" s="64">
        <v>44048.729166666701</v>
      </c>
      <c r="H90" s="51" t="s">
        <v>257</v>
      </c>
      <c r="I90" s="52"/>
      <c r="J90" s="53"/>
      <c r="K90" s="47" t="s">
        <v>85</v>
      </c>
      <c r="L90" s="65">
        <v>12000</v>
      </c>
      <c r="M90" s="56" t="s">
        <v>86</v>
      </c>
    </row>
    <row r="91" spans="1:13" x14ac:dyDescent="0.4">
      <c r="A91" s="35">
        <v>87</v>
      </c>
      <c r="B91" s="47" t="s">
        <v>80</v>
      </c>
      <c r="C91" s="48" t="s">
        <v>94</v>
      </c>
      <c r="D91" s="48" t="s">
        <v>124</v>
      </c>
      <c r="E91" s="49" t="s">
        <v>173</v>
      </c>
      <c r="F91" s="64">
        <v>44048.999988425901</v>
      </c>
      <c r="G91" s="64">
        <v>44048.729166666701</v>
      </c>
      <c r="H91" s="51" t="s">
        <v>257</v>
      </c>
      <c r="I91" s="52"/>
      <c r="J91" s="53"/>
      <c r="K91" s="47" t="s">
        <v>85</v>
      </c>
      <c r="L91" s="65">
        <v>12000</v>
      </c>
      <c r="M91" s="56" t="s">
        <v>86</v>
      </c>
    </row>
    <row r="92" spans="1:13" x14ac:dyDescent="0.4">
      <c r="A92" s="35">
        <v>88</v>
      </c>
      <c r="B92" s="47" t="s">
        <v>80</v>
      </c>
      <c r="C92" s="48" t="s">
        <v>94</v>
      </c>
      <c r="D92" s="48" t="s">
        <v>125</v>
      </c>
      <c r="E92" s="49" t="s">
        <v>173</v>
      </c>
      <c r="F92" s="64">
        <v>44048.999988425901</v>
      </c>
      <c r="G92" s="64">
        <v>44048.729166666701</v>
      </c>
      <c r="H92" s="51" t="s">
        <v>257</v>
      </c>
      <c r="I92" s="52"/>
      <c r="J92" s="53"/>
      <c r="K92" s="47" t="s">
        <v>85</v>
      </c>
      <c r="L92" s="65">
        <v>12000</v>
      </c>
      <c r="M92" s="56" t="s">
        <v>86</v>
      </c>
    </row>
    <row r="93" spans="1:13" x14ac:dyDescent="0.4">
      <c r="A93" s="35">
        <v>89</v>
      </c>
      <c r="B93" s="47" t="s">
        <v>80</v>
      </c>
      <c r="C93" s="48" t="s">
        <v>94</v>
      </c>
      <c r="D93" s="48" t="s">
        <v>127</v>
      </c>
      <c r="E93" s="49" t="s">
        <v>173</v>
      </c>
      <c r="F93" s="64">
        <v>44048.999988425901</v>
      </c>
      <c r="G93" s="64">
        <v>44048.729166666701</v>
      </c>
      <c r="H93" s="51" t="s">
        <v>257</v>
      </c>
      <c r="I93" s="52"/>
      <c r="J93" s="53"/>
      <c r="K93" s="47" t="s">
        <v>85</v>
      </c>
      <c r="L93" s="65">
        <v>12000</v>
      </c>
      <c r="M93" s="56" t="s">
        <v>86</v>
      </c>
    </row>
    <row r="94" spans="1:13" x14ac:dyDescent="0.4">
      <c r="A94" s="35">
        <v>90</v>
      </c>
      <c r="B94" s="47" t="s">
        <v>80</v>
      </c>
      <c r="C94" s="48" t="s">
        <v>94</v>
      </c>
      <c r="D94" s="48" t="s">
        <v>128</v>
      </c>
      <c r="E94" s="49" t="s">
        <v>173</v>
      </c>
      <c r="F94" s="64">
        <v>44048.999988425901</v>
      </c>
      <c r="G94" s="64">
        <v>44048.729166666701</v>
      </c>
      <c r="H94" s="51" t="s">
        <v>257</v>
      </c>
      <c r="I94" s="52"/>
      <c r="J94" s="53"/>
      <c r="K94" s="47" t="s">
        <v>85</v>
      </c>
      <c r="L94" s="65">
        <v>12000</v>
      </c>
      <c r="M94" s="56" t="s">
        <v>86</v>
      </c>
    </row>
    <row r="95" spans="1:13" x14ac:dyDescent="0.4">
      <c r="A95" s="35">
        <v>91</v>
      </c>
      <c r="B95" s="47" t="s">
        <v>80</v>
      </c>
      <c r="C95" s="48" t="s">
        <v>94</v>
      </c>
      <c r="D95" s="48" t="s">
        <v>129</v>
      </c>
      <c r="E95" s="49" t="s">
        <v>173</v>
      </c>
      <c r="F95" s="64">
        <v>44048.999988425901</v>
      </c>
      <c r="G95" s="64">
        <v>44048.729166666701</v>
      </c>
      <c r="H95" s="51" t="s">
        <v>257</v>
      </c>
      <c r="I95" s="52"/>
      <c r="J95" s="53"/>
      <c r="K95" s="47" t="s">
        <v>85</v>
      </c>
      <c r="L95" s="65">
        <v>12000</v>
      </c>
      <c r="M95" s="56" t="s">
        <v>86</v>
      </c>
    </row>
    <row r="96" spans="1:13" x14ac:dyDescent="0.4">
      <c r="A96" s="35">
        <v>92</v>
      </c>
      <c r="B96" s="47" t="s">
        <v>80</v>
      </c>
      <c r="C96" s="48" t="s">
        <v>94</v>
      </c>
      <c r="D96" s="48" t="s">
        <v>130</v>
      </c>
      <c r="E96" s="49" t="s">
        <v>173</v>
      </c>
      <c r="F96" s="64">
        <v>44048.999988425901</v>
      </c>
      <c r="G96" s="64">
        <v>44048.729166666701</v>
      </c>
      <c r="H96" s="51" t="s">
        <v>257</v>
      </c>
      <c r="I96" s="52"/>
      <c r="J96" s="53"/>
      <c r="K96" s="47" t="s">
        <v>85</v>
      </c>
      <c r="L96" s="65">
        <v>12000</v>
      </c>
      <c r="M96" s="56" t="s">
        <v>86</v>
      </c>
    </row>
    <row r="97" spans="1:13" x14ac:dyDescent="0.4">
      <c r="A97" s="35">
        <v>93</v>
      </c>
      <c r="B97" s="47" t="s">
        <v>80</v>
      </c>
      <c r="C97" s="48" t="s">
        <v>94</v>
      </c>
      <c r="D97" s="48" t="s">
        <v>131</v>
      </c>
      <c r="E97" s="49" t="s">
        <v>173</v>
      </c>
      <c r="F97" s="64">
        <v>44048.999988425901</v>
      </c>
      <c r="G97" s="64">
        <v>44048.729166666701</v>
      </c>
      <c r="H97" s="51" t="s">
        <v>257</v>
      </c>
      <c r="I97" s="52"/>
      <c r="J97" s="53"/>
      <c r="K97" s="47" t="s">
        <v>85</v>
      </c>
      <c r="L97" s="65">
        <v>12000</v>
      </c>
      <c r="M97" s="56" t="s">
        <v>86</v>
      </c>
    </row>
    <row r="98" spans="1:13" x14ac:dyDescent="0.4">
      <c r="A98" s="35">
        <v>94</v>
      </c>
      <c r="B98" s="47" t="s">
        <v>80</v>
      </c>
      <c r="C98" s="48" t="s">
        <v>94</v>
      </c>
      <c r="D98" s="48" t="s">
        <v>132</v>
      </c>
      <c r="E98" s="49" t="s">
        <v>173</v>
      </c>
      <c r="F98" s="64">
        <v>44048.999988425901</v>
      </c>
      <c r="G98" s="64">
        <v>44048.729166666701</v>
      </c>
      <c r="H98" s="51" t="s">
        <v>257</v>
      </c>
      <c r="I98" s="52"/>
      <c r="J98" s="53"/>
      <c r="K98" s="47" t="s">
        <v>85</v>
      </c>
      <c r="L98" s="65">
        <v>12000</v>
      </c>
      <c r="M98" s="56" t="s">
        <v>86</v>
      </c>
    </row>
    <row r="99" spans="1:13" x14ac:dyDescent="0.4">
      <c r="A99" s="35">
        <v>95</v>
      </c>
      <c r="B99" s="47" t="s">
        <v>80</v>
      </c>
      <c r="C99" s="48" t="s">
        <v>94</v>
      </c>
      <c r="D99" s="48" t="s">
        <v>133</v>
      </c>
      <c r="E99" s="49" t="s">
        <v>173</v>
      </c>
      <c r="F99" s="64">
        <v>44048.999988425901</v>
      </c>
      <c r="G99" s="64">
        <v>44048.729166666701</v>
      </c>
      <c r="H99" s="51" t="s">
        <v>257</v>
      </c>
      <c r="I99" s="52"/>
      <c r="J99" s="53"/>
      <c r="K99" s="47" t="s">
        <v>85</v>
      </c>
      <c r="L99" s="65">
        <v>12000</v>
      </c>
      <c r="M99" s="56" t="s">
        <v>86</v>
      </c>
    </row>
    <row r="100" spans="1:13" x14ac:dyDescent="0.4">
      <c r="A100" s="35">
        <v>96</v>
      </c>
      <c r="B100" s="47" t="s">
        <v>80</v>
      </c>
      <c r="C100" s="48" t="s">
        <v>94</v>
      </c>
      <c r="D100" s="48" t="s">
        <v>134</v>
      </c>
      <c r="E100" s="49" t="s">
        <v>173</v>
      </c>
      <c r="F100" s="64">
        <v>44048.999988425901</v>
      </c>
      <c r="G100" s="64">
        <v>44048.729166666701</v>
      </c>
      <c r="H100" s="51" t="s">
        <v>257</v>
      </c>
      <c r="I100" s="52"/>
      <c r="J100" s="53"/>
      <c r="K100" s="47" t="s">
        <v>85</v>
      </c>
      <c r="L100" s="65">
        <v>12000</v>
      </c>
      <c r="M100" s="56" t="s">
        <v>86</v>
      </c>
    </row>
    <row r="101" spans="1:13" x14ac:dyDescent="0.4">
      <c r="A101" s="35">
        <v>97</v>
      </c>
      <c r="B101" s="47" t="s">
        <v>80</v>
      </c>
      <c r="C101" s="48" t="s">
        <v>94</v>
      </c>
      <c r="D101" s="48" t="s">
        <v>135</v>
      </c>
      <c r="E101" s="49" t="s">
        <v>173</v>
      </c>
      <c r="F101" s="64">
        <v>44048.999988425901</v>
      </c>
      <c r="G101" s="64">
        <v>44048.729166666701</v>
      </c>
      <c r="H101" s="51" t="s">
        <v>257</v>
      </c>
      <c r="I101" s="52"/>
      <c r="J101" s="53"/>
      <c r="K101" s="47" t="s">
        <v>85</v>
      </c>
      <c r="L101" s="65">
        <v>12000</v>
      </c>
      <c r="M101" s="56" t="s">
        <v>86</v>
      </c>
    </row>
    <row r="102" spans="1:13" x14ac:dyDescent="0.4">
      <c r="A102" s="35">
        <v>98</v>
      </c>
      <c r="B102" s="47" t="s">
        <v>80</v>
      </c>
      <c r="C102" s="48" t="s">
        <v>94</v>
      </c>
      <c r="D102" s="48" t="s">
        <v>136</v>
      </c>
      <c r="E102" s="49" t="s">
        <v>173</v>
      </c>
      <c r="F102" s="64">
        <v>44048.999988425901</v>
      </c>
      <c r="G102" s="64">
        <v>44048.729166666701</v>
      </c>
      <c r="H102" s="51" t="s">
        <v>257</v>
      </c>
      <c r="I102" s="52"/>
      <c r="J102" s="53"/>
      <c r="K102" s="47" t="s">
        <v>85</v>
      </c>
      <c r="L102" s="65">
        <v>12000</v>
      </c>
      <c r="M102" s="56" t="s">
        <v>86</v>
      </c>
    </row>
    <row r="103" spans="1:13" x14ac:dyDescent="0.4">
      <c r="A103" s="35">
        <v>99</v>
      </c>
      <c r="B103" s="47" t="s">
        <v>80</v>
      </c>
      <c r="C103" s="48" t="s">
        <v>94</v>
      </c>
      <c r="D103" s="48" t="s">
        <v>137</v>
      </c>
      <c r="E103" s="49" t="s">
        <v>173</v>
      </c>
      <c r="F103" s="64">
        <v>44048.999988425901</v>
      </c>
      <c r="G103" s="64">
        <v>44048.729166666701</v>
      </c>
      <c r="H103" s="51" t="s">
        <v>257</v>
      </c>
      <c r="I103" s="52"/>
      <c r="J103" s="53"/>
      <c r="K103" s="47" t="s">
        <v>85</v>
      </c>
      <c r="L103" s="65">
        <v>12000</v>
      </c>
      <c r="M103" s="56" t="s">
        <v>86</v>
      </c>
    </row>
    <row r="104" spans="1:13" x14ac:dyDescent="0.4">
      <c r="A104" s="35">
        <v>100</v>
      </c>
      <c r="B104" s="47" t="s">
        <v>80</v>
      </c>
      <c r="C104" s="48" t="s">
        <v>94</v>
      </c>
      <c r="D104" s="48" t="s">
        <v>138</v>
      </c>
      <c r="E104" s="49" t="s">
        <v>173</v>
      </c>
      <c r="F104" s="64">
        <v>44048.999988425901</v>
      </c>
      <c r="G104" s="64">
        <v>44048.729166666701</v>
      </c>
      <c r="H104" s="51" t="s">
        <v>257</v>
      </c>
      <c r="I104" s="52"/>
      <c r="J104" s="53"/>
      <c r="K104" s="47" t="s">
        <v>85</v>
      </c>
      <c r="L104" s="65">
        <v>12000</v>
      </c>
      <c r="M104" s="56" t="s">
        <v>86</v>
      </c>
    </row>
    <row r="105" spans="1:13" x14ac:dyDescent="0.4">
      <c r="A105" s="35">
        <v>101</v>
      </c>
      <c r="B105" s="47" t="s">
        <v>80</v>
      </c>
      <c r="C105" s="48" t="s">
        <v>94</v>
      </c>
      <c r="D105" s="48" t="s">
        <v>139</v>
      </c>
      <c r="E105" s="49" t="s">
        <v>173</v>
      </c>
      <c r="F105" s="64">
        <v>44048.999988425901</v>
      </c>
      <c r="G105" s="64">
        <v>44048.729166666701</v>
      </c>
      <c r="H105" s="51" t="s">
        <v>257</v>
      </c>
      <c r="I105" s="52"/>
      <c r="J105" s="53"/>
      <c r="K105" s="47" t="s">
        <v>85</v>
      </c>
      <c r="L105" s="65">
        <v>12000</v>
      </c>
      <c r="M105" s="56" t="s">
        <v>86</v>
      </c>
    </row>
    <row r="106" spans="1:13" x14ac:dyDescent="0.4">
      <c r="A106" s="35">
        <v>102</v>
      </c>
      <c r="B106" s="47" t="s">
        <v>80</v>
      </c>
      <c r="C106" s="48" t="s">
        <v>94</v>
      </c>
      <c r="D106" s="48" t="s">
        <v>140</v>
      </c>
      <c r="E106" s="49" t="s">
        <v>173</v>
      </c>
      <c r="F106" s="64">
        <v>44048.999988425901</v>
      </c>
      <c r="G106" s="64">
        <v>44048.729166666701</v>
      </c>
      <c r="H106" s="51" t="s">
        <v>257</v>
      </c>
      <c r="I106" s="52"/>
      <c r="J106" s="53"/>
      <c r="K106" s="47" t="s">
        <v>85</v>
      </c>
      <c r="L106" s="65">
        <v>12000</v>
      </c>
      <c r="M106" s="56" t="s">
        <v>86</v>
      </c>
    </row>
    <row r="107" spans="1:13" x14ac:dyDescent="0.4">
      <c r="A107" s="35">
        <v>103</v>
      </c>
      <c r="B107" s="47" t="s">
        <v>80</v>
      </c>
      <c r="C107" s="48" t="s">
        <v>94</v>
      </c>
      <c r="D107" s="48" t="s">
        <v>141</v>
      </c>
      <c r="E107" s="49" t="s">
        <v>173</v>
      </c>
      <c r="F107" s="64">
        <v>44048.999988425901</v>
      </c>
      <c r="G107" s="64">
        <v>44048.729166666701</v>
      </c>
      <c r="H107" s="51" t="s">
        <v>257</v>
      </c>
      <c r="I107" s="52"/>
      <c r="J107" s="53"/>
      <c r="K107" s="47" t="s">
        <v>85</v>
      </c>
      <c r="L107" s="65">
        <v>12000</v>
      </c>
      <c r="M107" s="56" t="s">
        <v>86</v>
      </c>
    </row>
    <row r="108" spans="1:13" x14ac:dyDescent="0.4">
      <c r="A108" s="35">
        <v>104</v>
      </c>
      <c r="B108" s="47" t="s">
        <v>80</v>
      </c>
      <c r="C108" s="48" t="s">
        <v>94</v>
      </c>
      <c r="D108" s="48" t="s">
        <v>142</v>
      </c>
      <c r="E108" s="49" t="s">
        <v>173</v>
      </c>
      <c r="F108" s="64">
        <v>44048.999988425901</v>
      </c>
      <c r="G108" s="64">
        <v>44048.729166666701</v>
      </c>
      <c r="H108" s="51" t="s">
        <v>257</v>
      </c>
      <c r="I108" s="52"/>
      <c r="J108" s="53"/>
      <c r="K108" s="47" t="s">
        <v>85</v>
      </c>
      <c r="L108" s="65">
        <v>12000</v>
      </c>
      <c r="M108" s="56" t="s">
        <v>86</v>
      </c>
    </row>
    <row r="109" spans="1:13" x14ac:dyDescent="0.4">
      <c r="A109" s="35">
        <v>105</v>
      </c>
      <c r="B109" s="47" t="s">
        <v>80</v>
      </c>
      <c r="C109" s="48" t="s">
        <v>94</v>
      </c>
      <c r="D109" s="48" t="s">
        <v>143</v>
      </c>
      <c r="E109" s="49" t="s">
        <v>173</v>
      </c>
      <c r="F109" s="64">
        <v>44048.999988425901</v>
      </c>
      <c r="G109" s="64">
        <v>44048.729166666701</v>
      </c>
      <c r="H109" s="51" t="s">
        <v>257</v>
      </c>
      <c r="I109" s="52"/>
      <c r="J109" s="53"/>
      <c r="K109" s="47" t="s">
        <v>85</v>
      </c>
      <c r="L109" s="65">
        <v>12000</v>
      </c>
      <c r="M109" s="56" t="s">
        <v>86</v>
      </c>
    </row>
    <row r="110" spans="1:13" x14ac:dyDescent="0.4">
      <c r="A110" s="35">
        <v>106</v>
      </c>
      <c r="B110" s="47" t="s">
        <v>80</v>
      </c>
      <c r="C110" s="48" t="s">
        <v>94</v>
      </c>
      <c r="D110" s="48" t="s">
        <v>144</v>
      </c>
      <c r="E110" s="49" t="s">
        <v>173</v>
      </c>
      <c r="F110" s="64">
        <v>44048.999988425901</v>
      </c>
      <c r="G110" s="64">
        <v>44048.729166666701</v>
      </c>
      <c r="H110" s="51" t="s">
        <v>257</v>
      </c>
      <c r="I110" s="52"/>
      <c r="J110" s="53"/>
      <c r="K110" s="47" t="s">
        <v>85</v>
      </c>
      <c r="L110" s="65">
        <v>12000</v>
      </c>
      <c r="M110" s="56" t="s">
        <v>86</v>
      </c>
    </row>
    <row r="111" spans="1:13" x14ac:dyDescent="0.4">
      <c r="A111" s="35">
        <v>107</v>
      </c>
      <c r="B111" s="47" t="s">
        <v>80</v>
      </c>
      <c r="C111" s="48" t="s">
        <v>94</v>
      </c>
      <c r="D111" s="48" t="s">
        <v>145</v>
      </c>
      <c r="E111" s="49" t="s">
        <v>173</v>
      </c>
      <c r="F111" s="64">
        <v>44048.999988425901</v>
      </c>
      <c r="G111" s="64">
        <v>44048.729166666701</v>
      </c>
      <c r="H111" s="51" t="s">
        <v>257</v>
      </c>
      <c r="I111" s="52"/>
      <c r="J111" s="53"/>
      <c r="K111" s="47" t="s">
        <v>85</v>
      </c>
      <c r="L111" s="65">
        <v>12000</v>
      </c>
      <c r="M111" s="56" t="s">
        <v>86</v>
      </c>
    </row>
    <row r="112" spans="1:13" x14ac:dyDescent="0.4">
      <c r="A112" s="35">
        <v>108</v>
      </c>
      <c r="B112" s="47" t="s">
        <v>80</v>
      </c>
      <c r="C112" s="48" t="s">
        <v>94</v>
      </c>
      <c r="D112" s="48" t="s">
        <v>146</v>
      </c>
      <c r="E112" s="49" t="s">
        <v>173</v>
      </c>
      <c r="F112" s="64">
        <v>44048.999988425901</v>
      </c>
      <c r="G112" s="64">
        <v>44048.729166666701</v>
      </c>
      <c r="H112" s="51" t="s">
        <v>257</v>
      </c>
      <c r="I112" s="52"/>
      <c r="J112" s="53"/>
      <c r="K112" s="47" t="s">
        <v>85</v>
      </c>
      <c r="L112" s="65">
        <v>12000</v>
      </c>
      <c r="M112" s="56" t="s">
        <v>86</v>
      </c>
    </row>
    <row r="113" spans="1:13" x14ac:dyDescent="0.4">
      <c r="A113" s="35">
        <v>109</v>
      </c>
      <c r="B113" s="47" t="s">
        <v>80</v>
      </c>
      <c r="C113" s="48" t="s">
        <v>94</v>
      </c>
      <c r="D113" s="48" t="s">
        <v>147</v>
      </c>
      <c r="E113" s="49" t="s">
        <v>173</v>
      </c>
      <c r="F113" s="64">
        <v>44048.999988425901</v>
      </c>
      <c r="G113" s="64">
        <v>44048.729166666701</v>
      </c>
      <c r="H113" s="51" t="s">
        <v>257</v>
      </c>
      <c r="I113" s="52"/>
      <c r="J113" s="53"/>
      <c r="K113" s="47" t="s">
        <v>85</v>
      </c>
      <c r="L113" s="65">
        <v>12000</v>
      </c>
      <c r="M113" s="56" t="s">
        <v>86</v>
      </c>
    </row>
    <row r="114" spans="1:13" x14ac:dyDescent="0.4">
      <c r="A114" s="35">
        <v>110</v>
      </c>
      <c r="B114" s="47" t="s">
        <v>80</v>
      </c>
      <c r="C114" s="48" t="s">
        <v>94</v>
      </c>
      <c r="D114" s="48" t="s">
        <v>148</v>
      </c>
      <c r="E114" s="49" t="s">
        <v>173</v>
      </c>
      <c r="F114" s="64">
        <v>44048.999988425901</v>
      </c>
      <c r="G114" s="64">
        <v>44048.729166666701</v>
      </c>
      <c r="H114" s="51" t="s">
        <v>257</v>
      </c>
      <c r="I114" s="52"/>
      <c r="J114" s="53"/>
      <c r="K114" s="47" t="s">
        <v>85</v>
      </c>
      <c r="L114" s="65">
        <v>12000</v>
      </c>
      <c r="M114" s="56" t="s">
        <v>86</v>
      </c>
    </row>
    <row r="115" spans="1:13" x14ac:dyDescent="0.4">
      <c r="A115" s="35">
        <v>111</v>
      </c>
      <c r="B115" s="47" t="s">
        <v>80</v>
      </c>
      <c r="C115" s="48" t="s">
        <v>94</v>
      </c>
      <c r="D115" s="48" t="s">
        <v>149</v>
      </c>
      <c r="E115" s="49" t="s">
        <v>173</v>
      </c>
      <c r="F115" s="64">
        <v>44048.999988425901</v>
      </c>
      <c r="G115" s="64">
        <v>44048.729166666701</v>
      </c>
      <c r="H115" s="51" t="s">
        <v>257</v>
      </c>
      <c r="I115" s="52"/>
      <c r="J115" s="53"/>
      <c r="K115" s="47" t="s">
        <v>85</v>
      </c>
      <c r="L115" s="65">
        <v>12000</v>
      </c>
      <c r="M115" s="56" t="s">
        <v>86</v>
      </c>
    </row>
    <row r="116" spans="1:13" x14ac:dyDescent="0.4">
      <c r="A116" s="35">
        <v>112</v>
      </c>
      <c r="B116" s="47" t="s">
        <v>80</v>
      </c>
      <c r="C116" s="48" t="s">
        <v>94</v>
      </c>
      <c r="D116" s="48" t="s">
        <v>150</v>
      </c>
      <c r="E116" s="49" t="s">
        <v>173</v>
      </c>
      <c r="F116" s="64">
        <v>44048.999988425901</v>
      </c>
      <c r="G116" s="64">
        <v>44048.729166666701</v>
      </c>
      <c r="H116" s="51" t="s">
        <v>257</v>
      </c>
      <c r="I116" s="52"/>
      <c r="J116" s="53"/>
      <c r="K116" s="47" t="s">
        <v>85</v>
      </c>
      <c r="L116" s="65">
        <v>12000</v>
      </c>
      <c r="M116" s="56" t="s">
        <v>86</v>
      </c>
    </row>
    <row r="117" spans="1:13" x14ac:dyDescent="0.4">
      <c r="A117" s="35">
        <v>113</v>
      </c>
      <c r="B117" s="47" t="s">
        <v>80</v>
      </c>
      <c r="C117" s="48" t="s">
        <v>94</v>
      </c>
      <c r="D117" s="48" t="s">
        <v>151</v>
      </c>
      <c r="E117" s="49" t="s">
        <v>173</v>
      </c>
      <c r="F117" s="64">
        <v>44048.999988425901</v>
      </c>
      <c r="G117" s="64">
        <v>44048.729166666701</v>
      </c>
      <c r="H117" s="51" t="s">
        <v>257</v>
      </c>
      <c r="I117" s="52"/>
      <c r="J117" s="53"/>
      <c r="K117" s="47" t="s">
        <v>85</v>
      </c>
      <c r="L117" s="65">
        <v>12000</v>
      </c>
      <c r="M117" s="56" t="s">
        <v>86</v>
      </c>
    </row>
    <row r="118" spans="1:13" x14ac:dyDescent="0.4">
      <c r="A118" s="35">
        <v>114</v>
      </c>
      <c r="B118" s="47" t="s">
        <v>80</v>
      </c>
      <c r="C118" s="48" t="s">
        <v>94</v>
      </c>
      <c r="D118" s="48" t="s">
        <v>152</v>
      </c>
      <c r="E118" s="49" t="s">
        <v>173</v>
      </c>
      <c r="F118" s="64">
        <v>44048.999988425901</v>
      </c>
      <c r="G118" s="64">
        <v>44048.729166666701</v>
      </c>
      <c r="H118" s="51" t="s">
        <v>257</v>
      </c>
      <c r="I118" s="52"/>
      <c r="J118" s="53"/>
      <c r="K118" s="47" t="s">
        <v>85</v>
      </c>
      <c r="L118" s="65">
        <v>12000</v>
      </c>
      <c r="M118" s="56" t="s">
        <v>86</v>
      </c>
    </row>
    <row r="119" spans="1:13" x14ac:dyDescent="0.4">
      <c r="A119" s="35">
        <v>115</v>
      </c>
      <c r="B119" s="47" t="s">
        <v>80</v>
      </c>
      <c r="C119" s="48" t="s">
        <v>94</v>
      </c>
      <c r="D119" s="48" t="s">
        <v>153</v>
      </c>
      <c r="E119" s="49" t="s">
        <v>173</v>
      </c>
      <c r="F119" s="64">
        <v>44048.999988425901</v>
      </c>
      <c r="G119" s="64">
        <v>44048.729166666701</v>
      </c>
      <c r="H119" s="51" t="s">
        <v>257</v>
      </c>
      <c r="I119" s="52"/>
      <c r="J119" s="53"/>
      <c r="K119" s="47" t="s">
        <v>85</v>
      </c>
      <c r="L119" s="65">
        <v>12000</v>
      </c>
      <c r="M119" s="56" t="s">
        <v>86</v>
      </c>
    </row>
    <row r="120" spans="1:13" x14ac:dyDescent="0.4">
      <c r="A120" s="35">
        <v>116</v>
      </c>
      <c r="B120" s="47" t="s">
        <v>80</v>
      </c>
      <c r="C120" s="48" t="s">
        <v>94</v>
      </c>
      <c r="D120" s="48" t="s">
        <v>154</v>
      </c>
      <c r="E120" s="49" t="s">
        <v>173</v>
      </c>
      <c r="F120" s="64">
        <v>44048.999988425901</v>
      </c>
      <c r="G120" s="64">
        <v>44048.729166666701</v>
      </c>
      <c r="H120" s="51" t="s">
        <v>257</v>
      </c>
      <c r="I120" s="52"/>
      <c r="J120" s="53"/>
      <c r="K120" s="47" t="s">
        <v>85</v>
      </c>
      <c r="L120" s="65">
        <v>12000</v>
      </c>
      <c r="M120" s="56" t="s">
        <v>86</v>
      </c>
    </row>
    <row r="121" spans="1:13" x14ac:dyDescent="0.4">
      <c r="A121" s="35">
        <v>117</v>
      </c>
      <c r="B121" s="47" t="s">
        <v>80</v>
      </c>
      <c r="C121" s="48" t="s">
        <v>94</v>
      </c>
      <c r="D121" s="48" t="s">
        <v>155</v>
      </c>
      <c r="E121" s="49" t="s">
        <v>173</v>
      </c>
      <c r="F121" s="64">
        <v>44048.999988425901</v>
      </c>
      <c r="G121" s="64">
        <v>44048.729166666701</v>
      </c>
      <c r="H121" s="51" t="s">
        <v>257</v>
      </c>
      <c r="I121" s="52"/>
      <c r="J121" s="53"/>
      <c r="K121" s="47" t="s">
        <v>85</v>
      </c>
      <c r="L121" s="65">
        <v>12000</v>
      </c>
      <c r="M121" s="56" t="s">
        <v>86</v>
      </c>
    </row>
    <row r="122" spans="1:13" x14ac:dyDescent="0.4">
      <c r="A122" s="35">
        <v>118</v>
      </c>
      <c r="B122" s="47" t="s">
        <v>80</v>
      </c>
      <c r="C122" s="48" t="s">
        <v>94</v>
      </c>
      <c r="D122" s="48" t="s">
        <v>156</v>
      </c>
      <c r="E122" s="49" t="s">
        <v>173</v>
      </c>
      <c r="F122" s="64">
        <v>44048.999988425901</v>
      </c>
      <c r="G122" s="64">
        <v>44048.729166666701</v>
      </c>
      <c r="H122" s="51" t="s">
        <v>257</v>
      </c>
      <c r="I122" s="52"/>
      <c r="J122" s="53"/>
      <c r="K122" s="47" t="s">
        <v>85</v>
      </c>
      <c r="L122" s="65">
        <v>12000</v>
      </c>
      <c r="M122" s="56" t="s">
        <v>86</v>
      </c>
    </row>
    <row r="123" spans="1:13" x14ac:dyDescent="0.4">
      <c r="A123" s="35">
        <v>119</v>
      </c>
      <c r="B123" s="47" t="s">
        <v>80</v>
      </c>
      <c r="C123" s="48" t="s">
        <v>94</v>
      </c>
      <c r="D123" s="48" t="s">
        <v>157</v>
      </c>
      <c r="E123" s="49" t="s">
        <v>173</v>
      </c>
      <c r="F123" s="64">
        <v>44048.999988425901</v>
      </c>
      <c r="G123" s="64">
        <v>44048.729166666701</v>
      </c>
      <c r="H123" s="51" t="s">
        <v>257</v>
      </c>
      <c r="I123" s="52"/>
      <c r="J123" s="53"/>
      <c r="K123" s="47" t="s">
        <v>85</v>
      </c>
      <c r="L123" s="65">
        <v>12000</v>
      </c>
      <c r="M123" s="56" t="s">
        <v>86</v>
      </c>
    </row>
    <row r="124" spans="1:13" x14ac:dyDescent="0.4">
      <c r="A124" s="35">
        <v>120</v>
      </c>
      <c r="B124" s="47" t="s">
        <v>80</v>
      </c>
      <c r="C124" s="48" t="s">
        <v>94</v>
      </c>
      <c r="D124" s="48" t="s">
        <v>158</v>
      </c>
      <c r="E124" s="49" t="s">
        <v>173</v>
      </c>
      <c r="F124" s="64">
        <v>44048.999988425901</v>
      </c>
      <c r="G124" s="64">
        <v>44048.729166666701</v>
      </c>
      <c r="H124" s="51" t="s">
        <v>257</v>
      </c>
      <c r="I124" s="52"/>
      <c r="J124" s="53"/>
      <c r="K124" s="47" t="s">
        <v>85</v>
      </c>
      <c r="L124" s="65">
        <v>12000</v>
      </c>
      <c r="M124" s="56" t="s">
        <v>86</v>
      </c>
    </row>
    <row r="125" spans="1:13" x14ac:dyDescent="0.4">
      <c r="A125" s="35">
        <v>121</v>
      </c>
      <c r="B125" s="47" t="s">
        <v>80</v>
      </c>
      <c r="C125" s="48" t="s">
        <v>94</v>
      </c>
      <c r="D125" s="48" t="s">
        <v>159</v>
      </c>
      <c r="E125" s="49" t="s">
        <v>173</v>
      </c>
      <c r="F125" s="64">
        <v>44048.999988425901</v>
      </c>
      <c r="G125" s="64">
        <v>44048.729166666701</v>
      </c>
      <c r="H125" s="51" t="s">
        <v>257</v>
      </c>
      <c r="I125" s="52"/>
      <c r="J125" s="53"/>
      <c r="K125" s="47" t="s">
        <v>85</v>
      </c>
      <c r="L125" s="65">
        <v>12000</v>
      </c>
      <c r="M125" s="56" t="s">
        <v>86</v>
      </c>
    </row>
    <row r="126" spans="1:13" x14ac:dyDescent="0.4">
      <c r="A126" s="35">
        <v>122</v>
      </c>
      <c r="B126" s="47" t="s">
        <v>80</v>
      </c>
      <c r="C126" s="48" t="s">
        <v>94</v>
      </c>
      <c r="D126" s="48" t="s">
        <v>160</v>
      </c>
      <c r="E126" s="49" t="s">
        <v>173</v>
      </c>
      <c r="F126" s="64">
        <v>44048.999988425901</v>
      </c>
      <c r="G126" s="64">
        <v>44048.729166666701</v>
      </c>
      <c r="H126" s="51" t="s">
        <v>257</v>
      </c>
      <c r="I126" s="52"/>
      <c r="J126" s="53"/>
      <c r="K126" s="47" t="s">
        <v>85</v>
      </c>
      <c r="L126" s="65">
        <v>12000</v>
      </c>
      <c r="M126" s="56" t="s">
        <v>86</v>
      </c>
    </row>
    <row r="127" spans="1:13" x14ac:dyDescent="0.4">
      <c r="A127" s="35">
        <v>123</v>
      </c>
      <c r="B127" s="47" t="s">
        <v>80</v>
      </c>
      <c r="C127" s="48" t="s">
        <v>94</v>
      </c>
      <c r="D127" s="59" t="s">
        <v>161</v>
      </c>
      <c r="E127" s="49" t="s">
        <v>173</v>
      </c>
      <c r="F127" s="62">
        <v>44288</v>
      </c>
      <c r="G127" s="66">
        <v>44289.6421527778</v>
      </c>
      <c r="H127" s="51" t="s">
        <v>257</v>
      </c>
      <c r="I127" s="52"/>
      <c r="J127" s="53"/>
      <c r="K127" s="47" t="s">
        <v>85</v>
      </c>
      <c r="L127" s="65">
        <v>12000</v>
      </c>
      <c r="M127" s="56" t="s">
        <v>86</v>
      </c>
    </row>
    <row r="128" spans="1:13" x14ac:dyDescent="0.4">
      <c r="A128" s="35">
        <v>124</v>
      </c>
      <c r="B128" s="47" t="s">
        <v>80</v>
      </c>
      <c r="C128" s="48" t="s">
        <v>94</v>
      </c>
      <c r="D128" s="59" t="s">
        <v>162</v>
      </c>
      <c r="E128" s="49" t="s">
        <v>173</v>
      </c>
      <c r="F128" s="62">
        <v>44288</v>
      </c>
      <c r="G128" s="66">
        <v>44289.6421527778</v>
      </c>
      <c r="H128" s="51" t="s">
        <v>257</v>
      </c>
      <c r="I128" s="52"/>
      <c r="J128" s="53"/>
      <c r="K128" s="47" t="s">
        <v>85</v>
      </c>
      <c r="L128" s="65">
        <v>12000</v>
      </c>
      <c r="M128" s="56" t="s">
        <v>86</v>
      </c>
    </row>
    <row r="129" spans="1:13" x14ac:dyDescent="0.4">
      <c r="A129" s="35">
        <v>125</v>
      </c>
      <c r="B129" s="47" t="s">
        <v>80</v>
      </c>
      <c r="C129" s="48" t="s">
        <v>94</v>
      </c>
      <c r="D129" s="48" t="s">
        <v>163</v>
      </c>
      <c r="E129" s="49" t="s">
        <v>173</v>
      </c>
      <c r="F129" s="64">
        <v>44048.999988425901</v>
      </c>
      <c r="G129" s="64">
        <v>44048.729166666701</v>
      </c>
      <c r="H129" s="51" t="s">
        <v>257</v>
      </c>
      <c r="I129" s="52"/>
      <c r="J129" s="53"/>
      <c r="K129" s="47" t="s">
        <v>85</v>
      </c>
      <c r="L129" s="65">
        <v>12000</v>
      </c>
      <c r="M129" s="56" t="s">
        <v>86</v>
      </c>
    </row>
    <row r="130" spans="1:13" x14ac:dyDescent="0.4">
      <c r="A130" s="35">
        <v>126</v>
      </c>
      <c r="B130" s="47" t="s">
        <v>80</v>
      </c>
      <c r="C130" s="48" t="s">
        <v>94</v>
      </c>
      <c r="D130" s="48" t="s">
        <v>164</v>
      </c>
      <c r="E130" s="49" t="s">
        <v>173</v>
      </c>
      <c r="F130" s="64">
        <v>44048.999988425901</v>
      </c>
      <c r="G130" s="64">
        <v>44048.729166666701</v>
      </c>
      <c r="H130" s="51" t="s">
        <v>257</v>
      </c>
      <c r="I130" s="52"/>
      <c r="J130" s="53"/>
      <c r="K130" s="47" t="s">
        <v>85</v>
      </c>
      <c r="L130" s="65">
        <v>12000</v>
      </c>
      <c r="M130" s="56" t="s">
        <v>86</v>
      </c>
    </row>
    <row r="131" spans="1:13" x14ac:dyDescent="0.4">
      <c r="A131" s="35">
        <v>127</v>
      </c>
      <c r="B131" s="47" t="s">
        <v>80</v>
      </c>
      <c r="C131" s="48" t="s">
        <v>94</v>
      </c>
      <c r="D131" s="48" t="s">
        <v>165</v>
      </c>
      <c r="E131" s="49" t="s">
        <v>173</v>
      </c>
      <c r="F131" s="64">
        <v>44048.999988425901</v>
      </c>
      <c r="G131" s="64">
        <v>44048.729166666701</v>
      </c>
      <c r="H131" s="51" t="s">
        <v>257</v>
      </c>
      <c r="I131" s="52"/>
      <c r="J131" s="53"/>
      <c r="K131" s="47" t="s">
        <v>85</v>
      </c>
      <c r="L131" s="65">
        <v>12000</v>
      </c>
      <c r="M131" s="56" t="s">
        <v>86</v>
      </c>
    </row>
    <row r="132" spans="1:13" x14ac:dyDescent="0.4">
      <c r="A132" s="35">
        <v>128</v>
      </c>
      <c r="B132" s="47" t="s">
        <v>80</v>
      </c>
      <c r="C132" s="48" t="s">
        <v>94</v>
      </c>
      <c r="D132" s="48" t="s">
        <v>166</v>
      </c>
      <c r="E132" s="49" t="s">
        <v>173</v>
      </c>
      <c r="F132" s="64">
        <v>44048.999988425901</v>
      </c>
      <c r="G132" s="64">
        <v>44048.729166666701</v>
      </c>
      <c r="H132" s="51" t="s">
        <v>257</v>
      </c>
      <c r="I132" s="52"/>
      <c r="J132" s="53"/>
      <c r="K132" s="47" t="s">
        <v>85</v>
      </c>
      <c r="L132" s="65">
        <v>12000</v>
      </c>
      <c r="M132" s="56" t="s">
        <v>86</v>
      </c>
    </row>
    <row r="133" spans="1:13" x14ac:dyDescent="0.4">
      <c r="A133" s="35">
        <v>129</v>
      </c>
      <c r="B133" s="47" t="s">
        <v>80</v>
      </c>
      <c r="C133" s="48" t="s">
        <v>94</v>
      </c>
      <c r="D133" s="48" t="s">
        <v>167</v>
      </c>
      <c r="E133" s="49" t="s">
        <v>173</v>
      </c>
      <c r="F133" s="64">
        <v>44048.999988425901</v>
      </c>
      <c r="G133" s="64">
        <v>44048.729166666701</v>
      </c>
      <c r="H133" s="51" t="s">
        <v>257</v>
      </c>
      <c r="I133" s="52"/>
      <c r="J133" s="53"/>
      <c r="K133" s="47" t="s">
        <v>85</v>
      </c>
      <c r="L133" s="65">
        <v>12000</v>
      </c>
      <c r="M133" s="56" t="s">
        <v>86</v>
      </c>
    </row>
    <row r="134" spans="1:13" x14ac:dyDescent="0.4">
      <c r="A134" s="35">
        <v>130</v>
      </c>
      <c r="B134" s="47" t="s">
        <v>80</v>
      </c>
      <c r="C134" s="48" t="s">
        <v>94</v>
      </c>
      <c r="D134" s="48" t="s">
        <v>168</v>
      </c>
      <c r="E134" s="49" t="s">
        <v>173</v>
      </c>
      <c r="F134" s="64">
        <v>44048.999988425901</v>
      </c>
      <c r="G134" s="64">
        <v>44048.729166666701</v>
      </c>
      <c r="H134" s="51" t="s">
        <v>257</v>
      </c>
      <c r="I134" s="52"/>
      <c r="J134" s="53"/>
      <c r="K134" s="47" t="s">
        <v>85</v>
      </c>
      <c r="L134" s="65">
        <v>12000</v>
      </c>
      <c r="M134" s="56" t="s">
        <v>86</v>
      </c>
    </row>
    <row r="135" spans="1:13" x14ac:dyDescent="0.4">
      <c r="A135" s="35">
        <v>131</v>
      </c>
      <c r="B135" s="47" t="s">
        <v>80</v>
      </c>
      <c r="C135" s="48" t="s">
        <v>94</v>
      </c>
      <c r="D135" s="48" t="s">
        <v>169</v>
      </c>
      <c r="E135" s="49" t="s">
        <v>173</v>
      </c>
      <c r="F135" s="64">
        <v>44048.999988425901</v>
      </c>
      <c r="G135" s="64">
        <v>44048.729166666701</v>
      </c>
      <c r="H135" s="51" t="s">
        <v>257</v>
      </c>
      <c r="I135" s="52"/>
      <c r="J135" s="53"/>
      <c r="K135" s="47" t="s">
        <v>85</v>
      </c>
      <c r="L135" s="65">
        <v>12000</v>
      </c>
      <c r="M135" s="56" t="s">
        <v>86</v>
      </c>
    </row>
    <row r="136" spans="1:13" x14ac:dyDescent="0.4">
      <c r="A136" s="35">
        <v>132</v>
      </c>
      <c r="B136" s="47" t="s">
        <v>80</v>
      </c>
      <c r="C136" s="48" t="s">
        <v>94</v>
      </c>
      <c r="D136" s="48" t="s">
        <v>170</v>
      </c>
      <c r="E136" s="49" t="s">
        <v>173</v>
      </c>
      <c r="F136" s="64">
        <v>44048.999988425901</v>
      </c>
      <c r="G136" s="64">
        <v>44048.729166666701</v>
      </c>
      <c r="H136" s="51" t="s">
        <v>257</v>
      </c>
      <c r="I136" s="52"/>
      <c r="J136" s="53"/>
      <c r="K136" s="47" t="s">
        <v>85</v>
      </c>
      <c r="L136" s="65">
        <v>12000</v>
      </c>
      <c r="M136" s="56" t="s">
        <v>86</v>
      </c>
    </row>
    <row r="137" spans="1:13" x14ac:dyDescent="0.4">
      <c r="A137" s="35">
        <v>133</v>
      </c>
      <c r="B137" s="47" t="s">
        <v>80</v>
      </c>
      <c r="C137" s="48" t="s">
        <v>94</v>
      </c>
      <c r="D137" s="48" t="s">
        <v>275</v>
      </c>
      <c r="E137" s="49" t="s">
        <v>173</v>
      </c>
      <c r="F137" s="64">
        <v>44048.999988425901</v>
      </c>
      <c r="G137" s="64">
        <v>44048.729166666701</v>
      </c>
      <c r="H137" s="51" t="s">
        <v>257</v>
      </c>
      <c r="I137" s="52"/>
      <c r="J137" s="53"/>
      <c r="K137" s="47" t="s">
        <v>85</v>
      </c>
      <c r="L137" s="65">
        <v>12000</v>
      </c>
      <c r="M137" s="56" t="s">
        <v>86</v>
      </c>
    </row>
    <row r="138" spans="1:13" x14ac:dyDescent="0.4">
      <c r="A138" s="35">
        <v>134</v>
      </c>
      <c r="B138" s="47" t="s">
        <v>80</v>
      </c>
      <c r="C138" s="48" t="s">
        <v>94</v>
      </c>
      <c r="D138" s="48" t="s">
        <v>276</v>
      </c>
      <c r="E138" s="49" t="s">
        <v>173</v>
      </c>
      <c r="F138" s="64">
        <v>44048.999988425901</v>
      </c>
      <c r="G138" s="64">
        <v>44048.729166666701</v>
      </c>
      <c r="H138" s="51" t="s">
        <v>257</v>
      </c>
      <c r="I138" s="52"/>
      <c r="J138" s="53"/>
      <c r="K138" s="47" t="s">
        <v>85</v>
      </c>
      <c r="L138" s="65">
        <v>12000</v>
      </c>
      <c r="M138" s="56" t="s">
        <v>86</v>
      </c>
    </row>
    <row r="139" spans="1:13" x14ac:dyDescent="0.4">
      <c r="A139" s="35">
        <v>135</v>
      </c>
      <c r="B139" s="47" t="s">
        <v>80</v>
      </c>
      <c r="C139" s="48" t="s">
        <v>94</v>
      </c>
      <c r="D139" s="48" t="s">
        <v>277</v>
      </c>
      <c r="E139" s="49" t="s">
        <v>173</v>
      </c>
      <c r="F139" s="64">
        <v>44048.999988425901</v>
      </c>
      <c r="G139" s="64">
        <v>44048.729166666701</v>
      </c>
      <c r="H139" s="51" t="s">
        <v>257</v>
      </c>
      <c r="I139" s="52"/>
      <c r="J139" s="53"/>
      <c r="K139" s="47" t="s">
        <v>85</v>
      </c>
      <c r="L139" s="65">
        <v>12000</v>
      </c>
      <c r="M139" s="56" t="s">
        <v>86</v>
      </c>
    </row>
    <row r="140" spans="1:13" x14ac:dyDescent="0.4">
      <c r="A140" s="35">
        <v>136</v>
      </c>
      <c r="B140" s="47" t="s">
        <v>80</v>
      </c>
      <c r="C140" s="48" t="s">
        <v>94</v>
      </c>
      <c r="D140" s="48" t="s">
        <v>278</v>
      </c>
      <c r="E140" s="49" t="s">
        <v>173</v>
      </c>
      <c r="F140" s="64">
        <v>44048.999988425901</v>
      </c>
      <c r="G140" s="64">
        <v>44048.729166666701</v>
      </c>
      <c r="H140" s="51" t="s">
        <v>257</v>
      </c>
      <c r="I140" s="52"/>
      <c r="J140" s="53"/>
      <c r="K140" s="47" t="s">
        <v>85</v>
      </c>
      <c r="L140" s="65">
        <v>12000</v>
      </c>
      <c r="M140" s="56" t="s">
        <v>86</v>
      </c>
    </row>
    <row r="141" spans="1:13" x14ac:dyDescent="0.4">
      <c r="A141" s="35">
        <v>137</v>
      </c>
      <c r="B141" s="47" t="s">
        <v>80</v>
      </c>
      <c r="C141" s="48" t="s">
        <v>94</v>
      </c>
      <c r="D141" s="48" t="s">
        <v>279</v>
      </c>
      <c r="E141" s="49" t="s">
        <v>173</v>
      </c>
      <c r="F141" s="64">
        <v>44048.999988425901</v>
      </c>
      <c r="G141" s="64">
        <v>44048.729166666701</v>
      </c>
      <c r="H141" s="51" t="s">
        <v>257</v>
      </c>
      <c r="I141" s="52"/>
      <c r="J141" s="53"/>
      <c r="K141" s="47" t="s">
        <v>85</v>
      </c>
      <c r="L141" s="65">
        <v>12000</v>
      </c>
      <c r="M141" s="56" t="s">
        <v>86</v>
      </c>
    </row>
    <row r="142" spans="1:13" x14ac:dyDescent="0.4">
      <c r="A142" s="35">
        <v>138</v>
      </c>
      <c r="B142" s="47" t="s">
        <v>80</v>
      </c>
      <c r="C142" s="48" t="s">
        <v>94</v>
      </c>
      <c r="D142" s="48" t="s">
        <v>280</v>
      </c>
      <c r="E142" s="49" t="s">
        <v>173</v>
      </c>
      <c r="F142" s="64">
        <v>44048.999988425901</v>
      </c>
      <c r="G142" s="64">
        <v>44048.729166666701</v>
      </c>
      <c r="H142" s="51" t="s">
        <v>257</v>
      </c>
      <c r="I142" s="52"/>
      <c r="J142" s="53"/>
      <c r="K142" s="47" t="s">
        <v>85</v>
      </c>
      <c r="L142" s="65">
        <v>12000</v>
      </c>
      <c r="M142" s="56" t="s">
        <v>86</v>
      </c>
    </row>
    <row r="143" spans="1:13" x14ac:dyDescent="0.4">
      <c r="A143" s="35">
        <v>139</v>
      </c>
      <c r="B143" s="47" t="s">
        <v>80</v>
      </c>
      <c r="C143" s="48" t="s">
        <v>94</v>
      </c>
      <c r="D143" s="48" t="s">
        <v>281</v>
      </c>
      <c r="E143" s="49" t="s">
        <v>173</v>
      </c>
      <c r="F143" s="64">
        <v>44048.999988425901</v>
      </c>
      <c r="G143" s="64">
        <v>44048.729166666701</v>
      </c>
      <c r="H143" s="51" t="s">
        <v>257</v>
      </c>
      <c r="I143" s="52"/>
      <c r="J143" s="53"/>
      <c r="K143" s="47" t="s">
        <v>85</v>
      </c>
      <c r="L143" s="65">
        <v>12000</v>
      </c>
      <c r="M143" s="56" t="s">
        <v>86</v>
      </c>
    </row>
    <row r="144" spans="1:13" x14ac:dyDescent="0.4">
      <c r="A144" s="35">
        <v>140</v>
      </c>
      <c r="B144" s="47" t="s">
        <v>80</v>
      </c>
      <c r="C144" s="48" t="s">
        <v>94</v>
      </c>
      <c r="D144" s="48" t="s">
        <v>282</v>
      </c>
      <c r="E144" s="49" t="s">
        <v>173</v>
      </c>
      <c r="F144" s="64">
        <v>44048.999988425901</v>
      </c>
      <c r="G144" s="64">
        <v>44048.729166666701</v>
      </c>
      <c r="H144" s="51" t="s">
        <v>257</v>
      </c>
      <c r="I144" s="52"/>
      <c r="J144" s="53"/>
      <c r="K144" s="47" t="s">
        <v>85</v>
      </c>
      <c r="L144" s="65">
        <v>12000</v>
      </c>
      <c r="M144" s="56" t="s">
        <v>86</v>
      </c>
    </row>
    <row r="145" spans="1:13" x14ac:dyDescent="0.4">
      <c r="A145" s="35">
        <v>141</v>
      </c>
      <c r="B145" s="47" t="s">
        <v>80</v>
      </c>
      <c r="C145" s="48" t="s">
        <v>94</v>
      </c>
      <c r="D145" s="48" t="s">
        <v>283</v>
      </c>
      <c r="E145" s="49" t="s">
        <v>173</v>
      </c>
      <c r="F145" s="64">
        <v>44048.999988425901</v>
      </c>
      <c r="G145" s="64">
        <v>44048.729166666701</v>
      </c>
      <c r="H145" s="51" t="s">
        <v>257</v>
      </c>
      <c r="I145" s="52"/>
      <c r="J145" s="53"/>
      <c r="K145" s="47" t="s">
        <v>85</v>
      </c>
      <c r="L145" s="65">
        <v>12000</v>
      </c>
      <c r="M145" s="56" t="s">
        <v>86</v>
      </c>
    </row>
    <row r="146" spans="1:13" x14ac:dyDescent="0.4">
      <c r="A146" s="35">
        <v>142</v>
      </c>
      <c r="B146" s="47" t="s">
        <v>80</v>
      </c>
      <c r="C146" s="48" t="s">
        <v>94</v>
      </c>
      <c r="D146" s="48" t="s">
        <v>284</v>
      </c>
      <c r="E146" s="49" t="s">
        <v>173</v>
      </c>
      <c r="F146" s="64">
        <v>44048.999988425901</v>
      </c>
      <c r="G146" s="64">
        <v>44048.729166666701</v>
      </c>
      <c r="H146" s="51" t="s">
        <v>257</v>
      </c>
      <c r="I146" s="52"/>
      <c r="J146" s="53"/>
      <c r="K146" s="47" t="s">
        <v>85</v>
      </c>
      <c r="L146" s="65">
        <v>12000</v>
      </c>
      <c r="M146" s="56" t="s">
        <v>86</v>
      </c>
    </row>
    <row r="147" spans="1:13" x14ac:dyDescent="0.4">
      <c r="A147" s="35">
        <v>143</v>
      </c>
      <c r="B147" s="47" t="s">
        <v>80</v>
      </c>
      <c r="C147" s="48" t="s">
        <v>94</v>
      </c>
      <c r="D147" s="48" t="s">
        <v>285</v>
      </c>
      <c r="E147" s="49" t="s">
        <v>173</v>
      </c>
      <c r="F147" s="64">
        <v>44048.999988425901</v>
      </c>
      <c r="G147" s="64">
        <v>44048.729166666701</v>
      </c>
      <c r="H147" s="51" t="s">
        <v>257</v>
      </c>
      <c r="I147" s="52"/>
      <c r="J147" s="53"/>
      <c r="K147" s="47" t="s">
        <v>85</v>
      </c>
      <c r="L147" s="65">
        <v>12000</v>
      </c>
      <c r="M147" s="56" t="s">
        <v>86</v>
      </c>
    </row>
    <row r="148" spans="1:13" x14ac:dyDescent="0.4">
      <c r="A148" s="35">
        <v>144</v>
      </c>
      <c r="B148" s="47" t="s">
        <v>80</v>
      </c>
      <c r="C148" s="48" t="s">
        <v>94</v>
      </c>
      <c r="D148" s="48" t="s">
        <v>286</v>
      </c>
      <c r="E148" s="49" t="s">
        <v>173</v>
      </c>
      <c r="F148" s="64">
        <v>44048.999988425901</v>
      </c>
      <c r="G148" s="64">
        <v>44048.729166666701</v>
      </c>
      <c r="H148" s="51" t="s">
        <v>257</v>
      </c>
      <c r="I148" s="52"/>
      <c r="J148" s="53"/>
      <c r="K148" s="47" t="s">
        <v>85</v>
      </c>
      <c r="L148" s="65">
        <v>12000</v>
      </c>
      <c r="M148" s="56" t="s">
        <v>86</v>
      </c>
    </row>
    <row r="149" spans="1:13" x14ac:dyDescent="0.4">
      <c r="A149" s="35">
        <v>145</v>
      </c>
      <c r="B149" s="47" t="s">
        <v>80</v>
      </c>
      <c r="C149" s="48" t="s">
        <v>94</v>
      </c>
      <c r="D149" s="48" t="s">
        <v>287</v>
      </c>
      <c r="E149" s="49" t="s">
        <v>173</v>
      </c>
      <c r="F149" s="64">
        <v>44048.999988425901</v>
      </c>
      <c r="G149" s="64">
        <v>44048.729166666701</v>
      </c>
      <c r="H149" s="51" t="s">
        <v>257</v>
      </c>
      <c r="I149" s="52"/>
      <c r="J149" s="53"/>
      <c r="K149" s="47" t="s">
        <v>85</v>
      </c>
      <c r="L149" s="65">
        <v>12000</v>
      </c>
      <c r="M149" s="56" t="s">
        <v>86</v>
      </c>
    </row>
    <row r="150" spans="1:13" x14ac:dyDescent="0.4">
      <c r="A150" s="35">
        <v>146</v>
      </c>
      <c r="B150" s="47" t="s">
        <v>80</v>
      </c>
      <c r="C150" s="48" t="s">
        <v>94</v>
      </c>
      <c r="D150" s="48" t="s">
        <v>288</v>
      </c>
      <c r="E150" s="49" t="s">
        <v>173</v>
      </c>
      <c r="F150" s="64">
        <v>44048.999988425901</v>
      </c>
      <c r="G150" s="64">
        <v>44048.729166666701</v>
      </c>
      <c r="H150" s="51" t="s">
        <v>257</v>
      </c>
      <c r="I150" s="52"/>
      <c r="J150" s="53"/>
      <c r="K150" s="47" t="s">
        <v>85</v>
      </c>
      <c r="L150" s="65">
        <v>12000</v>
      </c>
      <c r="M150" s="56" t="s">
        <v>86</v>
      </c>
    </row>
    <row r="151" spans="1:13" x14ac:dyDescent="0.4">
      <c r="A151" s="35">
        <v>147</v>
      </c>
      <c r="B151" s="47" t="s">
        <v>80</v>
      </c>
      <c r="C151" s="48" t="s">
        <v>94</v>
      </c>
      <c r="D151" s="48" t="s">
        <v>289</v>
      </c>
      <c r="E151" s="49" t="s">
        <v>173</v>
      </c>
      <c r="F151" s="64">
        <v>44048.999988425901</v>
      </c>
      <c r="G151" s="64">
        <v>44048.729166666701</v>
      </c>
      <c r="H151" s="51" t="s">
        <v>257</v>
      </c>
      <c r="I151" s="52"/>
      <c r="J151" s="53"/>
      <c r="K151" s="47" t="s">
        <v>85</v>
      </c>
      <c r="L151" s="65">
        <v>12000</v>
      </c>
      <c r="M151" s="56" t="s">
        <v>86</v>
      </c>
    </row>
    <row r="152" spans="1:13" x14ac:dyDescent="0.4">
      <c r="A152" s="35">
        <v>148</v>
      </c>
      <c r="B152" s="47" t="s">
        <v>80</v>
      </c>
      <c r="C152" s="48" t="s">
        <v>94</v>
      </c>
      <c r="D152" s="48" t="s">
        <v>290</v>
      </c>
      <c r="E152" s="49" t="s">
        <v>173</v>
      </c>
      <c r="F152" s="64">
        <v>44048.999988425901</v>
      </c>
      <c r="G152" s="64">
        <v>44048.729166666701</v>
      </c>
      <c r="H152" s="51" t="s">
        <v>257</v>
      </c>
      <c r="I152" s="52"/>
      <c r="J152" s="53"/>
      <c r="K152" s="47" t="s">
        <v>85</v>
      </c>
      <c r="L152" s="65">
        <v>12000</v>
      </c>
      <c r="M152" s="56" t="s">
        <v>86</v>
      </c>
    </row>
    <row r="153" spans="1:13" x14ac:dyDescent="0.4">
      <c r="A153" s="35">
        <v>149</v>
      </c>
      <c r="B153" s="47" t="s">
        <v>80</v>
      </c>
      <c r="C153" s="48" t="s">
        <v>94</v>
      </c>
      <c r="D153" s="48" t="s">
        <v>291</v>
      </c>
      <c r="E153" s="49" t="s">
        <v>173</v>
      </c>
      <c r="F153" s="64">
        <v>44048.999988425901</v>
      </c>
      <c r="G153" s="64">
        <v>44048.729166666701</v>
      </c>
      <c r="H153" s="51" t="s">
        <v>257</v>
      </c>
      <c r="I153" s="52"/>
      <c r="J153" s="53"/>
      <c r="K153" s="47" t="s">
        <v>85</v>
      </c>
      <c r="L153" s="65">
        <v>12000</v>
      </c>
      <c r="M153" s="56" t="s">
        <v>86</v>
      </c>
    </row>
    <row r="154" spans="1:13" x14ac:dyDescent="0.4">
      <c r="A154" s="35">
        <v>150</v>
      </c>
      <c r="B154" s="47" t="s">
        <v>80</v>
      </c>
      <c r="C154" s="48" t="s">
        <v>94</v>
      </c>
      <c r="D154" s="48" t="s">
        <v>292</v>
      </c>
      <c r="E154" s="49" t="s">
        <v>173</v>
      </c>
      <c r="F154" s="64">
        <v>44048.999988425901</v>
      </c>
      <c r="G154" s="64">
        <v>44048.729166666701</v>
      </c>
      <c r="H154" s="51" t="s">
        <v>257</v>
      </c>
      <c r="I154" s="52"/>
      <c r="J154" s="53"/>
      <c r="K154" s="47" t="s">
        <v>85</v>
      </c>
      <c r="L154" s="65">
        <v>12000</v>
      </c>
      <c r="M154" s="56" t="s">
        <v>86</v>
      </c>
    </row>
    <row r="155" spans="1:13" x14ac:dyDescent="0.4">
      <c r="A155" s="35">
        <v>151</v>
      </c>
      <c r="B155" s="47" t="s">
        <v>80</v>
      </c>
      <c r="C155" s="48" t="s">
        <v>94</v>
      </c>
      <c r="D155" s="48" t="s">
        <v>293</v>
      </c>
      <c r="E155" s="49" t="s">
        <v>173</v>
      </c>
      <c r="F155" s="64">
        <v>44048.999988425901</v>
      </c>
      <c r="G155" s="64">
        <v>44048.729166666701</v>
      </c>
      <c r="H155" s="51" t="s">
        <v>257</v>
      </c>
      <c r="I155" s="52"/>
      <c r="J155" s="53"/>
      <c r="K155" s="47" t="s">
        <v>85</v>
      </c>
      <c r="L155" s="65">
        <v>12000</v>
      </c>
      <c r="M155" s="56" t="s">
        <v>86</v>
      </c>
    </row>
    <row r="156" spans="1:13" x14ac:dyDescent="0.4">
      <c r="A156" s="35">
        <v>152</v>
      </c>
      <c r="B156" s="47" t="s">
        <v>80</v>
      </c>
      <c r="C156" s="48" t="s">
        <v>94</v>
      </c>
      <c r="D156" s="48" t="s">
        <v>294</v>
      </c>
      <c r="E156" s="49" t="s">
        <v>173</v>
      </c>
      <c r="F156" s="64">
        <v>44048.999988425901</v>
      </c>
      <c r="G156" s="64">
        <v>44048.729166666701</v>
      </c>
      <c r="H156" s="51" t="s">
        <v>257</v>
      </c>
      <c r="I156" s="52"/>
      <c r="J156" s="53"/>
      <c r="K156" s="47" t="s">
        <v>85</v>
      </c>
      <c r="L156" s="65">
        <v>12000</v>
      </c>
      <c r="M156" s="56" t="s">
        <v>86</v>
      </c>
    </row>
    <row r="157" spans="1:13" x14ac:dyDescent="0.4">
      <c r="A157" s="35">
        <v>153</v>
      </c>
      <c r="B157" s="47" t="s">
        <v>80</v>
      </c>
      <c r="C157" s="48" t="s">
        <v>94</v>
      </c>
      <c r="D157" s="48" t="s">
        <v>295</v>
      </c>
      <c r="E157" s="49" t="s">
        <v>173</v>
      </c>
      <c r="F157" s="64">
        <v>44048.999988425901</v>
      </c>
      <c r="G157" s="64">
        <v>44048.729166666701</v>
      </c>
      <c r="H157" s="51" t="s">
        <v>257</v>
      </c>
      <c r="I157" s="52"/>
      <c r="J157" s="53"/>
      <c r="K157" s="47" t="s">
        <v>85</v>
      </c>
      <c r="L157" s="65">
        <v>12000</v>
      </c>
      <c r="M157" s="56" t="s">
        <v>86</v>
      </c>
    </row>
    <row r="158" spans="1:13" x14ac:dyDescent="0.4">
      <c r="A158" s="35">
        <v>154</v>
      </c>
      <c r="B158" s="47" t="s">
        <v>80</v>
      </c>
      <c r="C158" s="48" t="s">
        <v>94</v>
      </c>
      <c r="D158" s="48" t="s">
        <v>296</v>
      </c>
      <c r="E158" s="49" t="s">
        <v>173</v>
      </c>
      <c r="F158" s="64">
        <v>44048.999988425901</v>
      </c>
      <c r="G158" s="64">
        <v>44048.729166666701</v>
      </c>
      <c r="H158" s="51" t="s">
        <v>257</v>
      </c>
      <c r="I158" s="52"/>
      <c r="J158" s="53"/>
      <c r="K158" s="47" t="s">
        <v>85</v>
      </c>
      <c r="L158" s="65">
        <v>12000</v>
      </c>
      <c r="M158" s="56" t="s">
        <v>86</v>
      </c>
    </row>
    <row r="159" spans="1:13" x14ac:dyDescent="0.4">
      <c r="A159" s="35">
        <v>155</v>
      </c>
      <c r="B159" s="47" t="s">
        <v>80</v>
      </c>
      <c r="C159" s="48" t="s">
        <v>94</v>
      </c>
      <c r="D159" s="48" t="s">
        <v>297</v>
      </c>
      <c r="E159" s="49" t="s">
        <v>173</v>
      </c>
      <c r="F159" s="64">
        <v>44048.999988425901</v>
      </c>
      <c r="G159" s="64">
        <v>44048.729166666701</v>
      </c>
      <c r="H159" s="51" t="s">
        <v>257</v>
      </c>
      <c r="I159" s="52"/>
      <c r="J159" s="53"/>
      <c r="K159" s="47" t="s">
        <v>85</v>
      </c>
      <c r="L159" s="65">
        <v>12000</v>
      </c>
      <c r="M159" s="56" t="s">
        <v>86</v>
      </c>
    </row>
    <row r="160" spans="1:13" x14ac:dyDescent="0.4">
      <c r="A160" s="35">
        <v>156</v>
      </c>
      <c r="B160" s="47" t="s">
        <v>80</v>
      </c>
      <c r="C160" s="48" t="s">
        <v>94</v>
      </c>
      <c r="D160" s="48" t="s">
        <v>298</v>
      </c>
      <c r="E160" s="49" t="s">
        <v>173</v>
      </c>
      <c r="F160" s="64">
        <v>44048.999988425901</v>
      </c>
      <c r="G160" s="64">
        <v>44048.729166666701</v>
      </c>
      <c r="H160" s="51" t="s">
        <v>257</v>
      </c>
      <c r="I160" s="52"/>
      <c r="J160" s="53"/>
      <c r="K160" s="47" t="s">
        <v>85</v>
      </c>
      <c r="L160" s="65">
        <v>12000</v>
      </c>
      <c r="M160" s="56" t="s">
        <v>86</v>
      </c>
    </row>
    <row r="161" spans="1:13" x14ac:dyDescent="0.4">
      <c r="A161" s="35">
        <v>157</v>
      </c>
      <c r="B161" s="47" t="s">
        <v>80</v>
      </c>
      <c r="C161" s="48" t="s">
        <v>94</v>
      </c>
      <c r="D161" s="48" t="s">
        <v>299</v>
      </c>
      <c r="E161" s="49" t="s">
        <v>173</v>
      </c>
      <c r="F161" s="64">
        <v>44048.999988425901</v>
      </c>
      <c r="G161" s="64">
        <v>44048.729166666701</v>
      </c>
      <c r="H161" s="51" t="s">
        <v>257</v>
      </c>
      <c r="I161" s="52"/>
      <c r="J161" s="53"/>
      <c r="K161" s="47" t="s">
        <v>85</v>
      </c>
      <c r="L161" s="65">
        <v>12000</v>
      </c>
      <c r="M161" s="56" t="s">
        <v>86</v>
      </c>
    </row>
    <row r="162" spans="1:13" x14ac:dyDescent="0.4">
      <c r="A162" s="35">
        <v>158</v>
      </c>
      <c r="B162" s="47" t="s">
        <v>80</v>
      </c>
      <c r="C162" s="48" t="s">
        <v>94</v>
      </c>
      <c r="D162" s="48" t="s">
        <v>300</v>
      </c>
      <c r="E162" s="49" t="s">
        <v>173</v>
      </c>
      <c r="F162" s="64">
        <v>44048.999988425901</v>
      </c>
      <c r="G162" s="64">
        <v>44048.729166666701</v>
      </c>
      <c r="H162" s="51" t="s">
        <v>257</v>
      </c>
      <c r="I162" s="52"/>
      <c r="J162" s="53"/>
      <c r="K162" s="47" t="s">
        <v>85</v>
      </c>
      <c r="L162" s="65">
        <v>12000</v>
      </c>
      <c r="M162" s="56" t="s">
        <v>86</v>
      </c>
    </row>
    <row r="163" spans="1:13" x14ac:dyDescent="0.4">
      <c r="A163" s="35">
        <v>159</v>
      </c>
      <c r="B163" s="47" t="s">
        <v>80</v>
      </c>
      <c r="C163" s="48" t="s">
        <v>94</v>
      </c>
      <c r="D163" s="48" t="s">
        <v>301</v>
      </c>
      <c r="E163" s="49" t="s">
        <v>173</v>
      </c>
      <c r="F163" s="64">
        <v>44048.999988425901</v>
      </c>
      <c r="G163" s="64">
        <v>44048.729166666701</v>
      </c>
      <c r="H163" s="51" t="s">
        <v>257</v>
      </c>
      <c r="I163" s="52"/>
      <c r="J163" s="53"/>
      <c r="K163" s="47" t="s">
        <v>85</v>
      </c>
      <c r="L163" s="65">
        <v>12000</v>
      </c>
      <c r="M163" s="56" t="s">
        <v>86</v>
      </c>
    </row>
    <row r="164" spans="1:13" x14ac:dyDescent="0.4">
      <c r="A164" s="35">
        <v>160</v>
      </c>
      <c r="B164" s="47" t="s">
        <v>80</v>
      </c>
      <c r="C164" s="48" t="s">
        <v>94</v>
      </c>
      <c r="D164" s="48" t="s">
        <v>302</v>
      </c>
      <c r="E164" s="49" t="s">
        <v>173</v>
      </c>
      <c r="F164" s="64">
        <v>44048.999988425901</v>
      </c>
      <c r="G164" s="64">
        <v>44048.729166666701</v>
      </c>
      <c r="H164" s="51" t="s">
        <v>257</v>
      </c>
      <c r="I164" s="52"/>
      <c r="J164" s="53"/>
      <c r="K164" s="47" t="s">
        <v>85</v>
      </c>
      <c r="L164" s="65">
        <v>12000</v>
      </c>
      <c r="M164" s="56" t="s">
        <v>86</v>
      </c>
    </row>
    <row r="165" spans="1:13" x14ac:dyDescent="0.4">
      <c r="A165" s="35">
        <v>161</v>
      </c>
      <c r="B165" s="47" t="s">
        <v>80</v>
      </c>
      <c r="C165" s="48" t="s">
        <v>94</v>
      </c>
      <c r="D165" s="48" t="s">
        <v>303</v>
      </c>
      <c r="E165" s="49" t="s">
        <v>173</v>
      </c>
      <c r="F165" s="64">
        <v>44048.999988425901</v>
      </c>
      <c r="G165" s="64">
        <v>44048.729166666701</v>
      </c>
      <c r="H165" s="51" t="s">
        <v>257</v>
      </c>
      <c r="I165" s="52"/>
      <c r="J165" s="53"/>
      <c r="K165" s="47" t="s">
        <v>85</v>
      </c>
      <c r="L165" s="65">
        <v>12000</v>
      </c>
      <c r="M165" s="56" t="s">
        <v>86</v>
      </c>
    </row>
    <row r="166" spans="1:13" x14ac:dyDescent="0.4">
      <c r="A166" s="35">
        <v>162</v>
      </c>
      <c r="B166" s="47" t="s">
        <v>80</v>
      </c>
      <c r="C166" s="48" t="s">
        <v>94</v>
      </c>
      <c r="D166" s="48" t="s">
        <v>304</v>
      </c>
      <c r="E166" s="49" t="s">
        <v>173</v>
      </c>
      <c r="F166" s="64">
        <v>44048.999988425901</v>
      </c>
      <c r="G166" s="64">
        <v>44048.729166666701</v>
      </c>
      <c r="H166" s="51" t="s">
        <v>257</v>
      </c>
      <c r="I166" s="52"/>
      <c r="J166" s="53"/>
      <c r="K166" s="47" t="s">
        <v>85</v>
      </c>
      <c r="L166" s="65">
        <v>12000</v>
      </c>
      <c r="M166" s="56" t="s">
        <v>86</v>
      </c>
    </row>
    <row r="167" spans="1:13" x14ac:dyDescent="0.4">
      <c r="A167" s="35">
        <v>163</v>
      </c>
      <c r="B167" s="47" t="s">
        <v>80</v>
      </c>
      <c r="C167" s="48" t="s">
        <v>94</v>
      </c>
      <c r="D167" s="48" t="s">
        <v>305</v>
      </c>
      <c r="E167" s="49" t="s">
        <v>173</v>
      </c>
      <c r="F167" s="64">
        <v>44048.999988425901</v>
      </c>
      <c r="G167" s="64">
        <v>44048.729166666701</v>
      </c>
      <c r="H167" s="51" t="s">
        <v>257</v>
      </c>
      <c r="I167" s="52"/>
      <c r="J167" s="53"/>
      <c r="K167" s="47" t="s">
        <v>85</v>
      </c>
      <c r="L167" s="65">
        <v>12000</v>
      </c>
      <c r="M167" s="56" t="s">
        <v>86</v>
      </c>
    </row>
    <row r="168" spans="1:13" x14ac:dyDescent="0.4">
      <c r="A168" s="35">
        <v>164</v>
      </c>
      <c r="B168" s="47" t="s">
        <v>80</v>
      </c>
      <c r="C168" s="48" t="s">
        <v>94</v>
      </c>
      <c r="D168" s="48" t="s">
        <v>306</v>
      </c>
      <c r="E168" s="49" t="s">
        <v>173</v>
      </c>
      <c r="F168" s="64">
        <v>44048.999988425901</v>
      </c>
      <c r="G168" s="64">
        <v>44048.729166666701</v>
      </c>
      <c r="H168" s="51" t="s">
        <v>257</v>
      </c>
      <c r="I168" s="52"/>
      <c r="J168" s="53"/>
      <c r="K168" s="47" t="s">
        <v>85</v>
      </c>
      <c r="L168" s="65">
        <v>12000</v>
      </c>
      <c r="M168" s="56" t="s">
        <v>86</v>
      </c>
    </row>
    <row r="169" spans="1:13" x14ac:dyDescent="0.4">
      <c r="A169" s="35">
        <v>165</v>
      </c>
      <c r="B169" s="47" t="s">
        <v>80</v>
      </c>
      <c r="C169" s="48" t="s">
        <v>94</v>
      </c>
      <c r="D169" s="48" t="s">
        <v>307</v>
      </c>
      <c r="E169" s="49" t="s">
        <v>173</v>
      </c>
      <c r="F169" s="64">
        <v>44048.999988425901</v>
      </c>
      <c r="G169" s="64">
        <v>44048.729166666701</v>
      </c>
      <c r="H169" s="51" t="s">
        <v>257</v>
      </c>
      <c r="I169" s="52"/>
      <c r="J169" s="53"/>
      <c r="K169" s="47" t="s">
        <v>85</v>
      </c>
      <c r="L169" s="65">
        <v>12000</v>
      </c>
      <c r="M169" s="56" t="s">
        <v>86</v>
      </c>
    </row>
    <row r="170" spans="1:13" x14ac:dyDescent="0.4">
      <c r="A170" s="35">
        <v>166</v>
      </c>
      <c r="B170" s="47" t="s">
        <v>80</v>
      </c>
      <c r="C170" s="48" t="s">
        <v>94</v>
      </c>
      <c r="D170" s="48" t="s">
        <v>308</v>
      </c>
      <c r="E170" s="49" t="s">
        <v>173</v>
      </c>
      <c r="F170" s="64">
        <v>44048.999988425901</v>
      </c>
      <c r="G170" s="64">
        <v>44048.729166666701</v>
      </c>
      <c r="H170" s="51" t="s">
        <v>257</v>
      </c>
      <c r="I170" s="52"/>
      <c r="J170" s="53"/>
      <c r="K170" s="47" t="s">
        <v>85</v>
      </c>
      <c r="L170" s="65">
        <v>12000</v>
      </c>
      <c r="M170" s="56" t="s">
        <v>86</v>
      </c>
    </row>
    <row r="171" spans="1:13" x14ac:dyDescent="0.4">
      <c r="A171" s="35">
        <v>167</v>
      </c>
      <c r="B171" s="47" t="s">
        <v>80</v>
      </c>
      <c r="C171" s="48" t="s">
        <v>94</v>
      </c>
      <c r="D171" s="48" t="s">
        <v>309</v>
      </c>
      <c r="E171" s="49" t="s">
        <v>173</v>
      </c>
      <c r="F171" s="64">
        <v>44048.999988425901</v>
      </c>
      <c r="G171" s="64">
        <v>44048.729166666701</v>
      </c>
      <c r="H171" s="51" t="s">
        <v>257</v>
      </c>
      <c r="I171" s="52"/>
      <c r="J171" s="53"/>
      <c r="K171" s="47" t="s">
        <v>85</v>
      </c>
      <c r="L171" s="65">
        <v>12000</v>
      </c>
      <c r="M171" s="56" t="s">
        <v>86</v>
      </c>
    </row>
    <row r="172" spans="1:13" x14ac:dyDescent="0.4">
      <c r="A172" s="35">
        <v>168</v>
      </c>
      <c r="B172" s="47" t="s">
        <v>80</v>
      </c>
      <c r="C172" s="48" t="s">
        <v>94</v>
      </c>
      <c r="D172" s="48" t="s">
        <v>310</v>
      </c>
      <c r="E172" s="49" t="s">
        <v>173</v>
      </c>
      <c r="F172" s="64">
        <v>44048.999988425901</v>
      </c>
      <c r="G172" s="64">
        <v>44048.729166666701</v>
      </c>
      <c r="H172" s="51" t="s">
        <v>257</v>
      </c>
      <c r="I172" s="52"/>
      <c r="J172" s="53"/>
      <c r="K172" s="47" t="s">
        <v>85</v>
      </c>
      <c r="L172" s="65">
        <v>12000</v>
      </c>
      <c r="M172" s="56" t="s">
        <v>86</v>
      </c>
    </row>
    <row r="173" spans="1:13" x14ac:dyDescent="0.4">
      <c r="A173" s="35">
        <v>169</v>
      </c>
      <c r="B173" s="47" t="s">
        <v>80</v>
      </c>
      <c r="C173" s="48" t="s">
        <v>94</v>
      </c>
      <c r="D173" s="48" t="s">
        <v>311</v>
      </c>
      <c r="E173" s="49" t="s">
        <v>173</v>
      </c>
      <c r="F173" s="64">
        <v>44048.999988425901</v>
      </c>
      <c r="G173" s="64">
        <v>44048.729166666701</v>
      </c>
      <c r="H173" s="51" t="s">
        <v>257</v>
      </c>
      <c r="I173" s="52"/>
      <c r="J173" s="53"/>
      <c r="K173" s="47" t="s">
        <v>85</v>
      </c>
      <c r="L173" s="65">
        <v>12000</v>
      </c>
      <c r="M173" s="56" t="s">
        <v>86</v>
      </c>
    </row>
    <row r="174" spans="1:13" x14ac:dyDescent="0.4">
      <c r="A174" s="35">
        <v>170</v>
      </c>
      <c r="B174" s="47" t="s">
        <v>80</v>
      </c>
      <c r="C174" s="48" t="s">
        <v>94</v>
      </c>
      <c r="D174" s="48" t="s">
        <v>312</v>
      </c>
      <c r="E174" s="49" t="s">
        <v>173</v>
      </c>
      <c r="F174" s="64">
        <v>44048.999988425901</v>
      </c>
      <c r="G174" s="64">
        <v>44048.729166666701</v>
      </c>
      <c r="H174" s="51" t="s">
        <v>257</v>
      </c>
      <c r="I174" s="52"/>
      <c r="J174" s="53"/>
      <c r="K174" s="47" t="s">
        <v>85</v>
      </c>
      <c r="L174" s="65">
        <v>12000</v>
      </c>
      <c r="M174" s="56" t="s">
        <v>86</v>
      </c>
    </row>
    <row r="175" spans="1:13" x14ac:dyDescent="0.4">
      <c r="A175" s="35">
        <v>171</v>
      </c>
      <c r="B175" s="47" t="s">
        <v>80</v>
      </c>
      <c r="C175" s="48" t="s">
        <v>94</v>
      </c>
      <c r="D175" s="48" t="s">
        <v>313</v>
      </c>
      <c r="E175" s="49" t="s">
        <v>173</v>
      </c>
      <c r="F175" s="64">
        <v>44048.999988425901</v>
      </c>
      <c r="G175" s="64">
        <v>44048.729166666701</v>
      </c>
      <c r="H175" s="51" t="s">
        <v>257</v>
      </c>
      <c r="I175" s="52"/>
      <c r="J175" s="53"/>
      <c r="K175" s="47" t="s">
        <v>85</v>
      </c>
      <c r="L175" s="65">
        <v>12000</v>
      </c>
      <c r="M175" s="56" t="s">
        <v>86</v>
      </c>
    </row>
    <row r="176" spans="1:13" x14ac:dyDescent="0.4">
      <c r="A176" s="35">
        <v>172</v>
      </c>
      <c r="B176" s="47" t="s">
        <v>80</v>
      </c>
      <c r="C176" s="48" t="s">
        <v>94</v>
      </c>
      <c r="D176" s="48" t="s">
        <v>314</v>
      </c>
      <c r="E176" s="49" t="s">
        <v>173</v>
      </c>
      <c r="F176" s="64">
        <v>44048.999988425901</v>
      </c>
      <c r="G176" s="64">
        <v>44048.729166666701</v>
      </c>
      <c r="H176" s="51" t="s">
        <v>257</v>
      </c>
      <c r="I176" s="52"/>
      <c r="J176" s="53"/>
      <c r="K176" s="47" t="s">
        <v>85</v>
      </c>
      <c r="L176" s="65">
        <v>12000</v>
      </c>
      <c r="M176" s="56" t="s">
        <v>86</v>
      </c>
    </row>
    <row r="177" spans="1:13" x14ac:dyDescent="0.4">
      <c r="A177" s="35">
        <v>173</v>
      </c>
      <c r="B177" s="47" t="s">
        <v>80</v>
      </c>
      <c r="C177" s="48" t="s">
        <v>94</v>
      </c>
      <c r="D177" s="48" t="s">
        <v>315</v>
      </c>
      <c r="E177" s="49" t="s">
        <v>173</v>
      </c>
      <c r="F177" s="64">
        <v>44048.999988425901</v>
      </c>
      <c r="G177" s="64">
        <v>44048.729166666701</v>
      </c>
      <c r="H177" s="51" t="s">
        <v>257</v>
      </c>
      <c r="I177" s="52"/>
      <c r="J177" s="53"/>
      <c r="K177" s="47" t="s">
        <v>85</v>
      </c>
      <c r="L177" s="65">
        <v>12000</v>
      </c>
      <c r="M177" s="56" t="s">
        <v>86</v>
      </c>
    </row>
    <row r="178" spans="1:13" x14ac:dyDescent="0.4">
      <c r="A178" s="35">
        <v>174</v>
      </c>
      <c r="B178" s="47" t="s">
        <v>80</v>
      </c>
      <c r="C178" s="48" t="s">
        <v>94</v>
      </c>
      <c r="D178" s="48" t="s">
        <v>316</v>
      </c>
      <c r="E178" s="49" t="s">
        <v>173</v>
      </c>
      <c r="F178" s="64">
        <v>44048.999988425901</v>
      </c>
      <c r="G178" s="64">
        <v>44048.729166666701</v>
      </c>
      <c r="H178" s="51" t="s">
        <v>257</v>
      </c>
      <c r="I178" s="52"/>
      <c r="J178" s="53"/>
      <c r="K178" s="47" t="s">
        <v>85</v>
      </c>
      <c r="L178" s="65">
        <v>12000</v>
      </c>
      <c r="M178" s="56" t="s">
        <v>86</v>
      </c>
    </row>
    <row r="179" spans="1:13" x14ac:dyDescent="0.4">
      <c r="A179" s="35">
        <v>175</v>
      </c>
      <c r="B179" s="47" t="s">
        <v>80</v>
      </c>
      <c r="C179" s="48" t="s">
        <v>94</v>
      </c>
      <c r="D179" s="48" t="s">
        <v>317</v>
      </c>
      <c r="E179" s="49" t="s">
        <v>173</v>
      </c>
      <c r="F179" s="64">
        <v>44048.999988425901</v>
      </c>
      <c r="G179" s="64">
        <v>44048.729166666701</v>
      </c>
      <c r="H179" s="51" t="s">
        <v>257</v>
      </c>
      <c r="I179" s="52"/>
      <c r="J179" s="53"/>
      <c r="K179" s="47" t="s">
        <v>85</v>
      </c>
      <c r="L179" s="65">
        <v>12000</v>
      </c>
      <c r="M179" s="56" t="s">
        <v>86</v>
      </c>
    </row>
    <row r="180" spans="1:13" x14ac:dyDescent="0.4">
      <c r="A180" s="35">
        <v>176</v>
      </c>
      <c r="B180" s="47" t="s">
        <v>80</v>
      </c>
      <c r="C180" s="48" t="s">
        <v>94</v>
      </c>
      <c r="D180" s="48" t="s">
        <v>318</v>
      </c>
      <c r="E180" s="49" t="s">
        <v>173</v>
      </c>
      <c r="F180" s="64">
        <v>44048.999988425901</v>
      </c>
      <c r="G180" s="64">
        <v>44048.729166666701</v>
      </c>
      <c r="H180" s="51" t="s">
        <v>257</v>
      </c>
      <c r="I180" s="52"/>
      <c r="J180" s="53"/>
      <c r="K180" s="47" t="s">
        <v>85</v>
      </c>
      <c r="L180" s="65">
        <v>12000</v>
      </c>
      <c r="M180" s="56" t="s">
        <v>86</v>
      </c>
    </row>
    <row r="181" spans="1:13" x14ac:dyDescent="0.4">
      <c r="A181" s="35">
        <v>177</v>
      </c>
      <c r="B181" s="47" t="s">
        <v>80</v>
      </c>
      <c r="C181" s="48" t="s">
        <v>81</v>
      </c>
      <c r="D181" s="48" t="s">
        <v>82</v>
      </c>
      <c r="E181" s="49" t="s">
        <v>173</v>
      </c>
      <c r="F181" s="50">
        <v>44050.999988425901</v>
      </c>
      <c r="G181" s="68">
        <v>44050.708333333299</v>
      </c>
      <c r="H181" s="51" t="s">
        <v>257</v>
      </c>
      <c r="I181" s="52"/>
      <c r="J181" s="53"/>
      <c r="K181" s="47" t="s">
        <v>85</v>
      </c>
      <c r="L181" s="65">
        <v>12000</v>
      </c>
      <c r="M181" s="56" t="s">
        <v>86</v>
      </c>
    </row>
    <row r="182" spans="1:13" x14ac:dyDescent="0.4">
      <c r="A182" s="35">
        <v>178</v>
      </c>
      <c r="B182" s="47" t="s">
        <v>80</v>
      </c>
      <c r="C182" s="48" t="s">
        <v>81</v>
      </c>
      <c r="D182" s="48" t="s">
        <v>87</v>
      </c>
      <c r="E182" s="49" t="s">
        <v>173</v>
      </c>
      <c r="F182" s="50">
        <v>44050.999988425901</v>
      </c>
      <c r="G182" s="68">
        <v>44050.708333333299</v>
      </c>
      <c r="H182" s="51" t="s">
        <v>257</v>
      </c>
      <c r="I182" s="52"/>
      <c r="J182" s="53"/>
      <c r="K182" s="47" t="s">
        <v>85</v>
      </c>
      <c r="L182" s="65">
        <v>12000</v>
      </c>
      <c r="M182" s="56" t="s">
        <v>86</v>
      </c>
    </row>
    <row r="183" spans="1:13" x14ac:dyDescent="0.4">
      <c r="A183" s="35">
        <v>179</v>
      </c>
      <c r="B183" s="47" t="s">
        <v>80</v>
      </c>
      <c r="C183" s="48" t="s">
        <v>81</v>
      </c>
      <c r="D183" s="48" t="s">
        <v>88</v>
      </c>
      <c r="E183" s="49" t="s">
        <v>173</v>
      </c>
      <c r="F183" s="50">
        <v>44050.999988425901</v>
      </c>
      <c r="G183" s="68">
        <v>44050.708333333299</v>
      </c>
      <c r="H183" s="51" t="s">
        <v>257</v>
      </c>
      <c r="I183" s="52"/>
      <c r="J183" s="53"/>
      <c r="K183" s="47" t="s">
        <v>85</v>
      </c>
      <c r="L183" s="65">
        <v>12000</v>
      </c>
      <c r="M183" s="56" t="s">
        <v>86</v>
      </c>
    </row>
    <row r="184" spans="1:13" x14ac:dyDescent="0.4">
      <c r="A184" s="35">
        <v>180</v>
      </c>
      <c r="B184" s="47" t="s">
        <v>80</v>
      </c>
      <c r="C184" s="48" t="s">
        <v>81</v>
      </c>
      <c r="D184" s="48" t="s">
        <v>89</v>
      </c>
      <c r="E184" s="49" t="s">
        <v>173</v>
      </c>
      <c r="F184" s="50">
        <v>44050.999988425901</v>
      </c>
      <c r="G184" s="68">
        <v>44050.708333333299</v>
      </c>
      <c r="H184" s="51" t="s">
        <v>257</v>
      </c>
      <c r="I184" s="69"/>
      <c r="J184" s="69"/>
      <c r="K184" s="47" t="s">
        <v>85</v>
      </c>
      <c r="L184" s="65">
        <v>12000</v>
      </c>
      <c r="M184" s="56" t="s">
        <v>86</v>
      </c>
    </row>
    <row r="185" spans="1:13" x14ac:dyDescent="0.4">
      <c r="A185" s="35">
        <v>181</v>
      </c>
      <c r="B185" s="47" t="s">
        <v>80</v>
      </c>
      <c r="C185" s="48" t="s">
        <v>81</v>
      </c>
      <c r="D185" s="48" t="s">
        <v>90</v>
      </c>
      <c r="E185" s="49" t="s">
        <v>173</v>
      </c>
      <c r="F185" s="50">
        <v>44050.999988425901</v>
      </c>
      <c r="G185" s="68">
        <v>44050.708333333299</v>
      </c>
      <c r="H185" s="51" t="s">
        <v>257</v>
      </c>
      <c r="I185" s="52"/>
      <c r="J185" s="53"/>
      <c r="K185" s="47" t="s">
        <v>85</v>
      </c>
      <c r="L185" s="65">
        <v>12000</v>
      </c>
      <c r="M185" s="56" t="s">
        <v>86</v>
      </c>
    </row>
    <row r="186" spans="1:13" x14ac:dyDescent="0.4">
      <c r="A186" s="35">
        <v>182</v>
      </c>
      <c r="B186" s="47" t="s">
        <v>80</v>
      </c>
      <c r="C186" s="48" t="s">
        <v>81</v>
      </c>
      <c r="D186" s="48" t="s">
        <v>91</v>
      </c>
      <c r="E186" s="49" t="s">
        <v>173</v>
      </c>
      <c r="F186" s="50">
        <v>44050.999988425901</v>
      </c>
      <c r="G186" s="68">
        <v>44050.708333333299</v>
      </c>
      <c r="H186" s="51" t="s">
        <v>257</v>
      </c>
      <c r="I186" s="52"/>
      <c r="J186" s="53"/>
      <c r="K186" s="47" t="s">
        <v>85</v>
      </c>
      <c r="L186" s="65">
        <v>12000</v>
      </c>
      <c r="M186" s="56" t="s">
        <v>86</v>
      </c>
    </row>
    <row r="187" spans="1:13" x14ac:dyDescent="0.4">
      <c r="A187" s="35">
        <v>183</v>
      </c>
      <c r="B187" s="47" t="s">
        <v>80</v>
      </c>
      <c r="C187" s="48" t="s">
        <v>81</v>
      </c>
      <c r="D187" s="48" t="s">
        <v>92</v>
      </c>
      <c r="E187" s="49" t="s">
        <v>173</v>
      </c>
      <c r="F187" s="50">
        <v>44050.999988425901</v>
      </c>
      <c r="G187" s="68">
        <v>44050.708333333299</v>
      </c>
      <c r="H187" s="51" t="s">
        <v>257</v>
      </c>
      <c r="I187" s="69"/>
      <c r="J187" s="69"/>
      <c r="K187" s="47" t="s">
        <v>85</v>
      </c>
      <c r="L187" s="65">
        <v>12000</v>
      </c>
      <c r="M187" s="56" t="s">
        <v>86</v>
      </c>
    </row>
    <row r="188" spans="1:13" x14ac:dyDescent="0.4">
      <c r="A188" s="35">
        <v>184</v>
      </c>
      <c r="B188" s="47" t="s">
        <v>80</v>
      </c>
      <c r="C188" s="48" t="s">
        <v>81</v>
      </c>
      <c r="D188" s="48" t="s">
        <v>93</v>
      </c>
      <c r="E188" s="49" t="s">
        <v>173</v>
      </c>
      <c r="F188" s="50">
        <v>44050.999988425901</v>
      </c>
      <c r="G188" s="68">
        <v>44050.708333333299</v>
      </c>
      <c r="H188" s="51" t="s">
        <v>257</v>
      </c>
      <c r="I188" s="52"/>
      <c r="J188" s="53"/>
      <c r="K188" s="47" t="s">
        <v>85</v>
      </c>
      <c r="L188" s="65">
        <v>12000</v>
      </c>
      <c r="M188" s="56" t="s">
        <v>86</v>
      </c>
    </row>
    <row r="189" spans="1:13" x14ac:dyDescent="0.4">
      <c r="A189" s="35">
        <v>185</v>
      </c>
      <c r="B189" s="47" t="s">
        <v>80</v>
      </c>
      <c r="C189" s="48" t="s">
        <v>94</v>
      </c>
      <c r="D189" s="48" t="s">
        <v>319</v>
      </c>
      <c r="E189" s="49" t="s">
        <v>173</v>
      </c>
      <c r="F189" s="50">
        <v>44050.999988425901</v>
      </c>
      <c r="G189" s="68">
        <v>44050.708333333299</v>
      </c>
      <c r="H189" s="51" t="s">
        <v>257</v>
      </c>
      <c r="I189" s="52"/>
      <c r="J189" s="53"/>
      <c r="K189" s="47" t="s">
        <v>85</v>
      </c>
      <c r="L189" s="65">
        <v>12000</v>
      </c>
      <c r="M189" s="56" t="s">
        <v>86</v>
      </c>
    </row>
    <row r="190" spans="1:13" x14ac:dyDescent="0.4">
      <c r="A190" s="35">
        <v>186</v>
      </c>
      <c r="B190" s="47" t="s">
        <v>80</v>
      </c>
      <c r="C190" s="48" t="s">
        <v>94</v>
      </c>
      <c r="D190" s="48" t="s">
        <v>126</v>
      </c>
      <c r="E190" s="49" t="s">
        <v>173</v>
      </c>
      <c r="F190" s="50">
        <v>44050.999988425901</v>
      </c>
      <c r="G190" s="68">
        <v>44050.708333333299</v>
      </c>
      <c r="H190" s="51" t="s">
        <v>257</v>
      </c>
      <c r="I190" s="69"/>
      <c r="J190" s="69"/>
      <c r="K190" s="47" t="s">
        <v>85</v>
      </c>
      <c r="L190" s="65">
        <v>12000</v>
      </c>
      <c r="M190" s="56" t="s">
        <v>86</v>
      </c>
    </row>
    <row r="191" spans="1:13" x14ac:dyDescent="0.4">
      <c r="A191" s="35">
        <v>187</v>
      </c>
      <c r="B191" s="54" t="s">
        <v>80</v>
      </c>
      <c r="C191" s="70" t="s">
        <v>180</v>
      </c>
      <c r="D191" s="70" t="s">
        <v>258</v>
      </c>
      <c r="E191" s="49" t="s">
        <v>173</v>
      </c>
      <c r="F191" s="71">
        <v>44095.999988425901</v>
      </c>
      <c r="G191" s="71">
        <v>44095.625</v>
      </c>
      <c r="H191" s="51" t="s">
        <v>257</v>
      </c>
      <c r="I191" s="72"/>
      <c r="J191" s="53"/>
      <c r="K191" s="54" t="s">
        <v>184</v>
      </c>
      <c r="L191" s="55">
        <v>16000</v>
      </c>
      <c r="M191" s="51" t="s">
        <v>86</v>
      </c>
    </row>
    <row r="192" spans="1:13" x14ac:dyDescent="0.4">
      <c r="A192" s="35">
        <v>188</v>
      </c>
      <c r="B192" s="54" t="s">
        <v>80</v>
      </c>
      <c r="C192" s="70" t="s">
        <v>180</v>
      </c>
      <c r="D192" s="70" t="s">
        <v>320</v>
      </c>
      <c r="E192" s="49" t="s">
        <v>173</v>
      </c>
      <c r="F192" s="71">
        <v>44095.999988425901</v>
      </c>
      <c r="G192" s="71">
        <v>44095.625</v>
      </c>
      <c r="H192" s="51" t="s">
        <v>257</v>
      </c>
      <c r="I192" s="72"/>
      <c r="J192" s="53"/>
      <c r="K192" s="54" t="s">
        <v>184</v>
      </c>
      <c r="L192" s="55">
        <v>16000</v>
      </c>
      <c r="M192" s="51" t="s">
        <v>86</v>
      </c>
    </row>
    <row r="193" spans="1:13" x14ac:dyDescent="0.4">
      <c r="A193" s="35">
        <v>189</v>
      </c>
      <c r="B193" s="54" t="s">
        <v>80</v>
      </c>
      <c r="C193" s="70" t="s">
        <v>180</v>
      </c>
      <c r="D193" s="70" t="s">
        <v>263</v>
      </c>
      <c r="E193" s="49" t="s">
        <v>173</v>
      </c>
      <c r="F193" s="71">
        <v>44095.999988425901</v>
      </c>
      <c r="G193" s="71">
        <v>44095.625</v>
      </c>
      <c r="H193" s="51" t="s">
        <v>257</v>
      </c>
      <c r="I193" s="72"/>
      <c r="J193" s="53"/>
      <c r="K193" s="54" t="s">
        <v>184</v>
      </c>
      <c r="L193" s="55">
        <v>16000</v>
      </c>
      <c r="M193" s="51" t="s">
        <v>86</v>
      </c>
    </row>
    <row r="194" spans="1:13" x14ac:dyDescent="0.4">
      <c r="A194" s="35">
        <v>190</v>
      </c>
      <c r="B194" s="54" t="s">
        <v>80</v>
      </c>
      <c r="C194" s="70" t="s">
        <v>180</v>
      </c>
      <c r="D194" s="70" t="s">
        <v>181</v>
      </c>
      <c r="E194" s="49" t="s">
        <v>173</v>
      </c>
      <c r="F194" s="71">
        <v>44095.999988425901</v>
      </c>
      <c r="G194" s="71">
        <v>44095.625</v>
      </c>
      <c r="H194" s="51" t="s">
        <v>257</v>
      </c>
      <c r="I194" s="72"/>
      <c r="J194" s="53"/>
      <c r="K194" s="54" t="s">
        <v>184</v>
      </c>
      <c r="L194" s="55">
        <v>16000</v>
      </c>
      <c r="M194" s="51" t="s">
        <v>86</v>
      </c>
    </row>
    <row r="195" spans="1:13" x14ac:dyDescent="0.4">
      <c r="A195" s="35">
        <v>191</v>
      </c>
      <c r="B195" s="54" t="s">
        <v>80</v>
      </c>
      <c r="C195" s="70" t="s">
        <v>180</v>
      </c>
      <c r="D195" s="70" t="s">
        <v>215</v>
      </c>
      <c r="E195" s="49" t="s">
        <v>173</v>
      </c>
      <c r="F195" s="71">
        <v>44114.999988425901</v>
      </c>
      <c r="G195" s="71">
        <v>44114.604166666701</v>
      </c>
      <c r="H195" s="51" t="s">
        <v>257</v>
      </c>
      <c r="I195" s="72"/>
      <c r="J195" s="53"/>
      <c r="K195" s="54" t="s">
        <v>184</v>
      </c>
      <c r="L195" s="55">
        <v>16000</v>
      </c>
      <c r="M195" s="51" t="s">
        <v>86</v>
      </c>
    </row>
    <row r="196" spans="1:13" x14ac:dyDescent="0.4">
      <c r="A196" s="35">
        <v>192</v>
      </c>
      <c r="B196" s="54" t="s">
        <v>80</v>
      </c>
      <c r="C196" s="70" t="s">
        <v>180</v>
      </c>
      <c r="D196" s="70" t="s">
        <v>222</v>
      </c>
      <c r="E196" s="49" t="s">
        <v>173</v>
      </c>
      <c r="F196" s="71">
        <v>44114.999988425901</v>
      </c>
      <c r="G196" s="73">
        <v>44114.604166666701</v>
      </c>
      <c r="H196" s="51" t="s">
        <v>257</v>
      </c>
      <c r="I196" s="72"/>
      <c r="J196" s="53"/>
      <c r="K196" s="54" t="s">
        <v>184</v>
      </c>
      <c r="L196" s="55">
        <v>16000</v>
      </c>
      <c r="M196" s="51" t="s">
        <v>86</v>
      </c>
    </row>
    <row r="197" spans="1:13" x14ac:dyDescent="0.4">
      <c r="A197" s="35">
        <v>193</v>
      </c>
      <c r="B197" s="47" t="s">
        <v>80</v>
      </c>
      <c r="C197" s="48" t="s">
        <v>81</v>
      </c>
      <c r="D197" s="48" t="s">
        <v>82</v>
      </c>
      <c r="E197" s="49" t="s">
        <v>173</v>
      </c>
      <c r="F197" s="50">
        <v>44288</v>
      </c>
      <c r="G197" s="74">
        <v>44289.6421527778</v>
      </c>
      <c r="H197" s="51" t="s">
        <v>257</v>
      </c>
      <c r="I197" s="52"/>
      <c r="J197" s="53"/>
      <c r="K197" s="47" t="s">
        <v>85</v>
      </c>
      <c r="L197" s="65">
        <v>12000</v>
      </c>
      <c r="M197" s="56" t="s">
        <v>86</v>
      </c>
    </row>
    <row r="198" spans="1:13" x14ac:dyDescent="0.4">
      <c r="A198" s="35">
        <v>194</v>
      </c>
      <c r="B198" s="47" t="s">
        <v>80</v>
      </c>
      <c r="C198" s="48" t="s">
        <v>81</v>
      </c>
      <c r="D198" s="48" t="s">
        <v>87</v>
      </c>
      <c r="E198" s="49" t="s">
        <v>173</v>
      </c>
      <c r="F198" s="62">
        <v>44288</v>
      </c>
      <c r="G198" s="66">
        <v>44289.6421527778</v>
      </c>
      <c r="H198" s="51" t="s">
        <v>257</v>
      </c>
      <c r="I198" s="52"/>
      <c r="J198" s="53"/>
      <c r="K198" s="47" t="s">
        <v>85</v>
      </c>
      <c r="L198" s="65">
        <v>12000</v>
      </c>
      <c r="M198" s="56" t="s">
        <v>86</v>
      </c>
    </row>
    <row r="199" spans="1:13" ht="14.15" x14ac:dyDescent="0.35">
      <c r="A199" s="35">
        <v>195</v>
      </c>
      <c r="B199" s="47" t="s">
        <v>80</v>
      </c>
      <c r="C199" s="48" t="s">
        <v>81</v>
      </c>
      <c r="D199" s="48" t="s">
        <v>88</v>
      </c>
      <c r="E199" s="49" t="s">
        <v>173</v>
      </c>
      <c r="F199" s="62">
        <v>44288</v>
      </c>
      <c r="G199" s="66">
        <v>44289.6421527778</v>
      </c>
      <c r="H199" s="51" t="s">
        <v>257</v>
      </c>
      <c r="I199" s="69" t="s">
        <v>321</v>
      </c>
      <c r="J199" s="69" t="s">
        <v>322</v>
      </c>
      <c r="K199" s="47" t="s">
        <v>85</v>
      </c>
      <c r="L199" s="65">
        <v>12000</v>
      </c>
      <c r="M199" s="56" t="s">
        <v>86</v>
      </c>
    </row>
    <row r="200" spans="1:13" x14ac:dyDescent="0.4">
      <c r="A200" s="35">
        <v>196</v>
      </c>
      <c r="B200" s="47" t="s">
        <v>80</v>
      </c>
      <c r="C200" s="48" t="s">
        <v>81</v>
      </c>
      <c r="D200" s="48" t="s">
        <v>89</v>
      </c>
      <c r="E200" s="49" t="s">
        <v>173</v>
      </c>
      <c r="F200" s="62">
        <v>44288</v>
      </c>
      <c r="G200" s="66">
        <v>44289.6421527778</v>
      </c>
      <c r="H200" s="51" t="s">
        <v>257</v>
      </c>
      <c r="I200" s="52"/>
      <c r="J200" s="53"/>
      <c r="K200" s="47" t="s">
        <v>85</v>
      </c>
      <c r="L200" s="65">
        <v>12000</v>
      </c>
      <c r="M200" s="56" t="s">
        <v>86</v>
      </c>
    </row>
    <row r="201" spans="1:13" x14ac:dyDescent="0.4">
      <c r="A201" s="35">
        <v>197</v>
      </c>
      <c r="B201" s="47" t="s">
        <v>80</v>
      </c>
      <c r="C201" s="48" t="s">
        <v>81</v>
      </c>
      <c r="D201" s="48" t="s">
        <v>90</v>
      </c>
      <c r="E201" s="49" t="s">
        <v>173</v>
      </c>
      <c r="F201" s="62">
        <v>44288</v>
      </c>
      <c r="G201" s="66">
        <v>44289.6421527778</v>
      </c>
      <c r="H201" s="51" t="s">
        <v>257</v>
      </c>
      <c r="I201" s="52"/>
      <c r="J201" s="53"/>
      <c r="K201" s="47" t="s">
        <v>85</v>
      </c>
      <c r="L201" s="65">
        <v>12000</v>
      </c>
      <c r="M201" s="56" t="s">
        <v>86</v>
      </c>
    </row>
    <row r="202" spans="1:13" x14ac:dyDescent="0.4">
      <c r="A202" s="35">
        <v>198</v>
      </c>
      <c r="B202" s="47" t="s">
        <v>80</v>
      </c>
      <c r="C202" s="48" t="s">
        <v>81</v>
      </c>
      <c r="D202" s="48" t="s">
        <v>91</v>
      </c>
      <c r="E202" s="49" t="s">
        <v>173</v>
      </c>
      <c r="F202" s="62">
        <v>44288</v>
      </c>
      <c r="G202" s="66">
        <v>44289.6421527778</v>
      </c>
      <c r="H202" s="51" t="s">
        <v>257</v>
      </c>
      <c r="I202" s="52"/>
      <c r="J202" s="53"/>
      <c r="K202" s="47" t="s">
        <v>85</v>
      </c>
      <c r="L202" s="65">
        <v>12000</v>
      </c>
      <c r="M202" s="56" t="s">
        <v>86</v>
      </c>
    </row>
    <row r="203" spans="1:13" x14ac:dyDescent="0.4">
      <c r="A203" s="35">
        <v>199</v>
      </c>
      <c r="B203" s="47" t="s">
        <v>80</v>
      </c>
      <c r="C203" s="48" t="s">
        <v>81</v>
      </c>
      <c r="D203" s="48" t="s">
        <v>92</v>
      </c>
      <c r="E203" s="49" t="s">
        <v>173</v>
      </c>
      <c r="F203" s="62">
        <v>44288</v>
      </c>
      <c r="G203" s="66">
        <v>44289.6421527778</v>
      </c>
      <c r="H203" s="51" t="s">
        <v>257</v>
      </c>
      <c r="I203" s="52"/>
      <c r="J203" s="53"/>
      <c r="K203" s="47" t="s">
        <v>85</v>
      </c>
      <c r="L203" s="65">
        <v>12000</v>
      </c>
      <c r="M203" s="56" t="s">
        <v>86</v>
      </c>
    </row>
    <row r="204" spans="1:13" x14ac:dyDescent="0.4">
      <c r="A204" s="35">
        <v>200</v>
      </c>
      <c r="B204" s="47" t="s">
        <v>80</v>
      </c>
      <c r="C204" s="48" t="s">
        <v>81</v>
      </c>
      <c r="D204" s="48" t="s">
        <v>93</v>
      </c>
      <c r="E204" s="49" t="s">
        <v>173</v>
      </c>
      <c r="F204" s="62">
        <v>44288</v>
      </c>
      <c r="G204" s="66">
        <v>44289.6421527778</v>
      </c>
      <c r="H204" s="51" t="s">
        <v>257</v>
      </c>
      <c r="I204" s="52"/>
      <c r="J204" s="53"/>
      <c r="K204" s="47" t="s">
        <v>85</v>
      </c>
      <c r="L204" s="65">
        <v>12000</v>
      </c>
      <c r="M204" s="56" t="s">
        <v>86</v>
      </c>
    </row>
    <row r="205" spans="1:13" x14ac:dyDescent="0.4">
      <c r="A205" s="35">
        <v>201</v>
      </c>
      <c r="B205" s="47" t="s">
        <v>80</v>
      </c>
      <c r="C205" s="48" t="s">
        <v>94</v>
      </c>
      <c r="D205" s="48" t="s">
        <v>95</v>
      </c>
      <c r="E205" s="49" t="s">
        <v>173</v>
      </c>
      <c r="F205" s="62">
        <v>44288</v>
      </c>
      <c r="G205" s="66">
        <v>44289.6421527778</v>
      </c>
      <c r="H205" s="51" t="s">
        <v>257</v>
      </c>
      <c r="I205" s="52"/>
      <c r="J205" s="53"/>
      <c r="K205" s="47" t="s">
        <v>85</v>
      </c>
      <c r="L205" s="65">
        <v>12000</v>
      </c>
      <c r="M205" s="56" t="s">
        <v>86</v>
      </c>
    </row>
    <row r="206" spans="1:13" x14ac:dyDescent="0.4">
      <c r="A206" s="35">
        <v>202</v>
      </c>
      <c r="B206" s="47" t="s">
        <v>80</v>
      </c>
      <c r="C206" s="48" t="s">
        <v>94</v>
      </c>
      <c r="D206" s="48" t="s">
        <v>97</v>
      </c>
      <c r="E206" s="49" t="s">
        <v>173</v>
      </c>
      <c r="F206" s="62">
        <v>44288</v>
      </c>
      <c r="G206" s="66">
        <v>44289.6421527778</v>
      </c>
      <c r="H206" s="51" t="s">
        <v>257</v>
      </c>
      <c r="I206" s="52"/>
      <c r="J206" s="53"/>
      <c r="K206" s="47" t="s">
        <v>85</v>
      </c>
      <c r="L206" s="65">
        <v>12000</v>
      </c>
      <c r="M206" s="56" t="s">
        <v>86</v>
      </c>
    </row>
    <row r="207" spans="1:13" x14ac:dyDescent="0.4">
      <c r="A207" s="35">
        <v>203</v>
      </c>
      <c r="B207" s="47" t="s">
        <v>80</v>
      </c>
      <c r="C207" s="48" t="s">
        <v>94</v>
      </c>
      <c r="D207" s="48" t="s">
        <v>98</v>
      </c>
      <c r="E207" s="49" t="s">
        <v>173</v>
      </c>
      <c r="F207" s="62">
        <v>44288</v>
      </c>
      <c r="G207" s="66">
        <v>44289.6421527778</v>
      </c>
      <c r="H207" s="51" t="s">
        <v>257</v>
      </c>
      <c r="I207" s="52"/>
      <c r="J207" s="53"/>
      <c r="K207" s="47" t="s">
        <v>85</v>
      </c>
      <c r="L207" s="65">
        <v>12000</v>
      </c>
      <c r="M207" s="56" t="s">
        <v>86</v>
      </c>
    </row>
    <row r="208" spans="1:13" ht="14.15" x14ac:dyDescent="0.35">
      <c r="A208" s="35">
        <v>204</v>
      </c>
      <c r="B208" s="47" t="s">
        <v>80</v>
      </c>
      <c r="C208" s="48" t="s">
        <v>94</v>
      </c>
      <c r="D208" s="48" t="s">
        <v>99</v>
      </c>
      <c r="E208" s="49" t="s">
        <v>173</v>
      </c>
      <c r="F208" s="62">
        <v>44288</v>
      </c>
      <c r="G208" s="66">
        <v>44289.6421527778</v>
      </c>
      <c r="H208" s="51" t="s">
        <v>257</v>
      </c>
      <c r="I208" s="69" t="s">
        <v>323</v>
      </c>
      <c r="J208" s="69" t="s">
        <v>324</v>
      </c>
      <c r="K208" s="47" t="s">
        <v>85</v>
      </c>
      <c r="L208" s="65">
        <v>12000</v>
      </c>
      <c r="M208" s="56" t="s">
        <v>86</v>
      </c>
    </row>
    <row r="209" spans="1:13" x14ac:dyDescent="0.4">
      <c r="A209" s="35">
        <v>205</v>
      </c>
      <c r="B209" s="47" t="s">
        <v>80</v>
      </c>
      <c r="C209" s="48" t="s">
        <v>94</v>
      </c>
      <c r="D209" s="48" t="s">
        <v>100</v>
      </c>
      <c r="E209" s="49" t="s">
        <v>173</v>
      </c>
      <c r="F209" s="62">
        <v>44288</v>
      </c>
      <c r="G209" s="66">
        <v>44289.6421527778</v>
      </c>
      <c r="H209" s="51" t="s">
        <v>257</v>
      </c>
      <c r="I209" s="52"/>
      <c r="J209" s="53"/>
      <c r="K209" s="47" t="s">
        <v>85</v>
      </c>
      <c r="L209" s="65">
        <v>12000</v>
      </c>
      <c r="M209" s="56" t="s">
        <v>86</v>
      </c>
    </row>
    <row r="210" spans="1:13" x14ac:dyDescent="0.4">
      <c r="A210" s="35">
        <v>206</v>
      </c>
      <c r="B210" s="47" t="s">
        <v>80</v>
      </c>
      <c r="C210" s="48" t="s">
        <v>94</v>
      </c>
      <c r="D210" s="48" t="s">
        <v>101</v>
      </c>
      <c r="E210" s="49" t="s">
        <v>173</v>
      </c>
      <c r="F210" s="62">
        <v>44288</v>
      </c>
      <c r="G210" s="66">
        <v>44289.6421527778</v>
      </c>
      <c r="H210" s="51" t="s">
        <v>257</v>
      </c>
      <c r="I210" s="52"/>
      <c r="J210" s="53"/>
      <c r="K210" s="47" t="s">
        <v>85</v>
      </c>
      <c r="L210" s="65">
        <v>12000</v>
      </c>
      <c r="M210" s="56" t="s">
        <v>86</v>
      </c>
    </row>
    <row r="211" spans="1:13" x14ac:dyDescent="0.4">
      <c r="A211" s="35">
        <v>207</v>
      </c>
      <c r="B211" s="47" t="s">
        <v>80</v>
      </c>
      <c r="C211" s="48" t="s">
        <v>94</v>
      </c>
      <c r="D211" s="48" t="s">
        <v>102</v>
      </c>
      <c r="E211" s="49" t="s">
        <v>173</v>
      </c>
      <c r="F211" s="62">
        <v>44288</v>
      </c>
      <c r="G211" s="66">
        <v>44289.6421527778</v>
      </c>
      <c r="H211" s="51" t="s">
        <v>257</v>
      </c>
      <c r="I211" s="52"/>
      <c r="J211" s="53"/>
      <c r="K211" s="47" t="s">
        <v>85</v>
      </c>
      <c r="L211" s="65">
        <v>12000</v>
      </c>
      <c r="M211" s="56" t="s">
        <v>86</v>
      </c>
    </row>
    <row r="212" spans="1:13" x14ac:dyDescent="0.4">
      <c r="A212" s="35">
        <v>208</v>
      </c>
      <c r="B212" s="47" t="s">
        <v>80</v>
      </c>
      <c r="C212" s="48" t="s">
        <v>94</v>
      </c>
      <c r="D212" s="48" t="s">
        <v>103</v>
      </c>
      <c r="E212" s="49" t="s">
        <v>173</v>
      </c>
      <c r="F212" s="62">
        <v>44288</v>
      </c>
      <c r="G212" s="66">
        <v>44289.6421527778</v>
      </c>
      <c r="H212" s="51" t="s">
        <v>257</v>
      </c>
      <c r="I212" s="52"/>
      <c r="J212" s="53"/>
      <c r="K212" s="47" t="s">
        <v>85</v>
      </c>
      <c r="L212" s="65">
        <v>12000</v>
      </c>
      <c r="M212" s="56" t="s">
        <v>86</v>
      </c>
    </row>
    <row r="213" spans="1:13" x14ac:dyDescent="0.4">
      <c r="A213" s="35">
        <v>209</v>
      </c>
      <c r="B213" s="47" t="s">
        <v>80</v>
      </c>
      <c r="C213" s="48" t="s">
        <v>94</v>
      </c>
      <c r="D213" s="48" t="s">
        <v>104</v>
      </c>
      <c r="E213" s="49" t="s">
        <v>173</v>
      </c>
      <c r="F213" s="62">
        <v>44288</v>
      </c>
      <c r="G213" s="66">
        <v>44289.6421527778</v>
      </c>
      <c r="H213" s="51" t="s">
        <v>257</v>
      </c>
      <c r="I213" s="52"/>
      <c r="J213" s="53"/>
      <c r="K213" s="47" t="s">
        <v>85</v>
      </c>
      <c r="L213" s="65">
        <v>12000</v>
      </c>
      <c r="M213" s="56" t="s">
        <v>86</v>
      </c>
    </row>
    <row r="214" spans="1:13" x14ac:dyDescent="0.4">
      <c r="A214" s="35">
        <v>210</v>
      </c>
      <c r="B214" s="47" t="s">
        <v>80</v>
      </c>
      <c r="C214" s="48" t="s">
        <v>94</v>
      </c>
      <c r="D214" s="48" t="s">
        <v>105</v>
      </c>
      <c r="E214" s="49" t="s">
        <v>173</v>
      </c>
      <c r="F214" s="62">
        <v>44288</v>
      </c>
      <c r="G214" s="66">
        <v>44289.6421527778</v>
      </c>
      <c r="H214" s="51" t="s">
        <v>257</v>
      </c>
      <c r="I214" s="52"/>
      <c r="J214" s="53"/>
      <c r="K214" s="47" t="s">
        <v>85</v>
      </c>
      <c r="L214" s="65">
        <v>12000</v>
      </c>
      <c r="M214" s="56" t="s">
        <v>86</v>
      </c>
    </row>
    <row r="215" spans="1:13" x14ac:dyDescent="0.4">
      <c r="A215" s="35">
        <v>211</v>
      </c>
      <c r="B215" s="47" t="s">
        <v>80</v>
      </c>
      <c r="C215" s="48" t="s">
        <v>94</v>
      </c>
      <c r="D215" s="48" t="s">
        <v>106</v>
      </c>
      <c r="E215" s="49" t="s">
        <v>173</v>
      </c>
      <c r="F215" s="62">
        <v>44288</v>
      </c>
      <c r="G215" s="66">
        <v>44289.6421527778</v>
      </c>
      <c r="H215" s="51" t="s">
        <v>257</v>
      </c>
      <c r="I215" s="52"/>
      <c r="J215" s="53"/>
      <c r="K215" s="47" t="s">
        <v>85</v>
      </c>
      <c r="L215" s="65">
        <v>12000</v>
      </c>
      <c r="M215" s="56" t="s">
        <v>86</v>
      </c>
    </row>
    <row r="216" spans="1:13" x14ac:dyDescent="0.4">
      <c r="A216" s="35">
        <v>212</v>
      </c>
      <c r="B216" s="47" t="s">
        <v>80</v>
      </c>
      <c r="C216" s="48" t="s">
        <v>94</v>
      </c>
      <c r="D216" s="48" t="s">
        <v>107</v>
      </c>
      <c r="E216" s="49" t="s">
        <v>173</v>
      </c>
      <c r="F216" s="62">
        <v>44288</v>
      </c>
      <c r="G216" s="66">
        <v>44289.6421527778</v>
      </c>
      <c r="H216" s="51" t="s">
        <v>257</v>
      </c>
      <c r="I216" s="52"/>
      <c r="J216" s="53"/>
      <c r="K216" s="47" t="s">
        <v>85</v>
      </c>
      <c r="L216" s="65">
        <v>12000</v>
      </c>
      <c r="M216" s="56" t="s">
        <v>86</v>
      </c>
    </row>
    <row r="217" spans="1:13" x14ac:dyDescent="0.4">
      <c r="A217" s="35">
        <v>213</v>
      </c>
      <c r="B217" s="47" t="s">
        <v>80</v>
      </c>
      <c r="C217" s="48" t="s">
        <v>94</v>
      </c>
      <c r="D217" s="48" t="s">
        <v>108</v>
      </c>
      <c r="E217" s="49" t="s">
        <v>173</v>
      </c>
      <c r="F217" s="62">
        <v>44288</v>
      </c>
      <c r="G217" s="66">
        <v>44289.6421527778</v>
      </c>
      <c r="H217" s="51" t="s">
        <v>257</v>
      </c>
      <c r="I217" s="52"/>
      <c r="J217" s="53"/>
      <c r="K217" s="47" t="s">
        <v>85</v>
      </c>
      <c r="L217" s="65">
        <v>12000</v>
      </c>
      <c r="M217" s="56" t="s">
        <v>86</v>
      </c>
    </row>
    <row r="218" spans="1:13" x14ac:dyDescent="0.4">
      <c r="A218" s="35">
        <v>214</v>
      </c>
      <c r="B218" s="47" t="s">
        <v>80</v>
      </c>
      <c r="C218" s="48" t="s">
        <v>94</v>
      </c>
      <c r="D218" s="48" t="s">
        <v>109</v>
      </c>
      <c r="E218" s="49" t="s">
        <v>173</v>
      </c>
      <c r="F218" s="62">
        <v>44288</v>
      </c>
      <c r="G218" s="66">
        <v>44289.6421527778</v>
      </c>
      <c r="H218" s="51" t="s">
        <v>257</v>
      </c>
      <c r="I218" s="52"/>
      <c r="J218" s="53"/>
      <c r="K218" s="47" t="s">
        <v>85</v>
      </c>
      <c r="L218" s="65">
        <v>12000</v>
      </c>
      <c r="M218" s="56" t="s">
        <v>86</v>
      </c>
    </row>
    <row r="219" spans="1:13" x14ac:dyDescent="0.4">
      <c r="A219" s="35">
        <v>215</v>
      </c>
      <c r="B219" s="47" t="s">
        <v>80</v>
      </c>
      <c r="C219" s="48" t="s">
        <v>94</v>
      </c>
      <c r="D219" s="48" t="s">
        <v>110</v>
      </c>
      <c r="E219" s="49" t="s">
        <v>173</v>
      </c>
      <c r="F219" s="62">
        <v>44288</v>
      </c>
      <c r="G219" s="66">
        <v>44289.6421527778</v>
      </c>
      <c r="H219" s="51" t="s">
        <v>257</v>
      </c>
      <c r="I219" s="52"/>
      <c r="J219" s="53"/>
      <c r="K219" s="47" t="s">
        <v>85</v>
      </c>
      <c r="L219" s="65">
        <v>12000</v>
      </c>
      <c r="M219" s="56" t="s">
        <v>86</v>
      </c>
    </row>
    <row r="220" spans="1:13" x14ac:dyDescent="0.4">
      <c r="A220" s="35">
        <v>216</v>
      </c>
      <c r="B220" s="47" t="s">
        <v>80</v>
      </c>
      <c r="C220" s="48" t="s">
        <v>94</v>
      </c>
      <c r="D220" s="48" t="s">
        <v>111</v>
      </c>
      <c r="E220" s="49" t="s">
        <v>173</v>
      </c>
      <c r="F220" s="62">
        <v>44288</v>
      </c>
      <c r="G220" s="66">
        <v>44289.6421527778</v>
      </c>
      <c r="H220" s="51" t="s">
        <v>257</v>
      </c>
      <c r="I220" s="52"/>
      <c r="J220" s="53"/>
      <c r="K220" s="47" t="s">
        <v>85</v>
      </c>
      <c r="L220" s="65">
        <v>12000</v>
      </c>
      <c r="M220" s="56" t="s">
        <v>86</v>
      </c>
    </row>
    <row r="221" spans="1:13" x14ac:dyDescent="0.4">
      <c r="A221" s="35">
        <v>217</v>
      </c>
      <c r="B221" s="47" t="s">
        <v>80</v>
      </c>
      <c r="C221" s="48" t="s">
        <v>94</v>
      </c>
      <c r="D221" s="48" t="s">
        <v>112</v>
      </c>
      <c r="E221" s="49" t="s">
        <v>173</v>
      </c>
      <c r="F221" s="62">
        <v>44288</v>
      </c>
      <c r="G221" s="66">
        <v>44289.6421527778</v>
      </c>
      <c r="H221" s="51" t="s">
        <v>257</v>
      </c>
      <c r="I221" s="52"/>
      <c r="J221" s="53"/>
      <c r="K221" s="47" t="s">
        <v>85</v>
      </c>
      <c r="L221" s="65">
        <v>12000</v>
      </c>
      <c r="M221" s="56" t="s">
        <v>86</v>
      </c>
    </row>
    <row r="222" spans="1:13" x14ac:dyDescent="0.4">
      <c r="A222" s="35">
        <v>218</v>
      </c>
      <c r="B222" s="47" t="s">
        <v>80</v>
      </c>
      <c r="C222" s="48" t="s">
        <v>94</v>
      </c>
      <c r="D222" s="48" t="s">
        <v>113</v>
      </c>
      <c r="E222" s="49" t="s">
        <v>173</v>
      </c>
      <c r="F222" s="62">
        <v>44288</v>
      </c>
      <c r="G222" s="66">
        <v>44289.6421527778</v>
      </c>
      <c r="H222" s="51" t="s">
        <v>257</v>
      </c>
      <c r="I222" s="52"/>
      <c r="J222" s="53"/>
      <c r="K222" s="47" t="s">
        <v>85</v>
      </c>
      <c r="L222" s="65">
        <v>12000</v>
      </c>
      <c r="M222" s="56" t="s">
        <v>86</v>
      </c>
    </row>
    <row r="223" spans="1:13" x14ac:dyDescent="0.4">
      <c r="A223" s="35">
        <v>219</v>
      </c>
      <c r="B223" s="47" t="s">
        <v>80</v>
      </c>
      <c r="C223" s="48" t="s">
        <v>94</v>
      </c>
      <c r="D223" s="48" t="s">
        <v>114</v>
      </c>
      <c r="E223" s="49" t="s">
        <v>173</v>
      </c>
      <c r="F223" s="62">
        <v>44288</v>
      </c>
      <c r="G223" s="66">
        <v>44289.6421527778</v>
      </c>
      <c r="H223" s="51" t="s">
        <v>257</v>
      </c>
      <c r="I223" s="52"/>
      <c r="J223" s="53"/>
      <c r="K223" s="47" t="s">
        <v>85</v>
      </c>
      <c r="L223" s="65">
        <v>12000</v>
      </c>
      <c r="M223" s="56" t="s">
        <v>86</v>
      </c>
    </row>
    <row r="224" spans="1:13" x14ac:dyDescent="0.4">
      <c r="A224" s="35">
        <v>220</v>
      </c>
      <c r="B224" s="47" t="s">
        <v>80</v>
      </c>
      <c r="C224" s="48" t="s">
        <v>94</v>
      </c>
      <c r="D224" s="48" t="s">
        <v>115</v>
      </c>
      <c r="E224" s="49" t="s">
        <v>173</v>
      </c>
      <c r="F224" s="62">
        <v>44288</v>
      </c>
      <c r="G224" s="66">
        <v>44289.6421527778</v>
      </c>
      <c r="H224" s="51" t="s">
        <v>257</v>
      </c>
      <c r="I224" s="52"/>
      <c r="J224" s="53"/>
      <c r="K224" s="47" t="s">
        <v>85</v>
      </c>
      <c r="L224" s="65">
        <v>12000</v>
      </c>
      <c r="M224" s="56" t="s">
        <v>86</v>
      </c>
    </row>
    <row r="225" spans="1:13" x14ac:dyDescent="0.4">
      <c r="A225" s="35">
        <v>221</v>
      </c>
      <c r="B225" s="47" t="s">
        <v>80</v>
      </c>
      <c r="C225" s="48" t="s">
        <v>94</v>
      </c>
      <c r="D225" s="48" t="s">
        <v>116</v>
      </c>
      <c r="E225" s="49" t="s">
        <v>173</v>
      </c>
      <c r="F225" s="62">
        <v>44288</v>
      </c>
      <c r="G225" s="66">
        <v>44289.6421527778</v>
      </c>
      <c r="H225" s="51" t="s">
        <v>257</v>
      </c>
      <c r="I225" s="52"/>
      <c r="J225" s="53"/>
      <c r="K225" s="47" t="s">
        <v>85</v>
      </c>
      <c r="L225" s="65">
        <v>12000</v>
      </c>
      <c r="M225" s="56" t="s">
        <v>86</v>
      </c>
    </row>
    <row r="226" spans="1:13" ht="14.15" x14ac:dyDescent="0.35">
      <c r="A226" s="35">
        <v>222</v>
      </c>
      <c r="B226" s="47" t="s">
        <v>80</v>
      </c>
      <c r="C226" s="48" t="s">
        <v>94</v>
      </c>
      <c r="D226" s="48" t="s">
        <v>117</v>
      </c>
      <c r="E226" s="49" t="s">
        <v>173</v>
      </c>
      <c r="F226" s="62">
        <v>44288</v>
      </c>
      <c r="G226" s="66">
        <v>44289.6421527778</v>
      </c>
      <c r="H226" s="51" t="s">
        <v>257</v>
      </c>
      <c r="I226" s="69" t="s">
        <v>325</v>
      </c>
      <c r="J226" s="69" t="s">
        <v>326</v>
      </c>
      <c r="K226" s="47" t="s">
        <v>85</v>
      </c>
      <c r="L226" s="65">
        <v>12000</v>
      </c>
      <c r="M226" s="56" t="s">
        <v>86</v>
      </c>
    </row>
    <row r="227" spans="1:13" x14ac:dyDescent="0.4">
      <c r="A227" s="35">
        <v>223</v>
      </c>
      <c r="B227" s="47" t="s">
        <v>80</v>
      </c>
      <c r="C227" s="48" t="s">
        <v>94</v>
      </c>
      <c r="D227" s="48" t="s">
        <v>118</v>
      </c>
      <c r="E227" s="49" t="s">
        <v>173</v>
      </c>
      <c r="F227" s="62">
        <v>44288</v>
      </c>
      <c r="G227" s="66">
        <v>44289.6421527778</v>
      </c>
      <c r="H227" s="51" t="s">
        <v>257</v>
      </c>
      <c r="I227" s="52"/>
      <c r="J227" s="53"/>
      <c r="K227" s="47" t="s">
        <v>85</v>
      </c>
      <c r="L227" s="65">
        <v>12000</v>
      </c>
      <c r="M227" s="56" t="s">
        <v>86</v>
      </c>
    </row>
    <row r="228" spans="1:13" ht="14.15" x14ac:dyDescent="0.35">
      <c r="A228" s="35">
        <v>224</v>
      </c>
      <c r="B228" s="47" t="s">
        <v>80</v>
      </c>
      <c r="C228" s="48" t="s">
        <v>94</v>
      </c>
      <c r="D228" s="48" t="s">
        <v>119</v>
      </c>
      <c r="E228" s="49" t="s">
        <v>173</v>
      </c>
      <c r="F228" s="62">
        <v>44288</v>
      </c>
      <c r="G228" s="66">
        <v>44289.6421527778</v>
      </c>
      <c r="H228" s="51" t="s">
        <v>257</v>
      </c>
      <c r="I228" s="69" t="s">
        <v>327</v>
      </c>
      <c r="J228" s="69" t="s">
        <v>328</v>
      </c>
      <c r="K228" s="47" t="s">
        <v>85</v>
      </c>
      <c r="L228" s="65">
        <v>12000</v>
      </c>
      <c r="M228" s="56" t="s">
        <v>86</v>
      </c>
    </row>
    <row r="229" spans="1:13" x14ac:dyDescent="0.4">
      <c r="A229" s="35">
        <v>225</v>
      </c>
      <c r="B229" s="47" t="s">
        <v>80</v>
      </c>
      <c r="C229" s="48" t="s">
        <v>94</v>
      </c>
      <c r="D229" s="48" t="s">
        <v>120</v>
      </c>
      <c r="E229" s="49" t="s">
        <v>173</v>
      </c>
      <c r="F229" s="62">
        <v>44288</v>
      </c>
      <c r="G229" s="66">
        <v>44289.6421527778</v>
      </c>
      <c r="H229" s="51" t="s">
        <v>257</v>
      </c>
      <c r="I229" s="52"/>
      <c r="J229" s="53"/>
      <c r="K229" s="47" t="s">
        <v>85</v>
      </c>
      <c r="L229" s="65">
        <v>12000</v>
      </c>
      <c r="M229" s="56" t="s">
        <v>86</v>
      </c>
    </row>
    <row r="230" spans="1:13" x14ac:dyDescent="0.4">
      <c r="A230" s="35">
        <v>226</v>
      </c>
      <c r="B230" s="47" t="s">
        <v>80</v>
      </c>
      <c r="C230" s="48" t="s">
        <v>94</v>
      </c>
      <c r="D230" s="48" t="s">
        <v>121</v>
      </c>
      <c r="E230" s="49" t="s">
        <v>173</v>
      </c>
      <c r="F230" s="62">
        <v>44288</v>
      </c>
      <c r="G230" s="66">
        <v>44289.6421527778</v>
      </c>
      <c r="H230" s="51" t="s">
        <v>257</v>
      </c>
      <c r="I230" s="52"/>
      <c r="J230" s="53"/>
      <c r="K230" s="47" t="s">
        <v>85</v>
      </c>
      <c r="L230" s="65">
        <v>12000</v>
      </c>
      <c r="M230" s="56" t="s">
        <v>86</v>
      </c>
    </row>
    <row r="231" spans="1:13" x14ac:dyDescent="0.4">
      <c r="A231" s="35">
        <v>227</v>
      </c>
      <c r="B231" s="47" t="s">
        <v>80</v>
      </c>
      <c r="C231" s="48" t="s">
        <v>94</v>
      </c>
      <c r="D231" s="48" t="s">
        <v>122</v>
      </c>
      <c r="E231" s="49" t="s">
        <v>173</v>
      </c>
      <c r="F231" s="62">
        <v>44288</v>
      </c>
      <c r="G231" s="66">
        <v>44289.6421527778</v>
      </c>
      <c r="H231" s="51" t="s">
        <v>257</v>
      </c>
      <c r="I231" s="52"/>
      <c r="J231" s="53"/>
      <c r="K231" s="47" t="s">
        <v>85</v>
      </c>
      <c r="L231" s="65">
        <v>12000</v>
      </c>
      <c r="M231" s="56" t="s">
        <v>86</v>
      </c>
    </row>
    <row r="232" spans="1:13" x14ac:dyDescent="0.4">
      <c r="A232" s="35">
        <v>228</v>
      </c>
      <c r="B232" s="47" t="s">
        <v>80</v>
      </c>
      <c r="C232" s="48" t="s">
        <v>94</v>
      </c>
      <c r="D232" s="48" t="s">
        <v>88</v>
      </c>
      <c r="E232" s="49" t="s">
        <v>173</v>
      </c>
      <c r="F232" s="62">
        <v>44288</v>
      </c>
      <c r="G232" s="66">
        <v>44289.6421527778</v>
      </c>
      <c r="H232" s="51" t="s">
        <v>257</v>
      </c>
      <c r="I232" s="52"/>
      <c r="J232" s="53"/>
      <c r="K232" s="47" t="s">
        <v>85</v>
      </c>
      <c r="L232" s="65">
        <v>12000</v>
      </c>
      <c r="M232" s="56" t="s">
        <v>86</v>
      </c>
    </row>
    <row r="233" spans="1:13" x14ac:dyDescent="0.4">
      <c r="A233" s="35">
        <v>229</v>
      </c>
      <c r="B233" s="47" t="s">
        <v>80</v>
      </c>
      <c r="C233" s="48" t="s">
        <v>94</v>
      </c>
      <c r="D233" s="48" t="s">
        <v>89</v>
      </c>
      <c r="E233" s="49" t="s">
        <v>173</v>
      </c>
      <c r="F233" s="62">
        <v>44288</v>
      </c>
      <c r="G233" s="66">
        <v>44289.6421527778</v>
      </c>
      <c r="H233" s="51" t="s">
        <v>257</v>
      </c>
      <c r="I233" s="52"/>
      <c r="J233" s="53"/>
      <c r="K233" s="47" t="s">
        <v>85</v>
      </c>
      <c r="L233" s="65">
        <v>12000</v>
      </c>
      <c r="M233" s="56" t="s">
        <v>86</v>
      </c>
    </row>
    <row r="234" spans="1:13" x14ac:dyDescent="0.4">
      <c r="A234" s="35">
        <v>230</v>
      </c>
      <c r="B234" s="47" t="s">
        <v>80</v>
      </c>
      <c r="C234" s="48" t="s">
        <v>94</v>
      </c>
      <c r="D234" s="48" t="s">
        <v>90</v>
      </c>
      <c r="E234" s="49" t="s">
        <v>173</v>
      </c>
      <c r="F234" s="62">
        <v>44288</v>
      </c>
      <c r="G234" s="66">
        <v>44289.6421527778</v>
      </c>
      <c r="H234" s="51" t="s">
        <v>257</v>
      </c>
      <c r="I234" s="52"/>
      <c r="J234" s="53"/>
      <c r="K234" s="47" t="s">
        <v>85</v>
      </c>
      <c r="L234" s="65">
        <v>12000</v>
      </c>
      <c r="M234" s="56" t="s">
        <v>86</v>
      </c>
    </row>
    <row r="235" spans="1:13" x14ac:dyDescent="0.4">
      <c r="A235" s="35">
        <v>231</v>
      </c>
      <c r="B235" s="47" t="s">
        <v>80</v>
      </c>
      <c r="C235" s="48" t="s">
        <v>94</v>
      </c>
      <c r="D235" s="48" t="s">
        <v>91</v>
      </c>
      <c r="E235" s="49" t="s">
        <v>173</v>
      </c>
      <c r="F235" s="62">
        <v>44288</v>
      </c>
      <c r="G235" s="66">
        <v>44289.6421527778</v>
      </c>
      <c r="H235" s="51" t="s">
        <v>257</v>
      </c>
      <c r="I235" s="52"/>
      <c r="J235" s="53"/>
      <c r="K235" s="47" t="s">
        <v>85</v>
      </c>
      <c r="L235" s="65">
        <v>12000</v>
      </c>
      <c r="M235" s="56" t="s">
        <v>86</v>
      </c>
    </row>
    <row r="236" spans="1:13" ht="14.15" x14ac:dyDescent="0.35">
      <c r="A236" s="35">
        <v>232</v>
      </c>
      <c r="B236" s="47" t="s">
        <v>80</v>
      </c>
      <c r="C236" s="48" t="s">
        <v>94</v>
      </c>
      <c r="D236" s="48" t="s">
        <v>123</v>
      </c>
      <c r="E236" s="49" t="s">
        <v>173</v>
      </c>
      <c r="F236" s="62">
        <v>44288</v>
      </c>
      <c r="G236" s="66">
        <v>44289.6421527778</v>
      </c>
      <c r="H236" s="51" t="s">
        <v>257</v>
      </c>
      <c r="I236" s="69" t="s">
        <v>329</v>
      </c>
      <c r="J236" s="69" t="s">
        <v>330</v>
      </c>
      <c r="K236" s="47" t="s">
        <v>85</v>
      </c>
      <c r="L236" s="65">
        <v>12000</v>
      </c>
      <c r="M236" s="56" t="s">
        <v>86</v>
      </c>
    </row>
    <row r="237" spans="1:13" x14ac:dyDescent="0.4">
      <c r="A237" s="35">
        <v>233</v>
      </c>
      <c r="B237" s="47" t="s">
        <v>80</v>
      </c>
      <c r="C237" s="48" t="s">
        <v>94</v>
      </c>
      <c r="D237" s="48" t="s">
        <v>124</v>
      </c>
      <c r="E237" s="49" t="s">
        <v>173</v>
      </c>
      <c r="F237" s="62">
        <v>44288</v>
      </c>
      <c r="G237" s="66">
        <v>44289.6421527778</v>
      </c>
      <c r="H237" s="51" t="s">
        <v>257</v>
      </c>
      <c r="I237" s="52"/>
      <c r="J237" s="53"/>
      <c r="K237" s="47" t="s">
        <v>85</v>
      </c>
      <c r="L237" s="65">
        <v>12000</v>
      </c>
      <c r="M237" s="56" t="s">
        <v>86</v>
      </c>
    </row>
    <row r="238" spans="1:13" x14ac:dyDescent="0.4">
      <c r="A238" s="35">
        <v>234</v>
      </c>
      <c r="B238" s="47" t="s">
        <v>80</v>
      </c>
      <c r="C238" s="48" t="s">
        <v>94</v>
      </c>
      <c r="D238" s="48" t="s">
        <v>125</v>
      </c>
      <c r="E238" s="49" t="s">
        <v>173</v>
      </c>
      <c r="F238" s="62">
        <v>44288</v>
      </c>
      <c r="G238" s="66">
        <v>44289.6421527778</v>
      </c>
      <c r="H238" s="51" t="s">
        <v>257</v>
      </c>
      <c r="I238" s="52"/>
      <c r="J238" s="53"/>
      <c r="K238" s="47" t="s">
        <v>85</v>
      </c>
      <c r="L238" s="65">
        <v>12000</v>
      </c>
      <c r="M238" s="56" t="s">
        <v>86</v>
      </c>
    </row>
    <row r="239" spans="1:13" x14ac:dyDescent="0.4">
      <c r="A239" s="35">
        <v>235</v>
      </c>
      <c r="B239" s="47" t="s">
        <v>80</v>
      </c>
      <c r="C239" s="48" t="s">
        <v>94</v>
      </c>
      <c r="D239" s="48" t="s">
        <v>126</v>
      </c>
      <c r="E239" s="49" t="s">
        <v>173</v>
      </c>
      <c r="F239" s="62">
        <v>44288</v>
      </c>
      <c r="G239" s="66">
        <v>44289.6421527778</v>
      </c>
      <c r="H239" s="51" t="s">
        <v>257</v>
      </c>
      <c r="I239" s="52"/>
      <c r="J239" s="53"/>
      <c r="K239" s="47" t="s">
        <v>85</v>
      </c>
      <c r="L239" s="65">
        <v>12000</v>
      </c>
      <c r="M239" s="56" t="s">
        <v>86</v>
      </c>
    </row>
    <row r="240" spans="1:13" x14ac:dyDescent="0.4">
      <c r="A240" s="35">
        <v>236</v>
      </c>
      <c r="B240" s="47" t="s">
        <v>80</v>
      </c>
      <c r="C240" s="48" t="s">
        <v>94</v>
      </c>
      <c r="D240" s="48" t="s">
        <v>127</v>
      </c>
      <c r="E240" s="49" t="s">
        <v>173</v>
      </c>
      <c r="F240" s="62">
        <v>44288</v>
      </c>
      <c r="G240" s="66">
        <v>44289.6421527778</v>
      </c>
      <c r="H240" s="51" t="s">
        <v>257</v>
      </c>
      <c r="I240" s="52"/>
      <c r="J240" s="53"/>
      <c r="K240" s="47" t="s">
        <v>85</v>
      </c>
      <c r="L240" s="65">
        <v>12000</v>
      </c>
      <c r="M240" s="56" t="s">
        <v>86</v>
      </c>
    </row>
    <row r="241" spans="1:13" x14ac:dyDescent="0.4">
      <c r="A241" s="35">
        <v>237</v>
      </c>
      <c r="B241" s="47" t="s">
        <v>80</v>
      </c>
      <c r="C241" s="48" t="s">
        <v>94</v>
      </c>
      <c r="D241" s="48" t="s">
        <v>128</v>
      </c>
      <c r="E241" s="49" t="s">
        <v>173</v>
      </c>
      <c r="F241" s="62">
        <v>44288</v>
      </c>
      <c r="G241" s="66">
        <v>44289.6421527778</v>
      </c>
      <c r="H241" s="51" t="s">
        <v>257</v>
      </c>
      <c r="I241" s="52"/>
      <c r="J241" s="53"/>
      <c r="K241" s="47" t="s">
        <v>85</v>
      </c>
      <c r="L241" s="65">
        <v>12000</v>
      </c>
      <c r="M241" s="56" t="s">
        <v>86</v>
      </c>
    </row>
    <row r="242" spans="1:13" x14ac:dyDescent="0.4">
      <c r="A242" s="35">
        <v>238</v>
      </c>
      <c r="B242" s="47" t="s">
        <v>80</v>
      </c>
      <c r="C242" s="48" t="s">
        <v>94</v>
      </c>
      <c r="D242" s="48" t="s">
        <v>129</v>
      </c>
      <c r="E242" s="49" t="s">
        <v>173</v>
      </c>
      <c r="F242" s="62">
        <v>44288</v>
      </c>
      <c r="G242" s="66">
        <v>44289.6421527778</v>
      </c>
      <c r="H242" s="51" t="s">
        <v>257</v>
      </c>
      <c r="I242" s="52"/>
      <c r="J242" s="53"/>
      <c r="K242" s="47" t="s">
        <v>85</v>
      </c>
      <c r="L242" s="65">
        <v>12000</v>
      </c>
      <c r="M242" s="56" t="s">
        <v>86</v>
      </c>
    </row>
    <row r="243" spans="1:13" x14ac:dyDescent="0.4">
      <c r="A243" s="35">
        <v>239</v>
      </c>
      <c r="B243" s="47" t="s">
        <v>80</v>
      </c>
      <c r="C243" s="48" t="s">
        <v>94</v>
      </c>
      <c r="D243" s="48" t="s">
        <v>130</v>
      </c>
      <c r="E243" s="49" t="s">
        <v>173</v>
      </c>
      <c r="F243" s="62">
        <v>44288</v>
      </c>
      <c r="G243" s="66">
        <v>44289.6421527778</v>
      </c>
      <c r="H243" s="51" t="s">
        <v>257</v>
      </c>
      <c r="I243" s="52"/>
      <c r="J243" s="53"/>
      <c r="K243" s="47" t="s">
        <v>85</v>
      </c>
      <c r="L243" s="65">
        <v>12000</v>
      </c>
      <c r="M243" s="56" t="s">
        <v>86</v>
      </c>
    </row>
    <row r="244" spans="1:13" x14ac:dyDescent="0.4">
      <c r="A244" s="35">
        <v>240</v>
      </c>
      <c r="B244" s="47" t="s">
        <v>80</v>
      </c>
      <c r="C244" s="48" t="s">
        <v>94</v>
      </c>
      <c r="D244" s="48" t="s">
        <v>131</v>
      </c>
      <c r="E244" s="49" t="s">
        <v>173</v>
      </c>
      <c r="F244" s="62">
        <v>44288</v>
      </c>
      <c r="G244" s="66">
        <v>44289.6421527778</v>
      </c>
      <c r="H244" s="51" t="s">
        <v>257</v>
      </c>
      <c r="I244" s="52"/>
      <c r="J244" s="53"/>
      <c r="K244" s="47" t="s">
        <v>85</v>
      </c>
      <c r="L244" s="65">
        <v>12000</v>
      </c>
      <c r="M244" s="56" t="s">
        <v>86</v>
      </c>
    </row>
    <row r="245" spans="1:13" x14ac:dyDescent="0.4">
      <c r="A245" s="35">
        <v>241</v>
      </c>
      <c r="B245" s="47" t="s">
        <v>80</v>
      </c>
      <c r="C245" s="48" t="s">
        <v>94</v>
      </c>
      <c r="D245" s="48" t="s">
        <v>132</v>
      </c>
      <c r="E245" s="49" t="s">
        <v>173</v>
      </c>
      <c r="F245" s="62">
        <v>44288</v>
      </c>
      <c r="G245" s="66">
        <v>44289.6421527778</v>
      </c>
      <c r="H245" s="51" t="s">
        <v>257</v>
      </c>
      <c r="I245" s="52"/>
      <c r="J245" s="53"/>
      <c r="K245" s="47" t="s">
        <v>85</v>
      </c>
      <c r="L245" s="65">
        <v>12000</v>
      </c>
      <c r="M245" s="56" t="s">
        <v>86</v>
      </c>
    </row>
    <row r="246" spans="1:13" x14ac:dyDescent="0.4">
      <c r="A246" s="35">
        <v>242</v>
      </c>
      <c r="B246" s="47" t="s">
        <v>80</v>
      </c>
      <c r="C246" s="48" t="s">
        <v>94</v>
      </c>
      <c r="D246" s="48" t="s">
        <v>133</v>
      </c>
      <c r="E246" s="49" t="s">
        <v>173</v>
      </c>
      <c r="F246" s="62">
        <v>44288</v>
      </c>
      <c r="G246" s="66">
        <v>44289.6421527778</v>
      </c>
      <c r="H246" s="51" t="s">
        <v>257</v>
      </c>
      <c r="I246" s="52"/>
      <c r="J246" s="53"/>
      <c r="K246" s="47" t="s">
        <v>85</v>
      </c>
      <c r="L246" s="65">
        <v>12000</v>
      </c>
      <c r="M246" s="56" t="s">
        <v>86</v>
      </c>
    </row>
    <row r="247" spans="1:13" x14ac:dyDescent="0.4">
      <c r="A247" s="35">
        <v>243</v>
      </c>
      <c r="B247" s="47" t="s">
        <v>80</v>
      </c>
      <c r="C247" s="48" t="s">
        <v>94</v>
      </c>
      <c r="D247" s="48" t="s">
        <v>134</v>
      </c>
      <c r="E247" s="49" t="s">
        <v>173</v>
      </c>
      <c r="F247" s="62">
        <v>44288</v>
      </c>
      <c r="G247" s="66">
        <v>44289.6421527778</v>
      </c>
      <c r="H247" s="51" t="s">
        <v>257</v>
      </c>
      <c r="I247" s="52"/>
      <c r="J247" s="53"/>
      <c r="K247" s="47" t="s">
        <v>85</v>
      </c>
      <c r="L247" s="65">
        <v>12000</v>
      </c>
      <c r="M247" s="56" t="s">
        <v>86</v>
      </c>
    </row>
    <row r="248" spans="1:13" x14ac:dyDescent="0.4">
      <c r="A248" s="35">
        <v>244</v>
      </c>
      <c r="B248" s="47" t="s">
        <v>80</v>
      </c>
      <c r="C248" s="48" t="s">
        <v>94</v>
      </c>
      <c r="D248" s="48" t="s">
        <v>135</v>
      </c>
      <c r="E248" s="49" t="s">
        <v>173</v>
      </c>
      <c r="F248" s="62">
        <v>44288</v>
      </c>
      <c r="G248" s="66">
        <v>44289.6421527778</v>
      </c>
      <c r="H248" s="51" t="s">
        <v>257</v>
      </c>
      <c r="I248" s="52"/>
      <c r="J248" s="53"/>
      <c r="K248" s="47" t="s">
        <v>85</v>
      </c>
      <c r="L248" s="65">
        <v>12000</v>
      </c>
      <c r="M248" s="56" t="s">
        <v>86</v>
      </c>
    </row>
    <row r="249" spans="1:13" x14ac:dyDescent="0.4">
      <c r="A249" s="35">
        <v>245</v>
      </c>
      <c r="B249" s="47" t="s">
        <v>80</v>
      </c>
      <c r="C249" s="48" t="s">
        <v>94</v>
      </c>
      <c r="D249" s="48" t="s">
        <v>136</v>
      </c>
      <c r="E249" s="49" t="s">
        <v>173</v>
      </c>
      <c r="F249" s="62">
        <v>44288</v>
      </c>
      <c r="G249" s="66">
        <v>44289.6421527778</v>
      </c>
      <c r="H249" s="51" t="s">
        <v>257</v>
      </c>
      <c r="I249" s="52"/>
      <c r="J249" s="53"/>
      <c r="K249" s="47" t="s">
        <v>85</v>
      </c>
      <c r="L249" s="65">
        <v>12000</v>
      </c>
      <c r="M249" s="56" t="s">
        <v>86</v>
      </c>
    </row>
    <row r="250" spans="1:13" x14ac:dyDescent="0.4">
      <c r="A250" s="35">
        <v>246</v>
      </c>
      <c r="B250" s="47" t="s">
        <v>80</v>
      </c>
      <c r="C250" s="48" t="s">
        <v>94</v>
      </c>
      <c r="D250" s="48" t="s">
        <v>137</v>
      </c>
      <c r="E250" s="49" t="s">
        <v>173</v>
      </c>
      <c r="F250" s="62">
        <v>44288</v>
      </c>
      <c r="G250" s="66">
        <v>44289.6421527778</v>
      </c>
      <c r="H250" s="51" t="s">
        <v>257</v>
      </c>
      <c r="I250" s="52"/>
      <c r="J250" s="53"/>
      <c r="K250" s="47" t="s">
        <v>85</v>
      </c>
      <c r="L250" s="65">
        <v>12000</v>
      </c>
      <c r="M250" s="56" t="s">
        <v>86</v>
      </c>
    </row>
    <row r="251" spans="1:13" x14ac:dyDescent="0.4">
      <c r="A251" s="35">
        <v>247</v>
      </c>
      <c r="B251" s="47" t="s">
        <v>80</v>
      </c>
      <c r="C251" s="48" t="s">
        <v>94</v>
      </c>
      <c r="D251" s="48" t="s">
        <v>138</v>
      </c>
      <c r="E251" s="49" t="s">
        <v>173</v>
      </c>
      <c r="F251" s="62">
        <v>44288</v>
      </c>
      <c r="G251" s="66">
        <v>44289.6421527778</v>
      </c>
      <c r="H251" s="51" t="s">
        <v>257</v>
      </c>
      <c r="I251" s="52"/>
      <c r="J251" s="53"/>
      <c r="K251" s="47" t="s">
        <v>85</v>
      </c>
      <c r="L251" s="65">
        <v>12000</v>
      </c>
      <c r="M251" s="56" t="s">
        <v>86</v>
      </c>
    </row>
    <row r="252" spans="1:13" x14ac:dyDescent="0.4">
      <c r="A252" s="35">
        <v>248</v>
      </c>
      <c r="B252" s="47" t="s">
        <v>80</v>
      </c>
      <c r="C252" s="48" t="s">
        <v>94</v>
      </c>
      <c r="D252" s="48" t="s">
        <v>139</v>
      </c>
      <c r="E252" s="49" t="s">
        <v>173</v>
      </c>
      <c r="F252" s="62">
        <v>44288</v>
      </c>
      <c r="G252" s="66">
        <v>44289.6421527778</v>
      </c>
      <c r="H252" s="51" t="s">
        <v>257</v>
      </c>
      <c r="I252" s="52"/>
      <c r="J252" s="53"/>
      <c r="K252" s="47" t="s">
        <v>85</v>
      </c>
      <c r="L252" s="65">
        <v>12000</v>
      </c>
      <c r="M252" s="56" t="s">
        <v>86</v>
      </c>
    </row>
    <row r="253" spans="1:13" x14ac:dyDescent="0.4">
      <c r="A253" s="35">
        <v>249</v>
      </c>
      <c r="B253" s="47" t="s">
        <v>80</v>
      </c>
      <c r="C253" s="48" t="s">
        <v>94</v>
      </c>
      <c r="D253" s="48" t="s">
        <v>140</v>
      </c>
      <c r="E253" s="49" t="s">
        <v>173</v>
      </c>
      <c r="F253" s="62">
        <v>44288</v>
      </c>
      <c r="G253" s="66">
        <v>44289.6421527778</v>
      </c>
      <c r="H253" s="51" t="s">
        <v>257</v>
      </c>
      <c r="I253" s="52"/>
      <c r="J253" s="53"/>
      <c r="K253" s="47" t="s">
        <v>85</v>
      </c>
      <c r="L253" s="65">
        <v>12000</v>
      </c>
      <c r="M253" s="56" t="s">
        <v>86</v>
      </c>
    </row>
    <row r="254" spans="1:13" x14ac:dyDescent="0.4">
      <c r="A254" s="35">
        <v>250</v>
      </c>
      <c r="B254" s="47" t="s">
        <v>80</v>
      </c>
      <c r="C254" s="48" t="s">
        <v>94</v>
      </c>
      <c r="D254" s="48" t="s">
        <v>141</v>
      </c>
      <c r="E254" s="49" t="s">
        <v>173</v>
      </c>
      <c r="F254" s="62">
        <v>44288</v>
      </c>
      <c r="G254" s="66">
        <v>44289.6421527778</v>
      </c>
      <c r="H254" s="51" t="s">
        <v>257</v>
      </c>
      <c r="I254" s="52"/>
      <c r="J254" s="53"/>
      <c r="K254" s="47" t="s">
        <v>85</v>
      </c>
      <c r="L254" s="65">
        <v>12000</v>
      </c>
      <c r="M254" s="56" t="s">
        <v>86</v>
      </c>
    </row>
    <row r="255" spans="1:13" x14ac:dyDescent="0.4">
      <c r="A255" s="35">
        <v>251</v>
      </c>
      <c r="B255" s="47" t="s">
        <v>80</v>
      </c>
      <c r="C255" s="48" t="s">
        <v>94</v>
      </c>
      <c r="D255" s="48" t="s">
        <v>142</v>
      </c>
      <c r="E255" s="49" t="s">
        <v>173</v>
      </c>
      <c r="F255" s="62">
        <v>44288</v>
      </c>
      <c r="G255" s="66">
        <v>44289.6421527778</v>
      </c>
      <c r="H255" s="51" t="s">
        <v>257</v>
      </c>
      <c r="I255" s="52"/>
      <c r="J255" s="53"/>
      <c r="K255" s="47" t="s">
        <v>85</v>
      </c>
      <c r="L255" s="65">
        <v>12000</v>
      </c>
      <c r="M255" s="56" t="s">
        <v>86</v>
      </c>
    </row>
    <row r="256" spans="1:13" x14ac:dyDescent="0.4">
      <c r="A256" s="35">
        <v>252</v>
      </c>
      <c r="B256" s="47" t="s">
        <v>80</v>
      </c>
      <c r="C256" s="48" t="s">
        <v>94</v>
      </c>
      <c r="D256" s="48" t="s">
        <v>143</v>
      </c>
      <c r="E256" s="49" t="s">
        <v>173</v>
      </c>
      <c r="F256" s="62">
        <v>44288</v>
      </c>
      <c r="G256" s="66">
        <v>44289.6421527778</v>
      </c>
      <c r="H256" s="51" t="s">
        <v>257</v>
      </c>
      <c r="I256" s="52"/>
      <c r="J256" s="53"/>
      <c r="K256" s="47" t="s">
        <v>85</v>
      </c>
      <c r="L256" s="65">
        <v>12000</v>
      </c>
      <c r="M256" s="56" t="s">
        <v>86</v>
      </c>
    </row>
    <row r="257" spans="1:13" x14ac:dyDescent="0.4">
      <c r="A257" s="35">
        <v>253</v>
      </c>
      <c r="B257" s="47" t="s">
        <v>80</v>
      </c>
      <c r="C257" s="48" t="s">
        <v>94</v>
      </c>
      <c r="D257" s="48" t="s">
        <v>144</v>
      </c>
      <c r="E257" s="49" t="s">
        <v>173</v>
      </c>
      <c r="F257" s="62">
        <v>44288</v>
      </c>
      <c r="G257" s="66">
        <v>44289.6421527778</v>
      </c>
      <c r="H257" s="51" t="s">
        <v>257</v>
      </c>
      <c r="I257" s="52"/>
      <c r="J257" s="53"/>
      <c r="K257" s="47" t="s">
        <v>85</v>
      </c>
      <c r="L257" s="65">
        <v>12000</v>
      </c>
      <c r="M257" s="56" t="s">
        <v>86</v>
      </c>
    </row>
    <row r="258" spans="1:13" x14ac:dyDescent="0.4">
      <c r="A258" s="35">
        <v>254</v>
      </c>
      <c r="B258" s="47" t="s">
        <v>80</v>
      </c>
      <c r="C258" s="48" t="s">
        <v>94</v>
      </c>
      <c r="D258" s="48" t="s">
        <v>145</v>
      </c>
      <c r="E258" s="49" t="s">
        <v>173</v>
      </c>
      <c r="F258" s="62">
        <v>44288</v>
      </c>
      <c r="G258" s="66">
        <v>44289.6421527778</v>
      </c>
      <c r="H258" s="51" t="s">
        <v>257</v>
      </c>
      <c r="I258" s="52"/>
      <c r="J258" s="53"/>
      <c r="K258" s="47" t="s">
        <v>85</v>
      </c>
      <c r="L258" s="65">
        <v>12000</v>
      </c>
      <c r="M258" s="56" t="s">
        <v>86</v>
      </c>
    </row>
    <row r="259" spans="1:13" x14ac:dyDescent="0.4">
      <c r="A259" s="35">
        <v>255</v>
      </c>
      <c r="B259" s="47" t="s">
        <v>80</v>
      </c>
      <c r="C259" s="48" t="s">
        <v>94</v>
      </c>
      <c r="D259" s="48" t="s">
        <v>146</v>
      </c>
      <c r="E259" s="49" t="s">
        <v>173</v>
      </c>
      <c r="F259" s="62">
        <v>44288</v>
      </c>
      <c r="G259" s="66">
        <v>44289.6421527778</v>
      </c>
      <c r="H259" s="51" t="s">
        <v>257</v>
      </c>
      <c r="I259" s="52"/>
      <c r="J259" s="53"/>
      <c r="K259" s="47" t="s">
        <v>85</v>
      </c>
      <c r="L259" s="65">
        <v>12000</v>
      </c>
      <c r="M259" s="56" t="s">
        <v>86</v>
      </c>
    </row>
    <row r="260" spans="1:13" x14ac:dyDescent="0.4">
      <c r="A260" s="35">
        <v>256</v>
      </c>
      <c r="B260" s="47" t="s">
        <v>80</v>
      </c>
      <c r="C260" s="48" t="s">
        <v>94</v>
      </c>
      <c r="D260" s="48" t="s">
        <v>147</v>
      </c>
      <c r="E260" s="49" t="s">
        <v>173</v>
      </c>
      <c r="F260" s="62">
        <v>44288</v>
      </c>
      <c r="G260" s="66">
        <v>44289.6421527778</v>
      </c>
      <c r="H260" s="51" t="s">
        <v>257</v>
      </c>
      <c r="I260" s="52"/>
      <c r="J260" s="53"/>
      <c r="K260" s="47" t="s">
        <v>85</v>
      </c>
      <c r="L260" s="65">
        <v>12000</v>
      </c>
      <c r="M260" s="56" t="s">
        <v>86</v>
      </c>
    </row>
    <row r="261" spans="1:13" x14ac:dyDescent="0.4">
      <c r="A261" s="35">
        <v>257</v>
      </c>
      <c r="B261" s="47" t="s">
        <v>80</v>
      </c>
      <c r="C261" s="48" t="s">
        <v>94</v>
      </c>
      <c r="D261" s="48" t="s">
        <v>148</v>
      </c>
      <c r="E261" s="49" t="s">
        <v>173</v>
      </c>
      <c r="F261" s="62">
        <v>44288</v>
      </c>
      <c r="G261" s="66">
        <v>44289.6421527778</v>
      </c>
      <c r="H261" s="51" t="s">
        <v>257</v>
      </c>
      <c r="I261" s="52"/>
      <c r="J261" s="53"/>
      <c r="K261" s="47" t="s">
        <v>85</v>
      </c>
      <c r="L261" s="65">
        <v>12000</v>
      </c>
      <c r="M261" s="56" t="s">
        <v>86</v>
      </c>
    </row>
    <row r="262" spans="1:13" x14ac:dyDescent="0.4">
      <c r="A262" s="35">
        <v>258</v>
      </c>
      <c r="B262" s="47" t="s">
        <v>80</v>
      </c>
      <c r="C262" s="48" t="s">
        <v>94</v>
      </c>
      <c r="D262" s="48" t="s">
        <v>149</v>
      </c>
      <c r="E262" s="49" t="s">
        <v>173</v>
      </c>
      <c r="F262" s="62">
        <v>44288</v>
      </c>
      <c r="G262" s="66">
        <v>44289.6421527778</v>
      </c>
      <c r="H262" s="51" t="s">
        <v>257</v>
      </c>
      <c r="I262" s="52"/>
      <c r="J262" s="53"/>
      <c r="K262" s="47" t="s">
        <v>85</v>
      </c>
      <c r="L262" s="65">
        <v>12000</v>
      </c>
      <c r="M262" s="56" t="s">
        <v>86</v>
      </c>
    </row>
    <row r="263" spans="1:13" x14ac:dyDescent="0.4">
      <c r="A263" s="35">
        <v>259</v>
      </c>
      <c r="B263" s="47" t="s">
        <v>80</v>
      </c>
      <c r="C263" s="48" t="s">
        <v>94</v>
      </c>
      <c r="D263" s="48" t="s">
        <v>150</v>
      </c>
      <c r="E263" s="49" t="s">
        <v>173</v>
      </c>
      <c r="F263" s="62">
        <v>44288</v>
      </c>
      <c r="G263" s="66">
        <v>44289.6421527778</v>
      </c>
      <c r="H263" s="51" t="s">
        <v>257</v>
      </c>
      <c r="I263" s="52"/>
      <c r="J263" s="53"/>
      <c r="K263" s="47" t="s">
        <v>85</v>
      </c>
      <c r="L263" s="65">
        <v>12000</v>
      </c>
      <c r="M263" s="56" t="s">
        <v>86</v>
      </c>
    </row>
    <row r="264" spans="1:13" x14ac:dyDescent="0.4">
      <c r="A264" s="35">
        <v>260</v>
      </c>
      <c r="B264" s="47" t="s">
        <v>80</v>
      </c>
      <c r="C264" s="48" t="s">
        <v>94</v>
      </c>
      <c r="D264" s="48" t="s">
        <v>151</v>
      </c>
      <c r="E264" s="49" t="s">
        <v>173</v>
      </c>
      <c r="F264" s="62">
        <v>44288</v>
      </c>
      <c r="G264" s="66">
        <v>44289.6421527778</v>
      </c>
      <c r="H264" s="51" t="s">
        <v>257</v>
      </c>
      <c r="I264" s="52"/>
      <c r="J264" s="53"/>
      <c r="K264" s="47" t="s">
        <v>85</v>
      </c>
      <c r="L264" s="65">
        <v>12000</v>
      </c>
      <c r="M264" s="56" t="s">
        <v>86</v>
      </c>
    </row>
    <row r="265" spans="1:13" ht="14.15" x14ac:dyDescent="0.35">
      <c r="A265" s="35">
        <v>261</v>
      </c>
      <c r="B265" s="47" t="s">
        <v>80</v>
      </c>
      <c r="C265" s="48" t="s">
        <v>94</v>
      </c>
      <c r="D265" s="48" t="s">
        <v>152</v>
      </c>
      <c r="E265" s="49" t="s">
        <v>173</v>
      </c>
      <c r="F265" s="62">
        <v>44288</v>
      </c>
      <c r="G265" s="66">
        <v>44289.6421527778</v>
      </c>
      <c r="H265" s="51" t="s">
        <v>257</v>
      </c>
      <c r="I265" s="69" t="s">
        <v>321</v>
      </c>
      <c r="J265" s="69" t="s">
        <v>331</v>
      </c>
      <c r="K265" s="47" t="s">
        <v>85</v>
      </c>
      <c r="L265" s="65">
        <v>12000</v>
      </c>
      <c r="M265" s="56" t="s">
        <v>86</v>
      </c>
    </row>
    <row r="266" spans="1:13" x14ac:dyDescent="0.4">
      <c r="A266" s="35">
        <v>262</v>
      </c>
      <c r="B266" s="47" t="s">
        <v>80</v>
      </c>
      <c r="C266" s="48" t="s">
        <v>94</v>
      </c>
      <c r="D266" s="48" t="s">
        <v>153</v>
      </c>
      <c r="E266" s="49" t="s">
        <v>173</v>
      </c>
      <c r="F266" s="62">
        <v>44288</v>
      </c>
      <c r="G266" s="66">
        <v>44289.6421527778</v>
      </c>
      <c r="H266" s="51" t="s">
        <v>257</v>
      </c>
      <c r="I266" s="52"/>
      <c r="J266" s="53"/>
      <c r="K266" s="47" t="s">
        <v>85</v>
      </c>
      <c r="L266" s="65">
        <v>12000</v>
      </c>
      <c r="M266" s="56" t="s">
        <v>86</v>
      </c>
    </row>
    <row r="267" spans="1:13" x14ac:dyDescent="0.4">
      <c r="A267" s="35">
        <v>263</v>
      </c>
      <c r="B267" s="47" t="s">
        <v>80</v>
      </c>
      <c r="C267" s="48" t="s">
        <v>94</v>
      </c>
      <c r="D267" s="48" t="s">
        <v>154</v>
      </c>
      <c r="E267" s="49" t="s">
        <v>173</v>
      </c>
      <c r="F267" s="62">
        <v>44288</v>
      </c>
      <c r="G267" s="66">
        <v>44289.6421527778</v>
      </c>
      <c r="H267" s="51" t="s">
        <v>257</v>
      </c>
      <c r="I267" s="52"/>
      <c r="J267" s="53"/>
      <c r="K267" s="47" t="s">
        <v>85</v>
      </c>
      <c r="L267" s="65">
        <v>12000</v>
      </c>
      <c r="M267" s="56" t="s">
        <v>86</v>
      </c>
    </row>
    <row r="268" spans="1:13" x14ac:dyDescent="0.4">
      <c r="A268" s="35">
        <v>264</v>
      </c>
      <c r="B268" s="47" t="s">
        <v>80</v>
      </c>
      <c r="C268" s="48" t="s">
        <v>94</v>
      </c>
      <c r="D268" s="48" t="s">
        <v>155</v>
      </c>
      <c r="E268" s="49" t="s">
        <v>173</v>
      </c>
      <c r="F268" s="62">
        <v>44288</v>
      </c>
      <c r="G268" s="66">
        <v>44289.6421527778</v>
      </c>
      <c r="H268" s="51" t="s">
        <v>257</v>
      </c>
      <c r="I268" s="52"/>
      <c r="J268" s="53"/>
      <c r="K268" s="47" t="s">
        <v>85</v>
      </c>
      <c r="L268" s="65">
        <v>12000</v>
      </c>
      <c r="M268" s="56" t="s">
        <v>86</v>
      </c>
    </row>
    <row r="269" spans="1:13" x14ac:dyDescent="0.4">
      <c r="A269" s="35">
        <v>265</v>
      </c>
      <c r="B269" s="47" t="s">
        <v>80</v>
      </c>
      <c r="C269" s="48" t="s">
        <v>94</v>
      </c>
      <c r="D269" s="48" t="s">
        <v>156</v>
      </c>
      <c r="E269" s="49" t="s">
        <v>173</v>
      </c>
      <c r="F269" s="62">
        <v>44288</v>
      </c>
      <c r="G269" s="66">
        <v>44289.6421527778</v>
      </c>
      <c r="H269" s="51" t="s">
        <v>257</v>
      </c>
      <c r="I269" s="52"/>
      <c r="J269" s="53"/>
      <c r="K269" s="47" t="s">
        <v>85</v>
      </c>
      <c r="L269" s="65">
        <v>12000</v>
      </c>
      <c r="M269" s="56" t="s">
        <v>86</v>
      </c>
    </row>
    <row r="270" spans="1:13" x14ac:dyDescent="0.4">
      <c r="A270" s="35">
        <v>266</v>
      </c>
      <c r="B270" s="47" t="s">
        <v>80</v>
      </c>
      <c r="C270" s="48" t="s">
        <v>94</v>
      </c>
      <c r="D270" s="48" t="s">
        <v>157</v>
      </c>
      <c r="E270" s="49" t="s">
        <v>173</v>
      </c>
      <c r="F270" s="62">
        <v>44288</v>
      </c>
      <c r="G270" s="66">
        <v>44289.6421527778</v>
      </c>
      <c r="H270" s="51" t="s">
        <v>257</v>
      </c>
      <c r="I270" s="52"/>
      <c r="J270" s="53"/>
      <c r="K270" s="47" t="s">
        <v>85</v>
      </c>
      <c r="L270" s="65">
        <v>12000</v>
      </c>
      <c r="M270" s="56" t="s">
        <v>86</v>
      </c>
    </row>
    <row r="271" spans="1:13" x14ac:dyDescent="0.4">
      <c r="A271" s="35">
        <v>267</v>
      </c>
      <c r="B271" s="47" t="s">
        <v>80</v>
      </c>
      <c r="C271" s="48" t="s">
        <v>94</v>
      </c>
      <c r="D271" s="48" t="s">
        <v>158</v>
      </c>
      <c r="E271" s="49" t="s">
        <v>173</v>
      </c>
      <c r="F271" s="62">
        <v>44288</v>
      </c>
      <c r="G271" s="66">
        <v>44289.6421527778</v>
      </c>
      <c r="H271" s="51" t="s">
        <v>257</v>
      </c>
      <c r="I271" s="52"/>
      <c r="J271" s="53"/>
      <c r="K271" s="47" t="s">
        <v>85</v>
      </c>
      <c r="L271" s="65">
        <v>12000</v>
      </c>
      <c r="M271" s="56" t="s">
        <v>86</v>
      </c>
    </row>
    <row r="272" spans="1:13" x14ac:dyDescent="0.4">
      <c r="A272" s="35">
        <v>268</v>
      </c>
      <c r="B272" s="47" t="s">
        <v>80</v>
      </c>
      <c r="C272" s="48" t="s">
        <v>94</v>
      </c>
      <c r="D272" s="48" t="s">
        <v>159</v>
      </c>
      <c r="E272" s="49" t="s">
        <v>173</v>
      </c>
      <c r="F272" s="62">
        <v>44288</v>
      </c>
      <c r="G272" s="66">
        <v>44289.6421527778</v>
      </c>
      <c r="H272" s="51" t="s">
        <v>257</v>
      </c>
      <c r="I272" s="52"/>
      <c r="J272" s="53"/>
      <c r="K272" s="47" t="s">
        <v>85</v>
      </c>
      <c r="L272" s="65">
        <v>12000</v>
      </c>
      <c r="M272" s="56" t="s">
        <v>86</v>
      </c>
    </row>
    <row r="273" spans="1:13" x14ac:dyDescent="0.4">
      <c r="A273" s="35">
        <v>269</v>
      </c>
      <c r="B273" s="47" t="s">
        <v>80</v>
      </c>
      <c r="C273" s="48" t="s">
        <v>94</v>
      </c>
      <c r="D273" s="48" t="s">
        <v>160</v>
      </c>
      <c r="E273" s="49" t="s">
        <v>173</v>
      </c>
      <c r="F273" s="62">
        <v>44288</v>
      </c>
      <c r="G273" s="66">
        <v>44289.6421527778</v>
      </c>
      <c r="H273" s="51" t="s">
        <v>257</v>
      </c>
      <c r="I273" s="52"/>
      <c r="J273" s="53"/>
      <c r="K273" s="47" t="s">
        <v>85</v>
      </c>
      <c r="L273" s="65">
        <v>12000</v>
      </c>
      <c r="M273" s="56" t="s">
        <v>86</v>
      </c>
    </row>
    <row r="274" spans="1:13" x14ac:dyDescent="0.4">
      <c r="A274" s="35">
        <v>270</v>
      </c>
      <c r="B274" s="47" t="s">
        <v>80</v>
      </c>
      <c r="C274" s="48" t="s">
        <v>94</v>
      </c>
      <c r="D274" s="48" t="s">
        <v>163</v>
      </c>
      <c r="E274" s="49" t="s">
        <v>173</v>
      </c>
      <c r="F274" s="62">
        <v>44288</v>
      </c>
      <c r="G274" s="66">
        <v>44289.6421527778</v>
      </c>
      <c r="H274" s="51" t="s">
        <v>257</v>
      </c>
      <c r="I274" s="52"/>
      <c r="J274" s="53"/>
      <c r="K274" s="47" t="s">
        <v>85</v>
      </c>
      <c r="L274" s="65">
        <v>12000</v>
      </c>
      <c r="M274" s="56" t="s">
        <v>86</v>
      </c>
    </row>
    <row r="275" spans="1:13" ht="14.15" x14ac:dyDescent="0.35">
      <c r="A275" s="35">
        <v>271</v>
      </c>
      <c r="B275" s="47" t="s">
        <v>80</v>
      </c>
      <c r="C275" s="48" t="s">
        <v>94</v>
      </c>
      <c r="D275" s="48" t="s">
        <v>164</v>
      </c>
      <c r="E275" s="49" t="s">
        <v>173</v>
      </c>
      <c r="F275" s="62">
        <v>44288</v>
      </c>
      <c r="G275" s="66">
        <v>44289.6421527778</v>
      </c>
      <c r="H275" s="51" t="s">
        <v>257</v>
      </c>
      <c r="I275" s="69" t="s">
        <v>332</v>
      </c>
      <c r="J275" s="69" t="s">
        <v>333</v>
      </c>
      <c r="K275" s="47" t="s">
        <v>85</v>
      </c>
      <c r="L275" s="65">
        <v>12000</v>
      </c>
      <c r="M275" s="56" t="s">
        <v>86</v>
      </c>
    </row>
    <row r="276" spans="1:13" x14ac:dyDescent="0.4">
      <c r="A276" s="35">
        <v>272</v>
      </c>
      <c r="B276" s="47" t="s">
        <v>80</v>
      </c>
      <c r="C276" s="48" t="s">
        <v>94</v>
      </c>
      <c r="D276" s="48" t="s">
        <v>165</v>
      </c>
      <c r="E276" s="49" t="s">
        <v>173</v>
      </c>
      <c r="F276" s="62">
        <v>44288</v>
      </c>
      <c r="G276" s="66">
        <v>44289.6421527778</v>
      </c>
      <c r="H276" s="51" t="s">
        <v>257</v>
      </c>
      <c r="I276" s="52"/>
      <c r="J276" s="53"/>
      <c r="K276" s="47" t="s">
        <v>85</v>
      </c>
      <c r="L276" s="65">
        <v>12000</v>
      </c>
      <c r="M276" s="56" t="s">
        <v>86</v>
      </c>
    </row>
    <row r="277" spans="1:13" x14ac:dyDescent="0.4">
      <c r="A277" s="35">
        <v>273</v>
      </c>
      <c r="B277" s="47" t="s">
        <v>80</v>
      </c>
      <c r="C277" s="48" t="s">
        <v>94</v>
      </c>
      <c r="D277" s="48" t="s">
        <v>166</v>
      </c>
      <c r="E277" s="49" t="s">
        <v>173</v>
      </c>
      <c r="F277" s="62">
        <v>44288</v>
      </c>
      <c r="G277" s="66">
        <v>44289.6421527778</v>
      </c>
      <c r="H277" s="51" t="s">
        <v>257</v>
      </c>
      <c r="I277" s="52"/>
      <c r="J277" s="53"/>
      <c r="K277" s="47" t="s">
        <v>85</v>
      </c>
      <c r="L277" s="65">
        <v>12000</v>
      </c>
      <c r="M277" s="56" t="s">
        <v>86</v>
      </c>
    </row>
    <row r="278" spans="1:13" x14ac:dyDescent="0.4">
      <c r="A278" s="35">
        <v>274</v>
      </c>
      <c r="B278" s="47" t="s">
        <v>80</v>
      </c>
      <c r="C278" s="48" t="s">
        <v>94</v>
      </c>
      <c r="D278" s="48" t="s">
        <v>167</v>
      </c>
      <c r="E278" s="49" t="s">
        <v>173</v>
      </c>
      <c r="F278" s="62">
        <v>44288</v>
      </c>
      <c r="G278" s="66">
        <v>44289.6421527778</v>
      </c>
      <c r="H278" s="51" t="s">
        <v>257</v>
      </c>
      <c r="I278" s="52"/>
      <c r="J278" s="53"/>
      <c r="K278" s="47" t="s">
        <v>85</v>
      </c>
      <c r="L278" s="65">
        <v>12000</v>
      </c>
      <c r="M278" s="56" t="s">
        <v>86</v>
      </c>
    </row>
    <row r="279" spans="1:13" x14ac:dyDescent="0.4">
      <c r="A279" s="35">
        <v>275</v>
      </c>
      <c r="B279" s="47" t="s">
        <v>80</v>
      </c>
      <c r="C279" s="48" t="s">
        <v>94</v>
      </c>
      <c r="D279" s="48" t="s">
        <v>168</v>
      </c>
      <c r="E279" s="49" t="s">
        <v>173</v>
      </c>
      <c r="F279" s="62">
        <v>44288</v>
      </c>
      <c r="G279" s="66">
        <v>44289.6421527778</v>
      </c>
      <c r="H279" s="51" t="s">
        <v>257</v>
      </c>
      <c r="I279" s="52"/>
      <c r="J279" s="53"/>
      <c r="K279" s="47" t="s">
        <v>85</v>
      </c>
      <c r="L279" s="65">
        <v>12000</v>
      </c>
      <c r="M279" s="56" t="s">
        <v>86</v>
      </c>
    </row>
    <row r="280" spans="1:13" x14ac:dyDescent="0.4">
      <c r="A280" s="35">
        <v>276</v>
      </c>
      <c r="B280" s="47" t="s">
        <v>80</v>
      </c>
      <c r="C280" s="48" t="s">
        <v>94</v>
      </c>
      <c r="D280" s="48" t="s">
        <v>169</v>
      </c>
      <c r="E280" s="49" t="s">
        <v>173</v>
      </c>
      <c r="F280" s="62">
        <v>44288</v>
      </c>
      <c r="G280" s="66">
        <v>44289.6421527778</v>
      </c>
      <c r="H280" s="51" t="s">
        <v>257</v>
      </c>
      <c r="I280" s="52"/>
      <c r="J280" s="53"/>
      <c r="K280" s="47" t="s">
        <v>85</v>
      </c>
      <c r="L280" s="65">
        <v>12000</v>
      </c>
      <c r="M280" s="56" t="s">
        <v>86</v>
      </c>
    </row>
    <row r="281" spans="1:13" x14ac:dyDescent="0.4">
      <c r="A281" s="35">
        <v>277</v>
      </c>
      <c r="B281" s="47" t="s">
        <v>80</v>
      </c>
      <c r="C281" s="48" t="s">
        <v>94</v>
      </c>
      <c r="D281" s="48" t="s">
        <v>170</v>
      </c>
      <c r="E281" s="49" t="s">
        <v>173</v>
      </c>
      <c r="F281" s="75">
        <v>44288</v>
      </c>
      <c r="G281" s="66">
        <v>44289.6421527778</v>
      </c>
      <c r="H281" s="51" t="s">
        <v>257</v>
      </c>
      <c r="I281" s="52"/>
      <c r="J281" s="53"/>
      <c r="K281" s="47" t="s">
        <v>85</v>
      </c>
      <c r="L281" s="65">
        <v>12000</v>
      </c>
      <c r="M281" s="56" t="s">
        <v>86</v>
      </c>
    </row>
    <row r="282" spans="1:13" x14ac:dyDescent="0.4">
      <c r="A282" s="35">
        <v>278</v>
      </c>
      <c r="B282" s="47" t="s">
        <v>80</v>
      </c>
      <c r="C282" s="48" t="s">
        <v>266</v>
      </c>
      <c r="D282" s="48" t="s">
        <v>185</v>
      </c>
      <c r="E282" s="49" t="s">
        <v>173</v>
      </c>
      <c r="F282" s="64">
        <v>44299.999988425901</v>
      </c>
      <c r="G282" s="64">
        <v>44299.672569444403</v>
      </c>
      <c r="H282" s="51" t="s">
        <v>257</v>
      </c>
      <c r="I282" s="69" t="s">
        <v>334</v>
      </c>
      <c r="J282" s="69" t="s">
        <v>335</v>
      </c>
      <c r="K282" s="47" t="s">
        <v>85</v>
      </c>
      <c r="L282" s="65">
        <v>12000</v>
      </c>
      <c r="M282" s="56" t="s">
        <v>86</v>
      </c>
    </row>
    <row r="283" spans="1:13" x14ac:dyDescent="0.4">
      <c r="A283" s="35">
        <v>279</v>
      </c>
      <c r="B283" s="47" t="s">
        <v>80</v>
      </c>
      <c r="C283" s="48" t="s">
        <v>266</v>
      </c>
      <c r="D283" s="48" t="s">
        <v>193</v>
      </c>
      <c r="E283" s="49" t="s">
        <v>173</v>
      </c>
      <c r="F283" s="64">
        <v>44299.999988425901</v>
      </c>
      <c r="G283" s="64">
        <v>44299.672569444403</v>
      </c>
      <c r="H283" s="51" t="s">
        <v>257</v>
      </c>
      <c r="I283" s="69" t="s">
        <v>334</v>
      </c>
      <c r="J283" s="69" t="s">
        <v>336</v>
      </c>
      <c r="K283" s="47" t="s">
        <v>85</v>
      </c>
      <c r="L283" s="65">
        <v>12000</v>
      </c>
      <c r="M283" s="56" t="s">
        <v>86</v>
      </c>
    </row>
    <row r="284" spans="1:13" x14ac:dyDescent="0.4">
      <c r="A284" s="35">
        <v>280</v>
      </c>
      <c r="B284" s="47" t="s">
        <v>80</v>
      </c>
      <c r="C284" s="48" t="s">
        <v>81</v>
      </c>
      <c r="D284" s="48" t="s">
        <v>273</v>
      </c>
      <c r="E284" s="49" t="s">
        <v>173</v>
      </c>
      <c r="F284" s="62">
        <v>44302.999988425901</v>
      </c>
      <c r="G284" s="64">
        <v>44302.721643518496</v>
      </c>
      <c r="H284" s="51" t="s">
        <v>257</v>
      </c>
      <c r="I284" s="69" t="s">
        <v>337</v>
      </c>
      <c r="J284" s="69" t="s">
        <v>338</v>
      </c>
      <c r="K284" s="47" t="s">
        <v>85</v>
      </c>
      <c r="L284" s="65">
        <v>12000</v>
      </c>
      <c r="M284" s="56" t="s">
        <v>86</v>
      </c>
    </row>
    <row r="285" spans="1:13" x14ac:dyDescent="0.4">
      <c r="A285" s="35">
        <v>281</v>
      </c>
      <c r="B285" s="47" t="s">
        <v>80</v>
      </c>
      <c r="C285" s="48" t="s">
        <v>81</v>
      </c>
      <c r="D285" s="48" t="s">
        <v>274</v>
      </c>
      <c r="E285" s="49" t="s">
        <v>173</v>
      </c>
      <c r="F285" s="62">
        <v>44302.999988425901</v>
      </c>
      <c r="G285" s="64">
        <v>44302.721643518496</v>
      </c>
      <c r="H285" s="51" t="s">
        <v>257</v>
      </c>
      <c r="I285" s="69" t="s">
        <v>339</v>
      </c>
      <c r="J285" s="69" t="s">
        <v>340</v>
      </c>
      <c r="K285" s="47" t="s">
        <v>85</v>
      </c>
      <c r="L285" s="65">
        <v>12000</v>
      </c>
      <c r="M285" s="56" t="s">
        <v>86</v>
      </c>
    </row>
    <row r="286" spans="1:13" x14ac:dyDescent="0.4">
      <c r="A286" s="35">
        <v>282</v>
      </c>
      <c r="B286" s="47" t="s">
        <v>80</v>
      </c>
      <c r="C286" s="48" t="s">
        <v>81</v>
      </c>
      <c r="D286" s="48" t="s">
        <v>123</v>
      </c>
      <c r="E286" s="49" t="s">
        <v>173</v>
      </c>
      <c r="F286" s="62">
        <v>44302.999988425901</v>
      </c>
      <c r="G286" s="64">
        <v>44302.721643518496</v>
      </c>
      <c r="H286" s="51" t="s">
        <v>257</v>
      </c>
      <c r="I286" s="69" t="s">
        <v>341</v>
      </c>
      <c r="J286" s="69" t="s">
        <v>342</v>
      </c>
      <c r="K286" s="47" t="s">
        <v>85</v>
      </c>
      <c r="L286" s="65">
        <v>12000</v>
      </c>
      <c r="M286" s="56" t="s">
        <v>86</v>
      </c>
    </row>
    <row r="287" spans="1:13" x14ac:dyDescent="0.4">
      <c r="A287" s="35">
        <v>283</v>
      </c>
      <c r="B287" s="47" t="s">
        <v>80</v>
      </c>
      <c r="C287" s="48" t="s">
        <v>81</v>
      </c>
      <c r="D287" s="48" t="s">
        <v>124</v>
      </c>
      <c r="E287" s="49" t="s">
        <v>173</v>
      </c>
      <c r="F287" s="62">
        <v>44302.999988425901</v>
      </c>
      <c r="G287" s="64">
        <v>44302.721643518496</v>
      </c>
      <c r="H287" s="51" t="s">
        <v>257</v>
      </c>
      <c r="I287" s="69" t="s">
        <v>343</v>
      </c>
      <c r="J287" s="69" t="s">
        <v>344</v>
      </c>
      <c r="K287" s="47" t="s">
        <v>85</v>
      </c>
      <c r="L287" s="65">
        <v>12000</v>
      </c>
      <c r="M287" s="56" t="s">
        <v>86</v>
      </c>
    </row>
    <row r="288" spans="1:13" x14ac:dyDescent="0.4">
      <c r="A288" s="35">
        <v>284</v>
      </c>
      <c r="B288" s="47" t="s">
        <v>80</v>
      </c>
      <c r="C288" s="48" t="s">
        <v>81</v>
      </c>
      <c r="D288" s="48" t="s">
        <v>125</v>
      </c>
      <c r="E288" s="49" t="s">
        <v>173</v>
      </c>
      <c r="F288" s="62">
        <v>44302.999988425901</v>
      </c>
      <c r="G288" s="64">
        <v>44302.721643518496</v>
      </c>
      <c r="H288" s="51" t="s">
        <v>257</v>
      </c>
      <c r="I288" s="69" t="s">
        <v>337</v>
      </c>
      <c r="J288" s="69" t="s">
        <v>345</v>
      </c>
      <c r="K288" s="47" t="s">
        <v>85</v>
      </c>
      <c r="L288" s="65">
        <v>12000</v>
      </c>
      <c r="M288" s="56" t="s">
        <v>86</v>
      </c>
    </row>
    <row r="289" spans="1:13" x14ac:dyDescent="0.4">
      <c r="A289" s="35">
        <v>285</v>
      </c>
      <c r="B289" s="47" t="s">
        <v>80</v>
      </c>
      <c r="C289" s="48" t="s">
        <v>81</v>
      </c>
      <c r="D289" s="48" t="s">
        <v>126</v>
      </c>
      <c r="E289" s="49" t="s">
        <v>173</v>
      </c>
      <c r="F289" s="75">
        <v>44302.999988425901</v>
      </c>
      <c r="G289" s="64">
        <v>44302.721643518496</v>
      </c>
      <c r="H289" s="51" t="s">
        <v>257</v>
      </c>
      <c r="I289" s="69" t="s">
        <v>346</v>
      </c>
      <c r="J289" s="69" t="s">
        <v>347</v>
      </c>
      <c r="K289" s="47" t="s">
        <v>85</v>
      </c>
      <c r="L289" s="65">
        <v>12000</v>
      </c>
      <c r="M289" s="56" t="s">
        <v>86</v>
      </c>
    </row>
    <row r="290" spans="1:13" x14ac:dyDescent="0.4">
      <c r="A290" s="35">
        <v>286</v>
      </c>
      <c r="B290" s="47" t="s">
        <v>80</v>
      </c>
      <c r="C290" s="48" t="s">
        <v>81</v>
      </c>
      <c r="D290" s="48" t="s">
        <v>246</v>
      </c>
      <c r="E290" s="49" t="s">
        <v>173</v>
      </c>
      <c r="F290" s="64">
        <v>44310.718379629601</v>
      </c>
      <c r="G290" s="64">
        <v>44312.4070601852</v>
      </c>
      <c r="H290" s="51" t="s">
        <v>257</v>
      </c>
      <c r="I290" s="69" t="s">
        <v>348</v>
      </c>
      <c r="J290" s="69" t="s">
        <v>349</v>
      </c>
      <c r="K290" s="47" t="s">
        <v>85</v>
      </c>
      <c r="L290" s="65">
        <v>12000</v>
      </c>
      <c r="M290" s="56" t="s">
        <v>86</v>
      </c>
    </row>
    <row r="291" spans="1:13" x14ac:dyDescent="0.4">
      <c r="A291" s="35">
        <v>287</v>
      </c>
      <c r="B291" s="47" t="s">
        <v>80</v>
      </c>
      <c r="C291" s="48" t="s">
        <v>81</v>
      </c>
      <c r="D291" s="48" t="s">
        <v>185</v>
      </c>
      <c r="E291" s="49" t="s">
        <v>173</v>
      </c>
      <c r="F291" s="64">
        <v>44310.718379629601</v>
      </c>
      <c r="G291" s="64">
        <v>44312.4070601852</v>
      </c>
      <c r="H291" s="51" t="s">
        <v>257</v>
      </c>
      <c r="I291" s="69" t="s">
        <v>348</v>
      </c>
      <c r="J291" s="69" t="s">
        <v>350</v>
      </c>
      <c r="K291" s="47" t="s">
        <v>85</v>
      </c>
      <c r="L291" s="65">
        <v>12000</v>
      </c>
      <c r="M291" s="56" t="s">
        <v>86</v>
      </c>
    </row>
    <row r="292" spans="1:13" x14ac:dyDescent="0.4">
      <c r="A292" s="35">
        <v>288</v>
      </c>
      <c r="B292" s="47" t="s">
        <v>80</v>
      </c>
      <c r="C292" s="48" t="s">
        <v>81</v>
      </c>
      <c r="D292" s="48" t="s">
        <v>172</v>
      </c>
      <c r="E292" s="49" t="s">
        <v>173</v>
      </c>
      <c r="F292" s="64">
        <v>44310.718379629601</v>
      </c>
      <c r="G292" s="64">
        <v>44312.4070601852</v>
      </c>
      <c r="H292" s="51" t="s">
        <v>257</v>
      </c>
      <c r="I292" s="69" t="s">
        <v>351</v>
      </c>
      <c r="J292" s="69" t="s">
        <v>352</v>
      </c>
      <c r="K292" s="47" t="s">
        <v>85</v>
      </c>
      <c r="L292" s="65">
        <v>12000</v>
      </c>
      <c r="M292" s="56" t="s">
        <v>86</v>
      </c>
    </row>
    <row r="293" spans="1:13" x14ac:dyDescent="0.4">
      <c r="A293" s="35">
        <v>289</v>
      </c>
      <c r="B293" s="47" t="s">
        <v>80</v>
      </c>
      <c r="C293" s="48" t="s">
        <v>81</v>
      </c>
      <c r="D293" s="48" t="s">
        <v>177</v>
      </c>
      <c r="E293" s="49" t="s">
        <v>173</v>
      </c>
      <c r="F293" s="64">
        <v>44310.718379629601</v>
      </c>
      <c r="G293" s="64">
        <v>44312.4070601852</v>
      </c>
      <c r="H293" s="51" t="s">
        <v>257</v>
      </c>
      <c r="I293" s="69" t="s">
        <v>353</v>
      </c>
      <c r="J293" s="69" t="s">
        <v>354</v>
      </c>
      <c r="K293" s="47" t="s">
        <v>85</v>
      </c>
      <c r="L293" s="65">
        <v>12000</v>
      </c>
      <c r="M293" s="56" t="s">
        <v>86</v>
      </c>
    </row>
    <row r="294" spans="1:13" x14ac:dyDescent="0.4">
      <c r="A294" s="35">
        <v>290</v>
      </c>
      <c r="B294" s="47" t="s">
        <v>80</v>
      </c>
      <c r="C294" s="48" t="s">
        <v>81</v>
      </c>
      <c r="D294" s="48" t="s">
        <v>260</v>
      </c>
      <c r="E294" s="49" t="s">
        <v>173</v>
      </c>
      <c r="F294" s="64">
        <v>44310.718379629601</v>
      </c>
      <c r="G294" s="64">
        <v>44312.4070601852</v>
      </c>
      <c r="H294" s="51" t="s">
        <v>257</v>
      </c>
      <c r="I294" s="69" t="s">
        <v>355</v>
      </c>
      <c r="J294" s="69" t="s">
        <v>356</v>
      </c>
      <c r="K294" s="47" t="s">
        <v>184</v>
      </c>
      <c r="L294" s="65">
        <v>16000</v>
      </c>
      <c r="M294" s="56" t="s">
        <v>86</v>
      </c>
    </row>
    <row r="295" spans="1:13" x14ac:dyDescent="0.4">
      <c r="A295" s="35">
        <v>291</v>
      </c>
      <c r="B295" s="47" t="s">
        <v>80</v>
      </c>
      <c r="C295" s="48" t="s">
        <v>81</v>
      </c>
      <c r="D295" s="48" t="s">
        <v>179</v>
      </c>
      <c r="E295" s="49" t="s">
        <v>173</v>
      </c>
      <c r="F295" s="64">
        <v>44310.718379629601</v>
      </c>
      <c r="G295" s="64">
        <v>44312.4070601852</v>
      </c>
      <c r="H295" s="51" t="s">
        <v>257</v>
      </c>
      <c r="I295" s="69" t="s">
        <v>357</v>
      </c>
      <c r="J295" s="69" t="s">
        <v>358</v>
      </c>
      <c r="K295" s="47" t="s">
        <v>85</v>
      </c>
      <c r="L295" s="65">
        <v>12000</v>
      </c>
      <c r="M295" s="56" t="s">
        <v>86</v>
      </c>
    </row>
    <row r="296" spans="1:13" x14ac:dyDescent="0.4">
      <c r="A296" s="35">
        <v>292</v>
      </c>
      <c r="B296" s="47" t="s">
        <v>80</v>
      </c>
      <c r="C296" s="48" t="s">
        <v>81</v>
      </c>
      <c r="D296" s="48" t="s">
        <v>206</v>
      </c>
      <c r="E296" s="49" t="s">
        <v>173</v>
      </c>
      <c r="F296" s="64">
        <v>44310.718379629601</v>
      </c>
      <c r="G296" s="64">
        <v>44312.4070601852</v>
      </c>
      <c r="H296" s="51" t="s">
        <v>257</v>
      </c>
      <c r="I296" s="69" t="s">
        <v>359</v>
      </c>
      <c r="J296" s="69" t="s">
        <v>360</v>
      </c>
      <c r="K296" s="47" t="s">
        <v>184</v>
      </c>
      <c r="L296" s="65">
        <v>16000</v>
      </c>
      <c r="M296" s="56" t="s">
        <v>86</v>
      </c>
    </row>
    <row r="297" spans="1:13" x14ac:dyDescent="0.4">
      <c r="A297" s="35">
        <v>293</v>
      </c>
      <c r="B297" s="47" t="s">
        <v>80</v>
      </c>
      <c r="C297" s="48" t="s">
        <v>81</v>
      </c>
      <c r="D297" s="48" t="s">
        <v>203</v>
      </c>
      <c r="E297" s="49" t="s">
        <v>173</v>
      </c>
      <c r="F297" s="64">
        <v>44310.718379629601</v>
      </c>
      <c r="G297" s="64">
        <v>44312.4070601852</v>
      </c>
      <c r="H297" s="51" t="s">
        <v>257</v>
      </c>
      <c r="I297" s="69" t="s">
        <v>361</v>
      </c>
      <c r="J297" s="69" t="s">
        <v>362</v>
      </c>
      <c r="K297" s="47" t="s">
        <v>85</v>
      </c>
      <c r="L297" s="65">
        <v>12000</v>
      </c>
      <c r="M297" s="56" t="s">
        <v>86</v>
      </c>
    </row>
    <row r="298" spans="1:13" x14ac:dyDescent="0.4">
      <c r="A298" s="275">
        <v>294</v>
      </c>
      <c r="B298" s="268" t="s">
        <v>80</v>
      </c>
      <c r="C298" s="263" t="s">
        <v>94</v>
      </c>
      <c r="D298" s="238" t="s">
        <v>178</v>
      </c>
      <c r="E298" s="49" t="s">
        <v>173</v>
      </c>
      <c r="F298" s="64">
        <v>44310.718379629601</v>
      </c>
      <c r="G298" s="64">
        <v>44312.4070601852</v>
      </c>
      <c r="H298" s="51" t="s">
        <v>257</v>
      </c>
      <c r="I298" s="66">
        <v>44798.424803240698</v>
      </c>
      <c r="J298" s="66">
        <v>44797.576840277798</v>
      </c>
      <c r="K298" s="47" t="s">
        <v>85</v>
      </c>
      <c r="L298" s="65">
        <v>12000</v>
      </c>
      <c r="M298" s="56" t="s">
        <v>86</v>
      </c>
    </row>
    <row r="299" spans="1:13" x14ac:dyDescent="0.4">
      <c r="A299" s="275"/>
      <c r="B299" s="269"/>
      <c r="C299" s="264"/>
      <c r="D299" s="239"/>
      <c r="E299" s="49" t="s">
        <v>269</v>
      </c>
      <c r="F299" s="76">
        <v>45283.674282407403</v>
      </c>
      <c r="G299" s="76">
        <v>45285.637395833299</v>
      </c>
      <c r="H299" s="51"/>
      <c r="I299" s="66"/>
      <c r="J299" s="66"/>
      <c r="K299" s="47" t="s">
        <v>85</v>
      </c>
      <c r="L299" s="65">
        <v>12000</v>
      </c>
      <c r="M299" s="56" t="s">
        <v>86</v>
      </c>
    </row>
    <row r="300" spans="1:13" x14ac:dyDescent="0.4">
      <c r="A300" s="275">
        <v>295</v>
      </c>
      <c r="B300" s="268" t="s">
        <v>80</v>
      </c>
      <c r="C300" s="263" t="s">
        <v>94</v>
      </c>
      <c r="D300" s="238" t="s">
        <v>206</v>
      </c>
      <c r="E300" s="49" t="s">
        <v>173</v>
      </c>
      <c r="F300" s="64">
        <v>44310.718379629601</v>
      </c>
      <c r="G300" s="64">
        <v>44312.4070601852</v>
      </c>
      <c r="H300" s="51" t="s">
        <v>257</v>
      </c>
      <c r="I300" s="66">
        <v>44798.432083333297</v>
      </c>
      <c r="J300" s="66">
        <v>44797.577071759297</v>
      </c>
      <c r="K300" s="47" t="s">
        <v>184</v>
      </c>
      <c r="L300" s="65">
        <v>16000</v>
      </c>
      <c r="M300" s="56" t="s">
        <v>86</v>
      </c>
    </row>
    <row r="301" spans="1:13" x14ac:dyDescent="0.4">
      <c r="A301" s="275"/>
      <c r="B301" s="269"/>
      <c r="C301" s="264"/>
      <c r="D301" s="239"/>
      <c r="E301" s="49" t="s">
        <v>269</v>
      </c>
      <c r="F301" s="76">
        <v>45267.618321759299</v>
      </c>
      <c r="G301" s="76">
        <v>45267.388587963003</v>
      </c>
      <c r="H301" s="77"/>
      <c r="I301" s="66"/>
      <c r="J301" s="66"/>
      <c r="K301" s="47" t="s">
        <v>184</v>
      </c>
      <c r="L301" s="65">
        <v>16000</v>
      </c>
      <c r="M301" s="56" t="s">
        <v>86</v>
      </c>
    </row>
    <row r="302" spans="1:13" x14ac:dyDescent="0.4">
      <c r="A302" s="35">
        <v>296</v>
      </c>
      <c r="B302" s="47" t="s">
        <v>80</v>
      </c>
      <c r="C302" s="48" t="s">
        <v>94</v>
      </c>
      <c r="D302" s="48" t="s">
        <v>264</v>
      </c>
      <c r="E302" s="49" t="s">
        <v>173</v>
      </c>
      <c r="F302" s="64">
        <v>44310.718379629601</v>
      </c>
      <c r="G302" s="64">
        <v>44312.4070601852</v>
      </c>
      <c r="H302" s="51" t="s">
        <v>257</v>
      </c>
      <c r="I302" s="69" t="s">
        <v>363</v>
      </c>
      <c r="J302" s="69" t="s">
        <v>364</v>
      </c>
      <c r="K302" s="47" t="s">
        <v>184</v>
      </c>
      <c r="L302" s="65">
        <v>16000</v>
      </c>
      <c r="M302" s="56" t="s">
        <v>86</v>
      </c>
    </row>
    <row r="303" spans="1:13" x14ac:dyDescent="0.4">
      <c r="A303" s="275">
        <v>297</v>
      </c>
      <c r="B303" s="268" t="s">
        <v>80</v>
      </c>
      <c r="C303" s="263" t="s">
        <v>94</v>
      </c>
      <c r="D303" s="238" t="s">
        <v>172</v>
      </c>
      <c r="E303" s="49" t="s">
        <v>173</v>
      </c>
      <c r="F303" s="64">
        <v>44313.895335648202</v>
      </c>
      <c r="G303" s="78">
        <v>44313.752106481501</v>
      </c>
      <c r="H303" s="51" t="s">
        <v>257</v>
      </c>
      <c r="I303" s="66">
        <v>44798.417939814797</v>
      </c>
      <c r="J303" s="66">
        <v>44797.576701388898</v>
      </c>
      <c r="K303" s="47" t="s">
        <v>85</v>
      </c>
      <c r="L303" s="65">
        <v>12000</v>
      </c>
      <c r="M303" s="56" t="s">
        <v>86</v>
      </c>
    </row>
    <row r="304" spans="1:13" x14ac:dyDescent="0.4">
      <c r="A304" s="275"/>
      <c r="B304" s="269"/>
      <c r="C304" s="264"/>
      <c r="D304" s="239"/>
      <c r="E304" s="49" t="s">
        <v>269</v>
      </c>
      <c r="F304" s="76">
        <v>45283.674282407403</v>
      </c>
      <c r="G304" s="76">
        <v>45285.637395833299</v>
      </c>
      <c r="H304" s="51"/>
      <c r="I304" s="66"/>
      <c r="J304" s="66"/>
      <c r="K304" s="47" t="s">
        <v>85</v>
      </c>
      <c r="L304" s="65">
        <v>12000</v>
      </c>
      <c r="M304" s="56" t="s">
        <v>86</v>
      </c>
    </row>
    <row r="305" spans="1:13" x14ac:dyDescent="0.4">
      <c r="A305" s="275">
        <v>298</v>
      </c>
      <c r="B305" s="268" t="s">
        <v>80</v>
      </c>
      <c r="C305" s="263" t="s">
        <v>94</v>
      </c>
      <c r="D305" s="238" t="s">
        <v>177</v>
      </c>
      <c r="E305" s="79" t="s">
        <v>173</v>
      </c>
      <c r="F305" s="80">
        <v>44313.895335648202</v>
      </c>
      <c r="G305" s="81">
        <v>44313.752106481501</v>
      </c>
      <c r="H305" s="82" t="s">
        <v>257</v>
      </c>
      <c r="I305" s="83">
        <v>44798.424837963001</v>
      </c>
      <c r="J305" s="83">
        <v>44797.576770833301</v>
      </c>
      <c r="K305" s="47" t="s">
        <v>85</v>
      </c>
      <c r="L305" s="65">
        <v>12000</v>
      </c>
      <c r="M305" s="56" t="s">
        <v>86</v>
      </c>
    </row>
    <row r="306" spans="1:13" x14ac:dyDescent="0.4">
      <c r="A306" s="275"/>
      <c r="B306" s="269"/>
      <c r="C306" s="264"/>
      <c r="D306" s="239"/>
      <c r="E306" s="84" t="s">
        <v>183</v>
      </c>
      <c r="F306" s="76">
        <v>45422.413437499999</v>
      </c>
      <c r="G306" s="76">
        <v>45421.691180555601</v>
      </c>
      <c r="H306" s="51"/>
      <c r="I306" s="84"/>
      <c r="J306" s="84"/>
      <c r="K306" s="47" t="s">
        <v>85</v>
      </c>
      <c r="L306" s="65">
        <v>12000</v>
      </c>
      <c r="M306" s="56" t="s">
        <v>86</v>
      </c>
    </row>
    <row r="307" spans="1:13" x14ac:dyDescent="0.4">
      <c r="A307" s="275">
        <v>299</v>
      </c>
      <c r="B307" s="268" t="s">
        <v>80</v>
      </c>
      <c r="C307" s="263" t="s">
        <v>94</v>
      </c>
      <c r="D307" s="238" t="s">
        <v>179</v>
      </c>
      <c r="E307" s="85" t="s">
        <v>173</v>
      </c>
      <c r="F307" s="86">
        <v>44313.895335648202</v>
      </c>
      <c r="G307" s="78">
        <v>44313.752106481501</v>
      </c>
      <c r="H307" s="87" t="s">
        <v>257</v>
      </c>
      <c r="I307" s="88">
        <v>44798.445960648103</v>
      </c>
      <c r="J307" s="88">
        <v>44797.5770023148</v>
      </c>
      <c r="K307" s="47" t="s">
        <v>85</v>
      </c>
      <c r="L307" s="65">
        <v>12000</v>
      </c>
      <c r="M307" s="56" t="s">
        <v>86</v>
      </c>
    </row>
    <row r="308" spans="1:13" x14ac:dyDescent="0.4">
      <c r="A308" s="275"/>
      <c r="B308" s="269"/>
      <c r="C308" s="264"/>
      <c r="D308" s="239"/>
      <c r="E308" s="49" t="s">
        <v>269</v>
      </c>
      <c r="F308" s="76">
        <v>45283.674282407403</v>
      </c>
      <c r="G308" s="76">
        <v>45285.637395833299</v>
      </c>
      <c r="H308" s="51"/>
      <c r="I308" s="66"/>
      <c r="J308" s="66"/>
      <c r="K308" s="47" t="s">
        <v>85</v>
      </c>
      <c r="L308" s="65">
        <v>12000</v>
      </c>
      <c r="M308" s="56" t="s">
        <v>86</v>
      </c>
    </row>
    <row r="309" spans="1:13" x14ac:dyDescent="0.4">
      <c r="A309" s="275">
        <v>300</v>
      </c>
      <c r="B309" s="268" t="s">
        <v>80</v>
      </c>
      <c r="C309" s="263" t="s">
        <v>94</v>
      </c>
      <c r="D309" s="238" t="s">
        <v>203</v>
      </c>
      <c r="E309" s="49" t="s">
        <v>173</v>
      </c>
      <c r="F309" s="64">
        <v>44313.895335648202</v>
      </c>
      <c r="G309" s="78">
        <v>44313.752106481501</v>
      </c>
      <c r="H309" s="51" t="s">
        <v>257</v>
      </c>
      <c r="I309" s="66">
        <v>44798.445960648103</v>
      </c>
      <c r="J309" s="66">
        <v>44797.577210648102</v>
      </c>
      <c r="K309" s="234" t="s">
        <v>85</v>
      </c>
      <c r="L309" s="238">
        <v>12000</v>
      </c>
      <c r="M309" s="228" t="s">
        <v>86</v>
      </c>
    </row>
    <row r="310" spans="1:13" x14ac:dyDescent="0.4">
      <c r="A310" s="275"/>
      <c r="B310" s="269"/>
      <c r="C310" s="264"/>
      <c r="D310" s="239"/>
      <c r="E310" s="49" t="s">
        <v>183</v>
      </c>
      <c r="F310" s="64">
        <v>45343.630682870396</v>
      </c>
      <c r="G310" s="78">
        <v>45343.546886574099</v>
      </c>
      <c r="H310" s="51"/>
      <c r="I310" s="66"/>
      <c r="J310" s="66"/>
      <c r="K310" s="235"/>
      <c r="L310" s="239"/>
      <c r="M310" s="229"/>
    </row>
    <row r="311" spans="1:13" x14ac:dyDescent="0.4">
      <c r="A311" s="35">
        <v>301</v>
      </c>
      <c r="B311" s="47" t="s">
        <v>80</v>
      </c>
      <c r="C311" s="48" t="s">
        <v>94</v>
      </c>
      <c r="D311" s="48" t="s">
        <v>365</v>
      </c>
      <c r="E311" s="49" t="s">
        <v>173</v>
      </c>
      <c r="F311" s="64">
        <v>44313.895335648202</v>
      </c>
      <c r="G311" s="78">
        <v>44313.752106481501</v>
      </c>
      <c r="H311" s="51" t="s">
        <v>257</v>
      </c>
      <c r="I311" s="69" t="s">
        <v>366</v>
      </c>
      <c r="J311" s="69" t="s">
        <v>367</v>
      </c>
      <c r="K311" s="47" t="s">
        <v>85</v>
      </c>
      <c r="L311" s="65">
        <v>12000</v>
      </c>
      <c r="M311" s="56" t="s">
        <v>86</v>
      </c>
    </row>
    <row r="312" spans="1:13" x14ac:dyDescent="0.4">
      <c r="A312" s="35">
        <v>302</v>
      </c>
      <c r="B312" s="47" t="s">
        <v>80</v>
      </c>
      <c r="C312" s="48" t="s">
        <v>94</v>
      </c>
      <c r="D312" s="48" t="s">
        <v>368</v>
      </c>
      <c r="E312" s="49" t="s">
        <v>173</v>
      </c>
      <c r="F312" s="64">
        <v>44313.895335648202</v>
      </c>
      <c r="G312" s="78">
        <v>44313.752106481501</v>
      </c>
      <c r="H312" s="51" t="s">
        <v>257</v>
      </c>
      <c r="I312" s="69" t="s">
        <v>369</v>
      </c>
      <c r="J312" s="69" t="s">
        <v>370</v>
      </c>
      <c r="K312" s="47" t="s">
        <v>85</v>
      </c>
      <c r="L312" s="65">
        <v>12000</v>
      </c>
      <c r="M312" s="56" t="s">
        <v>86</v>
      </c>
    </row>
    <row r="313" spans="1:13" x14ac:dyDescent="0.4">
      <c r="A313" s="35">
        <v>303</v>
      </c>
      <c r="B313" s="47" t="s">
        <v>80</v>
      </c>
      <c r="C313" s="48" t="s">
        <v>94</v>
      </c>
      <c r="D313" s="48" t="s">
        <v>371</v>
      </c>
      <c r="E313" s="49" t="s">
        <v>173</v>
      </c>
      <c r="F313" s="64">
        <v>44313.895335648202</v>
      </c>
      <c r="G313" s="78">
        <v>44313.752106481501</v>
      </c>
      <c r="H313" s="51" t="s">
        <v>257</v>
      </c>
      <c r="I313" s="69" t="s">
        <v>372</v>
      </c>
      <c r="J313" s="69" t="s">
        <v>373</v>
      </c>
      <c r="K313" s="47" t="s">
        <v>85</v>
      </c>
      <c r="L313" s="65">
        <v>12000</v>
      </c>
      <c r="M313" s="56" t="s">
        <v>86</v>
      </c>
    </row>
    <row r="314" spans="1:13" x14ac:dyDescent="0.4">
      <c r="A314" s="35">
        <v>304</v>
      </c>
      <c r="B314" s="47" t="s">
        <v>80</v>
      </c>
      <c r="C314" s="48" t="s">
        <v>94</v>
      </c>
      <c r="D314" s="48" t="s">
        <v>374</v>
      </c>
      <c r="E314" s="49" t="s">
        <v>173</v>
      </c>
      <c r="F314" s="80">
        <v>44313.895335648202</v>
      </c>
      <c r="G314" s="81">
        <v>44313.752106481501</v>
      </c>
      <c r="H314" s="51" t="s">
        <v>257</v>
      </c>
      <c r="I314" s="69" t="s">
        <v>375</v>
      </c>
      <c r="J314" s="69" t="s">
        <v>376</v>
      </c>
      <c r="K314" s="47" t="s">
        <v>85</v>
      </c>
      <c r="L314" s="65">
        <v>12000</v>
      </c>
      <c r="M314" s="56" t="s">
        <v>86</v>
      </c>
    </row>
    <row r="315" spans="1:13" x14ac:dyDescent="0.4">
      <c r="A315" s="35">
        <v>305</v>
      </c>
      <c r="B315" s="47" t="s">
        <v>80</v>
      </c>
      <c r="C315" s="48" t="s">
        <v>266</v>
      </c>
      <c r="D315" s="48" t="s">
        <v>271</v>
      </c>
      <c r="E315" s="49" t="s">
        <v>173</v>
      </c>
      <c r="F315" s="64">
        <v>44314.8987962963</v>
      </c>
      <c r="G315" s="64">
        <v>44314.681064814802</v>
      </c>
      <c r="H315" s="51" t="s">
        <v>257</v>
      </c>
      <c r="I315" s="52"/>
      <c r="J315" s="53"/>
      <c r="K315" s="47" t="s">
        <v>85</v>
      </c>
      <c r="L315" s="65">
        <v>12000</v>
      </c>
      <c r="M315" s="56" t="s">
        <v>86</v>
      </c>
    </row>
    <row r="316" spans="1:13" x14ac:dyDescent="0.4">
      <c r="A316" s="35">
        <v>306</v>
      </c>
      <c r="B316" s="47" t="s">
        <v>80</v>
      </c>
      <c r="C316" s="48" t="s">
        <v>266</v>
      </c>
      <c r="D316" s="48" t="s">
        <v>272</v>
      </c>
      <c r="E316" s="49" t="s">
        <v>173</v>
      </c>
      <c r="F316" s="64">
        <v>44314.8987962963</v>
      </c>
      <c r="G316" s="64">
        <v>44314.681064814802</v>
      </c>
      <c r="H316" s="51" t="s">
        <v>257</v>
      </c>
      <c r="I316" s="52"/>
      <c r="J316" s="53"/>
      <c r="K316" s="47" t="s">
        <v>85</v>
      </c>
      <c r="L316" s="65">
        <v>12000</v>
      </c>
      <c r="M316" s="56" t="s">
        <v>86</v>
      </c>
    </row>
    <row r="317" spans="1:13" x14ac:dyDescent="0.4">
      <c r="A317" s="35">
        <v>307</v>
      </c>
      <c r="B317" s="47" t="s">
        <v>80</v>
      </c>
      <c r="C317" s="48" t="s">
        <v>266</v>
      </c>
      <c r="D317" s="48" t="s">
        <v>99</v>
      </c>
      <c r="E317" s="49" t="s">
        <v>173</v>
      </c>
      <c r="F317" s="64">
        <v>44314.8987962963</v>
      </c>
      <c r="G317" s="64">
        <v>44314.681064814802</v>
      </c>
      <c r="H317" s="51" t="s">
        <v>257</v>
      </c>
      <c r="I317" s="52"/>
      <c r="J317" s="53"/>
      <c r="K317" s="47" t="s">
        <v>85</v>
      </c>
      <c r="L317" s="65">
        <v>12000</v>
      </c>
      <c r="M317" s="56" t="s">
        <v>86</v>
      </c>
    </row>
    <row r="318" spans="1:13" x14ac:dyDescent="0.4">
      <c r="A318" s="35">
        <v>308</v>
      </c>
      <c r="B318" s="47" t="s">
        <v>80</v>
      </c>
      <c r="C318" s="48" t="s">
        <v>266</v>
      </c>
      <c r="D318" s="48" t="s">
        <v>100</v>
      </c>
      <c r="E318" s="49" t="s">
        <v>173</v>
      </c>
      <c r="F318" s="64">
        <v>44314.8987962963</v>
      </c>
      <c r="G318" s="64">
        <v>44314.681064814802</v>
      </c>
      <c r="H318" s="51" t="s">
        <v>257</v>
      </c>
      <c r="I318" s="52"/>
      <c r="J318" s="53"/>
      <c r="K318" s="47" t="s">
        <v>85</v>
      </c>
      <c r="L318" s="65">
        <v>12000</v>
      </c>
      <c r="M318" s="56" t="s">
        <v>86</v>
      </c>
    </row>
    <row r="319" spans="1:13" x14ac:dyDescent="0.4">
      <c r="A319" s="35">
        <v>309</v>
      </c>
      <c r="B319" s="47" t="s">
        <v>80</v>
      </c>
      <c r="C319" s="48" t="s">
        <v>266</v>
      </c>
      <c r="D319" s="48" t="s">
        <v>101</v>
      </c>
      <c r="E319" s="49" t="s">
        <v>173</v>
      </c>
      <c r="F319" s="64">
        <v>44314.8987962963</v>
      </c>
      <c r="G319" s="64">
        <v>44314.681064814802</v>
      </c>
      <c r="H319" s="51" t="s">
        <v>257</v>
      </c>
      <c r="I319" s="52"/>
      <c r="J319" s="53"/>
      <c r="K319" s="47" t="s">
        <v>85</v>
      </c>
      <c r="L319" s="65">
        <v>12000</v>
      </c>
      <c r="M319" s="56" t="s">
        <v>86</v>
      </c>
    </row>
    <row r="320" spans="1:13" x14ac:dyDescent="0.4">
      <c r="A320" s="35">
        <v>310</v>
      </c>
      <c r="B320" s="47" t="s">
        <v>80</v>
      </c>
      <c r="C320" s="48" t="s">
        <v>266</v>
      </c>
      <c r="D320" s="48" t="s">
        <v>102</v>
      </c>
      <c r="E320" s="49" t="s">
        <v>173</v>
      </c>
      <c r="F320" s="64">
        <v>44314.8987962963</v>
      </c>
      <c r="G320" s="64">
        <v>44314.681064814802</v>
      </c>
      <c r="H320" s="51" t="s">
        <v>257</v>
      </c>
      <c r="I320" s="52"/>
      <c r="J320" s="53"/>
      <c r="K320" s="47" t="s">
        <v>85</v>
      </c>
      <c r="L320" s="65">
        <v>12000</v>
      </c>
      <c r="M320" s="56" t="s">
        <v>86</v>
      </c>
    </row>
    <row r="321" spans="1:13" x14ac:dyDescent="0.4">
      <c r="A321" s="35">
        <v>311</v>
      </c>
      <c r="B321" s="47" t="s">
        <v>80</v>
      </c>
      <c r="C321" s="48" t="s">
        <v>266</v>
      </c>
      <c r="D321" s="48" t="s">
        <v>103</v>
      </c>
      <c r="E321" s="49" t="s">
        <v>173</v>
      </c>
      <c r="F321" s="64">
        <v>44314.8987962963</v>
      </c>
      <c r="G321" s="64">
        <v>44314.681064814802</v>
      </c>
      <c r="H321" s="51" t="s">
        <v>257</v>
      </c>
      <c r="I321" s="52"/>
      <c r="J321" s="53"/>
      <c r="K321" s="47" t="s">
        <v>85</v>
      </c>
      <c r="L321" s="65">
        <v>12000</v>
      </c>
      <c r="M321" s="56" t="s">
        <v>86</v>
      </c>
    </row>
    <row r="322" spans="1:13" x14ac:dyDescent="0.4">
      <c r="A322" s="35">
        <v>312</v>
      </c>
      <c r="B322" s="47" t="s">
        <v>80</v>
      </c>
      <c r="C322" s="48" t="s">
        <v>266</v>
      </c>
      <c r="D322" s="48" t="s">
        <v>104</v>
      </c>
      <c r="E322" s="49" t="s">
        <v>173</v>
      </c>
      <c r="F322" s="64">
        <v>44314.8987962963</v>
      </c>
      <c r="G322" s="64">
        <v>44314.681064814802</v>
      </c>
      <c r="H322" s="51" t="s">
        <v>257</v>
      </c>
      <c r="I322" s="52"/>
      <c r="J322" s="53"/>
      <c r="K322" s="47" t="s">
        <v>85</v>
      </c>
      <c r="L322" s="65">
        <v>12000</v>
      </c>
      <c r="M322" s="56" t="s">
        <v>86</v>
      </c>
    </row>
    <row r="323" spans="1:13" x14ac:dyDescent="0.4">
      <c r="A323" s="35">
        <v>313</v>
      </c>
      <c r="B323" s="47" t="s">
        <v>80</v>
      </c>
      <c r="C323" s="48" t="s">
        <v>266</v>
      </c>
      <c r="D323" s="48" t="s">
        <v>105</v>
      </c>
      <c r="E323" s="49" t="s">
        <v>173</v>
      </c>
      <c r="F323" s="64">
        <v>44314.8987962963</v>
      </c>
      <c r="G323" s="64">
        <v>44314.681064814802</v>
      </c>
      <c r="H323" s="51" t="s">
        <v>257</v>
      </c>
      <c r="I323" s="52"/>
      <c r="J323" s="53"/>
      <c r="K323" s="47" t="s">
        <v>85</v>
      </c>
      <c r="L323" s="65">
        <v>12000</v>
      </c>
      <c r="M323" s="56" t="s">
        <v>86</v>
      </c>
    </row>
    <row r="324" spans="1:13" x14ac:dyDescent="0.4">
      <c r="A324" s="35">
        <v>314</v>
      </c>
      <c r="B324" s="47" t="s">
        <v>80</v>
      </c>
      <c r="C324" s="48" t="s">
        <v>266</v>
      </c>
      <c r="D324" s="48" t="s">
        <v>106</v>
      </c>
      <c r="E324" s="49" t="s">
        <v>173</v>
      </c>
      <c r="F324" s="64">
        <v>44314.8987962963</v>
      </c>
      <c r="G324" s="64">
        <v>44314.681064814802</v>
      </c>
      <c r="H324" s="51" t="s">
        <v>257</v>
      </c>
      <c r="I324" s="52"/>
      <c r="J324" s="53"/>
      <c r="K324" s="47" t="s">
        <v>85</v>
      </c>
      <c r="L324" s="65">
        <v>12000</v>
      </c>
      <c r="M324" s="56" t="s">
        <v>86</v>
      </c>
    </row>
    <row r="325" spans="1:13" x14ac:dyDescent="0.4">
      <c r="A325" s="35">
        <v>315</v>
      </c>
      <c r="B325" s="47" t="s">
        <v>80</v>
      </c>
      <c r="C325" s="48" t="s">
        <v>266</v>
      </c>
      <c r="D325" s="48" t="s">
        <v>107</v>
      </c>
      <c r="E325" s="49" t="s">
        <v>173</v>
      </c>
      <c r="F325" s="64">
        <v>44316.962615740696</v>
      </c>
      <c r="G325" s="64">
        <v>44316.618125000001</v>
      </c>
      <c r="H325" s="51" t="s">
        <v>257</v>
      </c>
      <c r="I325" s="52"/>
      <c r="J325" s="53"/>
      <c r="K325" s="47" t="s">
        <v>85</v>
      </c>
      <c r="L325" s="65">
        <v>12000</v>
      </c>
      <c r="M325" s="56" t="s">
        <v>86</v>
      </c>
    </row>
    <row r="326" spans="1:13" x14ac:dyDescent="0.4">
      <c r="A326" s="35">
        <v>316</v>
      </c>
      <c r="B326" s="47" t="s">
        <v>80</v>
      </c>
      <c r="C326" s="48" t="s">
        <v>266</v>
      </c>
      <c r="D326" s="48" t="s">
        <v>108</v>
      </c>
      <c r="E326" s="49" t="s">
        <v>173</v>
      </c>
      <c r="F326" s="64">
        <v>44316.962615740696</v>
      </c>
      <c r="G326" s="64">
        <v>44316.618125000001</v>
      </c>
      <c r="H326" s="51" t="s">
        <v>257</v>
      </c>
      <c r="I326" s="52"/>
      <c r="J326" s="53"/>
      <c r="K326" s="47" t="s">
        <v>85</v>
      </c>
      <c r="L326" s="65">
        <v>12000</v>
      </c>
      <c r="M326" s="56" t="s">
        <v>86</v>
      </c>
    </row>
    <row r="327" spans="1:13" x14ac:dyDescent="0.4">
      <c r="A327" s="35">
        <v>317</v>
      </c>
      <c r="B327" s="47" t="s">
        <v>80</v>
      </c>
      <c r="C327" s="48" t="s">
        <v>94</v>
      </c>
      <c r="D327" s="48" t="s">
        <v>263</v>
      </c>
      <c r="E327" s="49" t="s">
        <v>173</v>
      </c>
      <c r="F327" s="64">
        <v>44316.962615740696</v>
      </c>
      <c r="G327" s="64">
        <v>44316.618125000001</v>
      </c>
      <c r="H327" s="51" t="s">
        <v>257</v>
      </c>
      <c r="I327" s="52"/>
      <c r="J327" s="53"/>
      <c r="K327" s="47" t="s">
        <v>184</v>
      </c>
      <c r="L327" s="65">
        <v>16000</v>
      </c>
      <c r="M327" s="56" t="s">
        <v>86</v>
      </c>
    </row>
    <row r="328" spans="1:13" x14ac:dyDescent="0.4">
      <c r="A328" s="35">
        <v>318</v>
      </c>
      <c r="B328" s="47" t="s">
        <v>80</v>
      </c>
      <c r="C328" s="48" t="s">
        <v>94</v>
      </c>
      <c r="D328" s="48" t="s">
        <v>181</v>
      </c>
      <c r="E328" s="49" t="s">
        <v>173</v>
      </c>
      <c r="F328" s="64">
        <v>44316.962615740696</v>
      </c>
      <c r="G328" s="64">
        <v>44316.618125000001</v>
      </c>
      <c r="H328" s="51" t="s">
        <v>257</v>
      </c>
      <c r="I328" s="52"/>
      <c r="J328" s="53"/>
      <c r="K328" s="47" t="s">
        <v>85</v>
      </c>
      <c r="L328" s="65">
        <v>12000</v>
      </c>
      <c r="M328" s="56" t="s">
        <v>86</v>
      </c>
    </row>
    <row r="329" spans="1:13" x14ac:dyDescent="0.4">
      <c r="A329" s="35">
        <v>319</v>
      </c>
      <c r="B329" s="47" t="s">
        <v>80</v>
      </c>
      <c r="C329" s="48" t="s">
        <v>94</v>
      </c>
      <c r="D329" s="48" t="s">
        <v>320</v>
      </c>
      <c r="E329" s="49" t="s">
        <v>173</v>
      </c>
      <c r="F329" s="64">
        <v>44316.962615740696</v>
      </c>
      <c r="G329" s="64">
        <v>44316.618125000001</v>
      </c>
      <c r="H329" s="51" t="s">
        <v>257</v>
      </c>
      <c r="I329" s="64">
        <v>44419.675543981502</v>
      </c>
      <c r="J329" s="64">
        <v>44417.754861111098</v>
      </c>
      <c r="K329" s="47" t="s">
        <v>85</v>
      </c>
      <c r="L329" s="65">
        <v>12000</v>
      </c>
      <c r="M329" s="56" t="s">
        <v>86</v>
      </c>
    </row>
    <row r="330" spans="1:13" x14ac:dyDescent="0.4">
      <c r="A330" s="35">
        <v>320</v>
      </c>
      <c r="B330" s="47" t="s">
        <v>80</v>
      </c>
      <c r="C330" s="48" t="s">
        <v>94</v>
      </c>
      <c r="D330" s="48" t="s">
        <v>215</v>
      </c>
      <c r="E330" s="49" t="s">
        <v>173</v>
      </c>
      <c r="F330" s="64">
        <v>44316.962615740696</v>
      </c>
      <c r="G330" s="64">
        <v>44316.618125000001</v>
      </c>
      <c r="H330" s="51" t="s">
        <v>257</v>
      </c>
      <c r="I330" s="52"/>
      <c r="J330" s="53"/>
      <c r="K330" s="47" t="s">
        <v>85</v>
      </c>
      <c r="L330" s="65">
        <v>12000</v>
      </c>
      <c r="M330" s="56" t="s">
        <v>86</v>
      </c>
    </row>
    <row r="331" spans="1:13" x14ac:dyDescent="0.4">
      <c r="A331" s="35">
        <v>321</v>
      </c>
      <c r="B331" s="47" t="s">
        <v>80</v>
      </c>
      <c r="C331" s="48" t="s">
        <v>266</v>
      </c>
      <c r="D331" s="48" t="s">
        <v>109</v>
      </c>
      <c r="E331" s="49" t="s">
        <v>173</v>
      </c>
      <c r="F331" s="64">
        <v>44323.914409722202</v>
      </c>
      <c r="G331" s="64">
        <v>44324.612326388902</v>
      </c>
      <c r="H331" s="51" t="s">
        <v>257</v>
      </c>
      <c r="I331" s="52"/>
      <c r="J331" s="53"/>
      <c r="K331" s="47" t="s">
        <v>85</v>
      </c>
      <c r="L331" s="65">
        <v>12000</v>
      </c>
      <c r="M331" s="56" t="s">
        <v>86</v>
      </c>
    </row>
    <row r="332" spans="1:13" x14ac:dyDescent="0.4">
      <c r="A332" s="35">
        <v>322</v>
      </c>
      <c r="B332" s="47" t="s">
        <v>80</v>
      </c>
      <c r="C332" s="48" t="s">
        <v>266</v>
      </c>
      <c r="D332" s="48" t="s">
        <v>110</v>
      </c>
      <c r="E332" s="49" t="s">
        <v>173</v>
      </c>
      <c r="F332" s="64">
        <v>44323.914409722202</v>
      </c>
      <c r="G332" s="64">
        <v>44324.612326388902</v>
      </c>
      <c r="H332" s="51" t="s">
        <v>257</v>
      </c>
      <c r="I332" s="52"/>
      <c r="J332" s="53"/>
      <c r="K332" s="47" t="s">
        <v>85</v>
      </c>
      <c r="L332" s="65">
        <v>12000</v>
      </c>
      <c r="M332" s="56" t="s">
        <v>86</v>
      </c>
    </row>
    <row r="333" spans="1:13" x14ac:dyDescent="0.4">
      <c r="A333" s="35">
        <v>323</v>
      </c>
      <c r="B333" s="47" t="s">
        <v>80</v>
      </c>
      <c r="C333" s="48" t="s">
        <v>266</v>
      </c>
      <c r="D333" s="48" t="s">
        <v>215</v>
      </c>
      <c r="E333" s="49" t="s">
        <v>173</v>
      </c>
      <c r="F333" s="64">
        <v>44323.914409722202</v>
      </c>
      <c r="G333" s="64">
        <v>44324.612326388902</v>
      </c>
      <c r="H333" s="51" t="s">
        <v>257</v>
      </c>
      <c r="I333" s="52"/>
      <c r="J333" s="53"/>
      <c r="K333" s="47" t="s">
        <v>85</v>
      </c>
      <c r="L333" s="65">
        <v>12000</v>
      </c>
      <c r="M333" s="56" t="s">
        <v>86</v>
      </c>
    </row>
    <row r="334" spans="1:13" x14ac:dyDescent="0.4">
      <c r="A334" s="35">
        <v>324</v>
      </c>
      <c r="B334" s="47" t="s">
        <v>80</v>
      </c>
      <c r="C334" s="48" t="s">
        <v>266</v>
      </c>
      <c r="D334" s="48" t="s">
        <v>222</v>
      </c>
      <c r="E334" s="49" t="s">
        <v>173</v>
      </c>
      <c r="F334" s="64">
        <v>44323.914409722202</v>
      </c>
      <c r="G334" s="64">
        <v>44324.612326388902</v>
      </c>
      <c r="H334" s="51" t="s">
        <v>257</v>
      </c>
      <c r="I334" s="52"/>
      <c r="J334" s="53"/>
      <c r="K334" s="47" t="s">
        <v>85</v>
      </c>
      <c r="L334" s="65">
        <v>12000</v>
      </c>
      <c r="M334" s="56" t="s">
        <v>86</v>
      </c>
    </row>
    <row r="335" spans="1:13" x14ac:dyDescent="0.4">
      <c r="A335" s="35">
        <v>325</v>
      </c>
      <c r="B335" s="47" t="s">
        <v>80</v>
      </c>
      <c r="C335" s="48" t="s">
        <v>266</v>
      </c>
      <c r="D335" s="48" t="s">
        <v>225</v>
      </c>
      <c r="E335" s="49" t="s">
        <v>173</v>
      </c>
      <c r="F335" s="64">
        <v>44323.914409722202</v>
      </c>
      <c r="G335" s="64">
        <v>44324.612326388902</v>
      </c>
      <c r="H335" s="51" t="s">
        <v>257</v>
      </c>
      <c r="I335" s="52"/>
      <c r="J335" s="53"/>
      <c r="K335" s="47" t="s">
        <v>85</v>
      </c>
      <c r="L335" s="65">
        <v>12000</v>
      </c>
      <c r="M335" s="56" t="s">
        <v>86</v>
      </c>
    </row>
    <row r="336" spans="1:13" x14ac:dyDescent="0.4">
      <c r="A336" s="35">
        <v>326</v>
      </c>
      <c r="B336" s="47" t="s">
        <v>80</v>
      </c>
      <c r="C336" s="48" t="s">
        <v>266</v>
      </c>
      <c r="D336" s="48" t="s">
        <v>228</v>
      </c>
      <c r="E336" s="49" t="s">
        <v>173</v>
      </c>
      <c r="F336" s="64">
        <v>44323.914409722202</v>
      </c>
      <c r="G336" s="64">
        <v>44324.612326388902</v>
      </c>
      <c r="H336" s="51" t="s">
        <v>257</v>
      </c>
      <c r="I336" s="52"/>
      <c r="J336" s="53"/>
      <c r="K336" s="47" t="s">
        <v>85</v>
      </c>
      <c r="L336" s="65">
        <v>12000</v>
      </c>
      <c r="M336" s="56" t="s">
        <v>86</v>
      </c>
    </row>
    <row r="337" spans="1:13" x14ac:dyDescent="0.4">
      <c r="A337" s="35">
        <v>327</v>
      </c>
      <c r="B337" s="47" t="s">
        <v>80</v>
      </c>
      <c r="C337" s="48" t="s">
        <v>266</v>
      </c>
      <c r="D337" s="48" t="s">
        <v>113</v>
      </c>
      <c r="E337" s="49" t="s">
        <v>173</v>
      </c>
      <c r="F337" s="64">
        <v>44323.914409722202</v>
      </c>
      <c r="G337" s="64">
        <v>44324.612326388902</v>
      </c>
      <c r="H337" s="51" t="s">
        <v>257</v>
      </c>
      <c r="I337" s="52"/>
      <c r="J337" s="53"/>
      <c r="K337" s="47" t="s">
        <v>85</v>
      </c>
      <c r="L337" s="65">
        <v>12000</v>
      </c>
      <c r="M337" s="56" t="s">
        <v>86</v>
      </c>
    </row>
    <row r="338" spans="1:13" x14ac:dyDescent="0.4">
      <c r="A338" s="35">
        <v>328</v>
      </c>
      <c r="B338" s="47" t="s">
        <v>80</v>
      </c>
      <c r="C338" s="48" t="s">
        <v>266</v>
      </c>
      <c r="D338" s="48" t="s">
        <v>114</v>
      </c>
      <c r="E338" s="49" t="s">
        <v>173</v>
      </c>
      <c r="F338" s="64">
        <v>44323.914409722202</v>
      </c>
      <c r="G338" s="64">
        <v>44324.612326388902</v>
      </c>
      <c r="H338" s="51" t="s">
        <v>257</v>
      </c>
      <c r="I338" s="52"/>
      <c r="J338" s="53"/>
      <c r="K338" s="47" t="s">
        <v>85</v>
      </c>
      <c r="L338" s="65">
        <v>12000</v>
      </c>
      <c r="M338" s="56" t="s">
        <v>86</v>
      </c>
    </row>
    <row r="339" spans="1:13" x14ac:dyDescent="0.4">
      <c r="A339" s="35">
        <v>329</v>
      </c>
      <c r="B339" s="47" t="s">
        <v>80</v>
      </c>
      <c r="C339" s="48" t="s">
        <v>266</v>
      </c>
      <c r="D339" s="48" t="s">
        <v>115</v>
      </c>
      <c r="E339" s="49" t="s">
        <v>173</v>
      </c>
      <c r="F339" s="64">
        <v>44323.914409722202</v>
      </c>
      <c r="G339" s="64">
        <v>44324.612326388902</v>
      </c>
      <c r="H339" s="51" t="s">
        <v>257</v>
      </c>
      <c r="I339" s="52"/>
      <c r="J339" s="53"/>
      <c r="K339" s="47" t="s">
        <v>85</v>
      </c>
      <c r="L339" s="65">
        <v>12000</v>
      </c>
      <c r="M339" s="56" t="s">
        <v>86</v>
      </c>
    </row>
    <row r="340" spans="1:13" x14ac:dyDescent="0.4">
      <c r="A340" s="35">
        <v>330</v>
      </c>
      <c r="B340" s="47" t="s">
        <v>80</v>
      </c>
      <c r="C340" s="48" t="s">
        <v>266</v>
      </c>
      <c r="D340" s="48" t="s">
        <v>116</v>
      </c>
      <c r="E340" s="49" t="s">
        <v>173</v>
      </c>
      <c r="F340" s="64">
        <v>44323.914409722202</v>
      </c>
      <c r="G340" s="64">
        <v>44324.612326388902</v>
      </c>
      <c r="H340" s="51" t="s">
        <v>257</v>
      </c>
      <c r="I340" s="52"/>
      <c r="J340" s="53"/>
      <c r="K340" s="47" t="s">
        <v>85</v>
      </c>
      <c r="L340" s="65">
        <v>12000</v>
      </c>
      <c r="M340" s="56" t="s">
        <v>86</v>
      </c>
    </row>
    <row r="341" spans="1:13" x14ac:dyDescent="0.4">
      <c r="A341" s="35">
        <v>331</v>
      </c>
      <c r="B341" s="47" t="s">
        <v>80</v>
      </c>
      <c r="C341" s="48" t="s">
        <v>266</v>
      </c>
      <c r="D341" s="48" t="s">
        <v>117</v>
      </c>
      <c r="E341" s="49" t="s">
        <v>173</v>
      </c>
      <c r="F341" s="64">
        <v>44323.914409722202</v>
      </c>
      <c r="G341" s="64">
        <v>44324.612326388902</v>
      </c>
      <c r="H341" s="51" t="s">
        <v>257</v>
      </c>
      <c r="I341" s="52"/>
      <c r="J341" s="53"/>
      <c r="K341" s="47" t="s">
        <v>85</v>
      </c>
      <c r="L341" s="65">
        <v>12000</v>
      </c>
      <c r="M341" s="56" t="s">
        <v>86</v>
      </c>
    </row>
    <row r="342" spans="1:13" x14ac:dyDescent="0.4">
      <c r="A342" s="35">
        <v>332</v>
      </c>
      <c r="B342" s="47" t="s">
        <v>80</v>
      </c>
      <c r="C342" s="48" t="s">
        <v>266</v>
      </c>
      <c r="D342" s="48" t="s">
        <v>118</v>
      </c>
      <c r="E342" s="49" t="s">
        <v>173</v>
      </c>
      <c r="F342" s="64">
        <v>44323.914409722202</v>
      </c>
      <c r="G342" s="64">
        <v>44324.612326388902</v>
      </c>
      <c r="H342" s="51" t="s">
        <v>257</v>
      </c>
      <c r="I342" s="52"/>
      <c r="J342" s="53"/>
      <c r="K342" s="47" t="s">
        <v>85</v>
      </c>
      <c r="L342" s="65">
        <v>12000</v>
      </c>
      <c r="M342" s="56" t="s">
        <v>86</v>
      </c>
    </row>
    <row r="343" spans="1:13" x14ac:dyDescent="0.4">
      <c r="A343" s="35">
        <v>333</v>
      </c>
      <c r="B343" s="47" t="s">
        <v>80</v>
      </c>
      <c r="C343" s="48" t="s">
        <v>266</v>
      </c>
      <c r="D343" s="48" t="s">
        <v>119</v>
      </c>
      <c r="E343" s="49" t="s">
        <v>173</v>
      </c>
      <c r="F343" s="64">
        <v>44323.914409722202</v>
      </c>
      <c r="G343" s="64">
        <v>44324.612326388902</v>
      </c>
      <c r="H343" s="51" t="s">
        <v>257</v>
      </c>
      <c r="I343" s="52"/>
      <c r="J343" s="53"/>
      <c r="K343" s="47" t="s">
        <v>85</v>
      </c>
      <c r="L343" s="65">
        <v>12000</v>
      </c>
      <c r="M343" s="56" t="s">
        <v>86</v>
      </c>
    </row>
    <row r="344" spans="1:13" x14ac:dyDescent="0.4">
      <c r="A344" s="35">
        <v>334</v>
      </c>
      <c r="B344" s="47" t="s">
        <v>80</v>
      </c>
      <c r="C344" s="48" t="s">
        <v>266</v>
      </c>
      <c r="D344" s="48" t="s">
        <v>120</v>
      </c>
      <c r="E344" s="49" t="s">
        <v>173</v>
      </c>
      <c r="F344" s="64">
        <v>44323.914409722202</v>
      </c>
      <c r="G344" s="64">
        <v>44324.612326388902</v>
      </c>
      <c r="H344" s="51" t="s">
        <v>257</v>
      </c>
      <c r="I344" s="52"/>
      <c r="J344" s="53"/>
      <c r="K344" s="47" t="s">
        <v>85</v>
      </c>
      <c r="L344" s="65">
        <v>12000</v>
      </c>
      <c r="M344" s="56" t="s">
        <v>86</v>
      </c>
    </row>
    <row r="345" spans="1:13" x14ac:dyDescent="0.4">
      <c r="A345" s="35">
        <v>335</v>
      </c>
      <c r="B345" s="47" t="s">
        <v>80</v>
      </c>
      <c r="C345" s="48" t="s">
        <v>266</v>
      </c>
      <c r="D345" s="48" t="s">
        <v>82</v>
      </c>
      <c r="E345" s="49" t="s">
        <v>173</v>
      </c>
      <c r="F345" s="64">
        <v>44323.914409722202</v>
      </c>
      <c r="G345" s="64">
        <v>44324.612326388902</v>
      </c>
      <c r="H345" s="51" t="s">
        <v>257</v>
      </c>
      <c r="I345" s="52"/>
      <c r="J345" s="53"/>
      <c r="K345" s="47" t="s">
        <v>85</v>
      </c>
      <c r="L345" s="65">
        <v>12000</v>
      </c>
      <c r="M345" s="56" t="s">
        <v>86</v>
      </c>
    </row>
    <row r="346" spans="1:13" x14ac:dyDescent="0.4">
      <c r="A346" s="35">
        <v>336</v>
      </c>
      <c r="B346" s="47" t="s">
        <v>80</v>
      </c>
      <c r="C346" s="48" t="s">
        <v>266</v>
      </c>
      <c r="D346" s="48" t="s">
        <v>87</v>
      </c>
      <c r="E346" s="49" t="s">
        <v>173</v>
      </c>
      <c r="F346" s="64">
        <v>44323.914409722202</v>
      </c>
      <c r="G346" s="64">
        <v>44324.612326388902</v>
      </c>
      <c r="H346" s="51" t="s">
        <v>257</v>
      </c>
      <c r="I346" s="52"/>
      <c r="J346" s="53"/>
      <c r="K346" s="47" t="s">
        <v>85</v>
      </c>
      <c r="L346" s="65">
        <v>12000</v>
      </c>
      <c r="M346" s="56" t="s">
        <v>86</v>
      </c>
    </row>
    <row r="347" spans="1:13" x14ac:dyDescent="0.4">
      <c r="A347" s="35">
        <v>337</v>
      </c>
      <c r="B347" s="47" t="s">
        <v>80</v>
      </c>
      <c r="C347" s="48" t="s">
        <v>266</v>
      </c>
      <c r="D347" s="48" t="s">
        <v>88</v>
      </c>
      <c r="E347" s="49" t="s">
        <v>173</v>
      </c>
      <c r="F347" s="64">
        <v>44323.914409722202</v>
      </c>
      <c r="G347" s="64">
        <v>44324.612326388902</v>
      </c>
      <c r="H347" s="51" t="s">
        <v>257</v>
      </c>
      <c r="I347" s="52"/>
      <c r="J347" s="53"/>
      <c r="K347" s="47" t="s">
        <v>85</v>
      </c>
      <c r="L347" s="65">
        <v>12000</v>
      </c>
      <c r="M347" s="56" t="s">
        <v>86</v>
      </c>
    </row>
    <row r="348" spans="1:13" x14ac:dyDescent="0.4">
      <c r="A348" s="35">
        <v>338</v>
      </c>
      <c r="B348" s="47" t="s">
        <v>80</v>
      </c>
      <c r="C348" s="48" t="s">
        <v>266</v>
      </c>
      <c r="D348" s="48" t="s">
        <v>89</v>
      </c>
      <c r="E348" s="49" t="s">
        <v>173</v>
      </c>
      <c r="F348" s="64">
        <v>44323.914409722202</v>
      </c>
      <c r="G348" s="64">
        <v>44324.612326388902</v>
      </c>
      <c r="H348" s="51" t="s">
        <v>257</v>
      </c>
      <c r="I348" s="52"/>
      <c r="J348" s="53"/>
      <c r="K348" s="47" t="s">
        <v>85</v>
      </c>
      <c r="L348" s="65">
        <v>12000</v>
      </c>
      <c r="M348" s="56" t="s">
        <v>86</v>
      </c>
    </row>
    <row r="349" spans="1:13" x14ac:dyDescent="0.4">
      <c r="A349" s="35">
        <v>339</v>
      </c>
      <c r="B349" s="47" t="s">
        <v>80</v>
      </c>
      <c r="C349" s="48" t="s">
        <v>266</v>
      </c>
      <c r="D349" s="48" t="s">
        <v>90</v>
      </c>
      <c r="E349" s="49" t="s">
        <v>173</v>
      </c>
      <c r="F349" s="64">
        <v>44323.914409722202</v>
      </c>
      <c r="G349" s="64">
        <v>44324.612326388902</v>
      </c>
      <c r="H349" s="51" t="s">
        <v>257</v>
      </c>
      <c r="I349" s="52"/>
      <c r="J349" s="53"/>
      <c r="K349" s="47" t="s">
        <v>85</v>
      </c>
      <c r="L349" s="65">
        <v>12000</v>
      </c>
      <c r="M349" s="56" t="s">
        <v>86</v>
      </c>
    </row>
    <row r="350" spans="1:13" x14ac:dyDescent="0.4">
      <c r="A350" s="35">
        <v>340</v>
      </c>
      <c r="B350" s="47" t="s">
        <v>80</v>
      </c>
      <c r="C350" s="48" t="s">
        <v>266</v>
      </c>
      <c r="D350" s="48" t="s">
        <v>91</v>
      </c>
      <c r="E350" s="49" t="s">
        <v>173</v>
      </c>
      <c r="F350" s="64">
        <v>44323.914409722202</v>
      </c>
      <c r="G350" s="64">
        <v>44324.612326388902</v>
      </c>
      <c r="H350" s="51" t="s">
        <v>257</v>
      </c>
      <c r="I350" s="52"/>
      <c r="J350" s="53"/>
      <c r="K350" s="47" t="s">
        <v>85</v>
      </c>
      <c r="L350" s="65">
        <v>12000</v>
      </c>
      <c r="M350" s="56" t="s">
        <v>86</v>
      </c>
    </row>
    <row r="351" spans="1:13" x14ac:dyDescent="0.4">
      <c r="A351" s="35">
        <v>341</v>
      </c>
      <c r="B351" s="47" t="s">
        <v>80</v>
      </c>
      <c r="C351" s="48" t="s">
        <v>266</v>
      </c>
      <c r="D351" s="48" t="s">
        <v>92</v>
      </c>
      <c r="E351" s="49" t="s">
        <v>173</v>
      </c>
      <c r="F351" s="64">
        <v>44323.914409722202</v>
      </c>
      <c r="G351" s="64">
        <v>44324.612326388902</v>
      </c>
      <c r="H351" s="51" t="s">
        <v>257</v>
      </c>
      <c r="I351" s="52"/>
      <c r="J351" s="53"/>
      <c r="K351" s="47" t="s">
        <v>85</v>
      </c>
      <c r="L351" s="65">
        <v>12000</v>
      </c>
      <c r="M351" s="56" t="s">
        <v>86</v>
      </c>
    </row>
    <row r="352" spans="1:13" x14ac:dyDescent="0.4">
      <c r="A352" s="35">
        <v>342</v>
      </c>
      <c r="B352" s="47" t="s">
        <v>80</v>
      </c>
      <c r="C352" s="48" t="s">
        <v>266</v>
      </c>
      <c r="D352" s="48" t="s">
        <v>93</v>
      </c>
      <c r="E352" s="49" t="s">
        <v>173</v>
      </c>
      <c r="F352" s="64">
        <v>44323.914409722202</v>
      </c>
      <c r="G352" s="64">
        <v>44324.612326388902</v>
      </c>
      <c r="H352" s="51" t="s">
        <v>257</v>
      </c>
      <c r="I352" s="52"/>
      <c r="J352" s="53"/>
      <c r="K352" s="47" t="s">
        <v>85</v>
      </c>
      <c r="L352" s="65">
        <v>12000</v>
      </c>
      <c r="M352" s="56" t="s">
        <v>86</v>
      </c>
    </row>
    <row r="353" spans="1:13" x14ac:dyDescent="0.4">
      <c r="A353" s="35">
        <v>343</v>
      </c>
      <c r="B353" s="47" t="s">
        <v>80</v>
      </c>
      <c r="C353" s="48" t="s">
        <v>266</v>
      </c>
      <c r="D353" s="48" t="s">
        <v>273</v>
      </c>
      <c r="E353" s="49" t="s">
        <v>173</v>
      </c>
      <c r="F353" s="64">
        <v>44323.914409722202</v>
      </c>
      <c r="G353" s="64">
        <v>44324.612326388902</v>
      </c>
      <c r="H353" s="51" t="s">
        <v>257</v>
      </c>
      <c r="I353" s="52"/>
      <c r="J353" s="53"/>
      <c r="K353" s="47" t="s">
        <v>85</v>
      </c>
      <c r="L353" s="65">
        <v>12000</v>
      </c>
      <c r="M353" s="56" t="s">
        <v>86</v>
      </c>
    </row>
    <row r="354" spans="1:13" x14ac:dyDescent="0.4">
      <c r="A354" s="35">
        <v>344</v>
      </c>
      <c r="B354" s="47" t="s">
        <v>80</v>
      </c>
      <c r="C354" s="48" t="s">
        <v>266</v>
      </c>
      <c r="D354" s="48" t="s">
        <v>274</v>
      </c>
      <c r="E354" s="49" t="s">
        <v>173</v>
      </c>
      <c r="F354" s="64">
        <v>44323.914409722202</v>
      </c>
      <c r="G354" s="64">
        <v>44324.612326388902</v>
      </c>
      <c r="H354" s="51" t="s">
        <v>257</v>
      </c>
      <c r="I354" s="52"/>
      <c r="J354" s="53"/>
      <c r="K354" s="47" t="s">
        <v>85</v>
      </c>
      <c r="L354" s="65">
        <v>12000</v>
      </c>
      <c r="M354" s="56" t="s">
        <v>86</v>
      </c>
    </row>
    <row r="355" spans="1:13" x14ac:dyDescent="0.4">
      <c r="A355" s="35">
        <v>345</v>
      </c>
      <c r="B355" s="47" t="s">
        <v>80</v>
      </c>
      <c r="C355" s="48" t="s">
        <v>266</v>
      </c>
      <c r="D355" s="48" t="s">
        <v>123</v>
      </c>
      <c r="E355" s="49" t="s">
        <v>173</v>
      </c>
      <c r="F355" s="64">
        <v>44323.914409722202</v>
      </c>
      <c r="G355" s="64">
        <v>44324.612326388902</v>
      </c>
      <c r="H355" s="51" t="s">
        <v>257</v>
      </c>
      <c r="I355" s="52"/>
      <c r="J355" s="53"/>
      <c r="K355" s="47" t="s">
        <v>85</v>
      </c>
      <c r="L355" s="65">
        <v>12000</v>
      </c>
      <c r="M355" s="56" t="s">
        <v>86</v>
      </c>
    </row>
    <row r="356" spans="1:13" x14ac:dyDescent="0.4">
      <c r="A356" s="35">
        <v>346</v>
      </c>
      <c r="B356" s="47" t="s">
        <v>80</v>
      </c>
      <c r="C356" s="48" t="s">
        <v>266</v>
      </c>
      <c r="D356" s="48" t="s">
        <v>124</v>
      </c>
      <c r="E356" s="49" t="s">
        <v>173</v>
      </c>
      <c r="F356" s="64">
        <v>44323.914409722202</v>
      </c>
      <c r="G356" s="64">
        <v>44324.612326388902</v>
      </c>
      <c r="H356" s="51" t="s">
        <v>257</v>
      </c>
      <c r="I356" s="52"/>
      <c r="J356" s="53"/>
      <c r="K356" s="47" t="s">
        <v>85</v>
      </c>
      <c r="L356" s="65">
        <v>12000</v>
      </c>
      <c r="M356" s="56" t="s">
        <v>86</v>
      </c>
    </row>
    <row r="357" spans="1:13" x14ac:dyDescent="0.4">
      <c r="A357" s="35">
        <v>347</v>
      </c>
      <c r="B357" s="47" t="s">
        <v>80</v>
      </c>
      <c r="C357" s="48" t="s">
        <v>266</v>
      </c>
      <c r="D357" s="48" t="s">
        <v>125</v>
      </c>
      <c r="E357" s="49" t="s">
        <v>173</v>
      </c>
      <c r="F357" s="64">
        <v>44323.914409722202</v>
      </c>
      <c r="G357" s="64">
        <v>44324.612326388902</v>
      </c>
      <c r="H357" s="51" t="s">
        <v>257</v>
      </c>
      <c r="I357" s="52"/>
      <c r="J357" s="53"/>
      <c r="K357" s="47" t="s">
        <v>85</v>
      </c>
      <c r="L357" s="65">
        <v>12000</v>
      </c>
      <c r="M357" s="56" t="s">
        <v>86</v>
      </c>
    </row>
    <row r="358" spans="1:13" x14ac:dyDescent="0.4">
      <c r="A358" s="35">
        <v>348</v>
      </c>
      <c r="B358" s="47" t="s">
        <v>80</v>
      </c>
      <c r="C358" s="48" t="s">
        <v>266</v>
      </c>
      <c r="D358" s="48" t="s">
        <v>126</v>
      </c>
      <c r="E358" s="49" t="s">
        <v>173</v>
      </c>
      <c r="F358" s="64">
        <v>44323.914409722202</v>
      </c>
      <c r="G358" s="64">
        <v>44324.612326388902</v>
      </c>
      <c r="H358" s="51" t="s">
        <v>257</v>
      </c>
      <c r="I358" s="52"/>
      <c r="J358" s="53"/>
      <c r="K358" s="47" t="s">
        <v>85</v>
      </c>
      <c r="L358" s="65">
        <v>12000</v>
      </c>
      <c r="M358" s="56" t="s">
        <v>86</v>
      </c>
    </row>
    <row r="359" spans="1:13" x14ac:dyDescent="0.4">
      <c r="A359" s="35">
        <v>349</v>
      </c>
      <c r="B359" s="47" t="s">
        <v>80</v>
      </c>
      <c r="C359" s="48" t="s">
        <v>266</v>
      </c>
      <c r="D359" s="48" t="s">
        <v>177</v>
      </c>
      <c r="E359" s="49" t="s">
        <v>173</v>
      </c>
      <c r="F359" s="64">
        <v>44323.914409722202</v>
      </c>
      <c r="G359" s="64">
        <v>44324.612326388902</v>
      </c>
      <c r="H359" s="51" t="s">
        <v>257</v>
      </c>
      <c r="I359" s="52"/>
      <c r="J359" s="53"/>
      <c r="K359" s="47" t="s">
        <v>85</v>
      </c>
      <c r="L359" s="65">
        <v>12000</v>
      </c>
      <c r="M359" s="56" t="s">
        <v>86</v>
      </c>
    </row>
    <row r="360" spans="1:13" x14ac:dyDescent="0.4">
      <c r="A360" s="35">
        <v>350</v>
      </c>
      <c r="B360" s="47" t="s">
        <v>80</v>
      </c>
      <c r="C360" s="48" t="s">
        <v>266</v>
      </c>
      <c r="D360" s="48" t="s">
        <v>178</v>
      </c>
      <c r="E360" s="49" t="s">
        <v>173</v>
      </c>
      <c r="F360" s="64">
        <v>44323.914409722202</v>
      </c>
      <c r="G360" s="64">
        <v>44324.612326388902</v>
      </c>
      <c r="H360" s="51" t="s">
        <v>257</v>
      </c>
      <c r="I360" s="52"/>
      <c r="J360" s="53"/>
      <c r="K360" s="47" t="s">
        <v>85</v>
      </c>
      <c r="L360" s="65">
        <v>12000</v>
      </c>
      <c r="M360" s="56" t="s">
        <v>86</v>
      </c>
    </row>
    <row r="361" spans="1:13" x14ac:dyDescent="0.4">
      <c r="A361" s="35">
        <v>351</v>
      </c>
      <c r="B361" s="47" t="s">
        <v>80</v>
      </c>
      <c r="C361" s="48" t="s">
        <v>266</v>
      </c>
      <c r="D361" s="48" t="s">
        <v>129</v>
      </c>
      <c r="E361" s="49" t="s">
        <v>173</v>
      </c>
      <c r="F361" s="64">
        <v>44323.914409722202</v>
      </c>
      <c r="G361" s="64">
        <v>44324.612326388902</v>
      </c>
      <c r="H361" s="51" t="s">
        <v>257</v>
      </c>
      <c r="I361" s="52"/>
      <c r="J361" s="53"/>
      <c r="K361" s="47" t="s">
        <v>85</v>
      </c>
      <c r="L361" s="65">
        <v>12000</v>
      </c>
      <c r="M361" s="56" t="s">
        <v>86</v>
      </c>
    </row>
    <row r="362" spans="1:13" x14ac:dyDescent="0.4">
      <c r="A362" s="35">
        <v>352</v>
      </c>
      <c r="B362" s="47" t="s">
        <v>80</v>
      </c>
      <c r="C362" s="48" t="s">
        <v>266</v>
      </c>
      <c r="D362" s="48" t="s">
        <v>130</v>
      </c>
      <c r="E362" s="49" t="s">
        <v>173</v>
      </c>
      <c r="F362" s="64">
        <v>44323.914409722202</v>
      </c>
      <c r="G362" s="64">
        <v>44324.612326388902</v>
      </c>
      <c r="H362" s="51" t="s">
        <v>257</v>
      </c>
      <c r="I362" s="52"/>
      <c r="J362" s="53"/>
      <c r="K362" s="47" t="s">
        <v>85</v>
      </c>
      <c r="L362" s="65">
        <v>12000</v>
      </c>
      <c r="M362" s="56" t="s">
        <v>86</v>
      </c>
    </row>
    <row r="363" spans="1:13" x14ac:dyDescent="0.4">
      <c r="A363" s="35">
        <v>353</v>
      </c>
      <c r="B363" s="47" t="s">
        <v>80</v>
      </c>
      <c r="C363" s="48" t="s">
        <v>266</v>
      </c>
      <c r="D363" s="48" t="s">
        <v>131</v>
      </c>
      <c r="E363" s="49" t="s">
        <v>173</v>
      </c>
      <c r="F363" s="64">
        <v>44323.914409722202</v>
      </c>
      <c r="G363" s="64">
        <v>44324.612326388902</v>
      </c>
      <c r="H363" s="51" t="s">
        <v>257</v>
      </c>
      <c r="I363" s="52"/>
      <c r="J363" s="53"/>
      <c r="K363" s="47" t="s">
        <v>85</v>
      </c>
      <c r="L363" s="65">
        <v>12000</v>
      </c>
      <c r="M363" s="56" t="s">
        <v>86</v>
      </c>
    </row>
    <row r="364" spans="1:13" x14ac:dyDescent="0.4">
      <c r="A364" s="35">
        <v>354</v>
      </c>
      <c r="B364" s="47" t="s">
        <v>80</v>
      </c>
      <c r="C364" s="48" t="s">
        <v>266</v>
      </c>
      <c r="D364" s="48" t="s">
        <v>132</v>
      </c>
      <c r="E364" s="49" t="s">
        <v>173</v>
      </c>
      <c r="F364" s="64">
        <v>44323.914409722202</v>
      </c>
      <c r="G364" s="64">
        <v>44324.612326388902</v>
      </c>
      <c r="H364" s="51" t="s">
        <v>257</v>
      </c>
      <c r="I364" s="52"/>
      <c r="J364" s="53"/>
      <c r="K364" s="47" t="s">
        <v>85</v>
      </c>
      <c r="L364" s="65">
        <v>12000</v>
      </c>
      <c r="M364" s="56" t="s">
        <v>86</v>
      </c>
    </row>
    <row r="365" spans="1:13" x14ac:dyDescent="0.4">
      <c r="A365" s="35">
        <v>355</v>
      </c>
      <c r="B365" s="47" t="s">
        <v>80</v>
      </c>
      <c r="C365" s="48" t="s">
        <v>266</v>
      </c>
      <c r="D365" s="48" t="s">
        <v>133</v>
      </c>
      <c r="E365" s="49" t="s">
        <v>173</v>
      </c>
      <c r="F365" s="64">
        <v>44323.914409722202</v>
      </c>
      <c r="G365" s="64">
        <v>44324.612326388902</v>
      </c>
      <c r="H365" s="51" t="s">
        <v>257</v>
      </c>
      <c r="I365" s="52"/>
      <c r="J365" s="53"/>
      <c r="K365" s="47" t="s">
        <v>85</v>
      </c>
      <c r="L365" s="65">
        <v>12000</v>
      </c>
      <c r="M365" s="56" t="s">
        <v>86</v>
      </c>
    </row>
    <row r="366" spans="1:13" x14ac:dyDescent="0.4">
      <c r="A366" s="35">
        <v>356</v>
      </c>
      <c r="B366" s="47" t="s">
        <v>80</v>
      </c>
      <c r="C366" s="48" t="s">
        <v>266</v>
      </c>
      <c r="D366" s="48" t="s">
        <v>134</v>
      </c>
      <c r="E366" s="49" t="s">
        <v>173</v>
      </c>
      <c r="F366" s="64">
        <v>44323.914409722202</v>
      </c>
      <c r="G366" s="64">
        <v>44324.612326388902</v>
      </c>
      <c r="H366" s="51" t="s">
        <v>257</v>
      </c>
      <c r="I366" s="52"/>
      <c r="J366" s="53"/>
      <c r="K366" s="47" t="s">
        <v>85</v>
      </c>
      <c r="L366" s="65">
        <v>12000</v>
      </c>
      <c r="M366" s="56" t="s">
        <v>86</v>
      </c>
    </row>
    <row r="367" spans="1:13" x14ac:dyDescent="0.4">
      <c r="A367" s="35">
        <v>357</v>
      </c>
      <c r="B367" s="47" t="s">
        <v>80</v>
      </c>
      <c r="C367" s="48" t="s">
        <v>266</v>
      </c>
      <c r="D367" s="48" t="s">
        <v>135</v>
      </c>
      <c r="E367" s="49" t="s">
        <v>173</v>
      </c>
      <c r="F367" s="64">
        <v>44323.914409722202</v>
      </c>
      <c r="G367" s="64">
        <v>44324.612326388902</v>
      </c>
      <c r="H367" s="51" t="s">
        <v>257</v>
      </c>
      <c r="I367" s="52"/>
      <c r="J367" s="53"/>
      <c r="K367" s="47" t="s">
        <v>85</v>
      </c>
      <c r="L367" s="65">
        <v>12000</v>
      </c>
      <c r="M367" s="56" t="s">
        <v>86</v>
      </c>
    </row>
    <row r="368" spans="1:13" x14ac:dyDescent="0.4">
      <c r="A368" s="35">
        <v>358</v>
      </c>
      <c r="B368" s="47" t="s">
        <v>80</v>
      </c>
      <c r="C368" s="48" t="s">
        <v>266</v>
      </c>
      <c r="D368" s="48" t="s">
        <v>136</v>
      </c>
      <c r="E368" s="49" t="s">
        <v>173</v>
      </c>
      <c r="F368" s="64">
        <v>44323.914409722202</v>
      </c>
      <c r="G368" s="64">
        <v>44324.612326388902</v>
      </c>
      <c r="H368" s="51" t="s">
        <v>257</v>
      </c>
      <c r="I368" s="52"/>
      <c r="J368" s="53"/>
      <c r="K368" s="47" t="s">
        <v>85</v>
      </c>
      <c r="L368" s="65">
        <v>12000</v>
      </c>
      <c r="M368" s="56" t="s">
        <v>86</v>
      </c>
    </row>
    <row r="369" spans="1:13" x14ac:dyDescent="0.4">
      <c r="A369" s="35">
        <v>359</v>
      </c>
      <c r="B369" s="47" t="s">
        <v>80</v>
      </c>
      <c r="C369" s="48" t="s">
        <v>266</v>
      </c>
      <c r="D369" s="48" t="s">
        <v>137</v>
      </c>
      <c r="E369" s="49" t="s">
        <v>173</v>
      </c>
      <c r="F369" s="64">
        <v>44323.914409722202</v>
      </c>
      <c r="G369" s="64">
        <v>44324.612326388902</v>
      </c>
      <c r="H369" s="51" t="s">
        <v>257</v>
      </c>
      <c r="I369" s="52"/>
      <c r="J369" s="53"/>
      <c r="K369" s="47" t="s">
        <v>85</v>
      </c>
      <c r="L369" s="65">
        <v>12000</v>
      </c>
      <c r="M369" s="56" t="s">
        <v>86</v>
      </c>
    </row>
    <row r="370" spans="1:13" x14ac:dyDescent="0.4">
      <c r="A370" s="35">
        <v>360</v>
      </c>
      <c r="B370" s="47" t="s">
        <v>80</v>
      </c>
      <c r="C370" s="48" t="s">
        <v>266</v>
      </c>
      <c r="D370" s="48" t="s">
        <v>138</v>
      </c>
      <c r="E370" s="49" t="s">
        <v>173</v>
      </c>
      <c r="F370" s="64">
        <v>44323.914409722202</v>
      </c>
      <c r="G370" s="64">
        <v>44324.612326388902</v>
      </c>
      <c r="H370" s="51" t="s">
        <v>257</v>
      </c>
      <c r="I370" s="52"/>
      <c r="J370" s="53"/>
      <c r="K370" s="47" t="s">
        <v>85</v>
      </c>
      <c r="L370" s="65">
        <v>12000</v>
      </c>
      <c r="M370" s="56" t="s">
        <v>86</v>
      </c>
    </row>
    <row r="371" spans="1:13" x14ac:dyDescent="0.4">
      <c r="A371" s="35">
        <v>361</v>
      </c>
      <c r="B371" s="47" t="s">
        <v>80</v>
      </c>
      <c r="C371" s="48" t="s">
        <v>266</v>
      </c>
      <c r="D371" s="48" t="s">
        <v>141</v>
      </c>
      <c r="E371" s="49" t="s">
        <v>173</v>
      </c>
      <c r="F371" s="64">
        <v>44323.914409722202</v>
      </c>
      <c r="G371" s="64">
        <v>44324.612326388902</v>
      </c>
      <c r="H371" s="51" t="s">
        <v>257</v>
      </c>
      <c r="I371" s="52"/>
      <c r="J371" s="53"/>
      <c r="K371" s="47" t="s">
        <v>85</v>
      </c>
      <c r="L371" s="65">
        <v>12000</v>
      </c>
      <c r="M371" s="56" t="s">
        <v>86</v>
      </c>
    </row>
    <row r="372" spans="1:13" x14ac:dyDescent="0.4">
      <c r="A372" s="35">
        <v>362</v>
      </c>
      <c r="B372" s="47" t="s">
        <v>80</v>
      </c>
      <c r="C372" s="48" t="s">
        <v>266</v>
      </c>
      <c r="D372" s="48" t="s">
        <v>142</v>
      </c>
      <c r="E372" s="49" t="s">
        <v>173</v>
      </c>
      <c r="F372" s="64">
        <v>44323.914409722202</v>
      </c>
      <c r="G372" s="64">
        <v>44324.612326388902</v>
      </c>
      <c r="H372" s="51" t="s">
        <v>257</v>
      </c>
      <c r="I372" s="52"/>
      <c r="J372" s="53"/>
      <c r="K372" s="47" t="s">
        <v>85</v>
      </c>
      <c r="L372" s="65">
        <v>12000</v>
      </c>
      <c r="M372" s="56" t="s">
        <v>86</v>
      </c>
    </row>
    <row r="373" spans="1:13" x14ac:dyDescent="0.4">
      <c r="A373" s="35">
        <v>363</v>
      </c>
      <c r="B373" s="47" t="s">
        <v>80</v>
      </c>
      <c r="C373" s="48" t="s">
        <v>266</v>
      </c>
      <c r="D373" s="48" t="s">
        <v>143</v>
      </c>
      <c r="E373" s="49" t="s">
        <v>173</v>
      </c>
      <c r="F373" s="64">
        <v>44327.951435185198</v>
      </c>
      <c r="G373" s="64">
        <v>44327.783935185202</v>
      </c>
      <c r="H373" s="51" t="s">
        <v>257</v>
      </c>
      <c r="I373" s="52"/>
      <c r="J373" s="53"/>
      <c r="K373" s="47" t="s">
        <v>85</v>
      </c>
      <c r="L373" s="65">
        <v>12000</v>
      </c>
      <c r="M373" s="56" t="s">
        <v>86</v>
      </c>
    </row>
    <row r="374" spans="1:13" x14ac:dyDescent="0.4">
      <c r="A374" s="35">
        <v>364</v>
      </c>
      <c r="B374" s="47" t="s">
        <v>80</v>
      </c>
      <c r="C374" s="48" t="s">
        <v>266</v>
      </c>
      <c r="D374" s="48" t="s">
        <v>144</v>
      </c>
      <c r="E374" s="49" t="s">
        <v>173</v>
      </c>
      <c r="F374" s="64">
        <v>44327.951435185198</v>
      </c>
      <c r="G374" s="64">
        <v>44327.783935185202</v>
      </c>
      <c r="H374" s="51" t="s">
        <v>257</v>
      </c>
      <c r="I374" s="52"/>
      <c r="J374" s="53"/>
      <c r="K374" s="47" t="s">
        <v>85</v>
      </c>
      <c r="L374" s="65">
        <v>12000</v>
      </c>
      <c r="M374" s="56" t="s">
        <v>86</v>
      </c>
    </row>
    <row r="375" spans="1:13" x14ac:dyDescent="0.4">
      <c r="A375" s="35">
        <v>365</v>
      </c>
      <c r="B375" s="47" t="s">
        <v>80</v>
      </c>
      <c r="C375" s="48" t="s">
        <v>266</v>
      </c>
      <c r="D375" s="48" t="s">
        <v>145</v>
      </c>
      <c r="E375" s="49" t="s">
        <v>173</v>
      </c>
      <c r="F375" s="64">
        <v>44327.951435185198</v>
      </c>
      <c r="G375" s="64">
        <v>44327.783935185202</v>
      </c>
      <c r="H375" s="51" t="s">
        <v>257</v>
      </c>
      <c r="I375" s="52"/>
      <c r="J375" s="53"/>
      <c r="K375" s="47" t="s">
        <v>85</v>
      </c>
      <c r="L375" s="65">
        <v>12000</v>
      </c>
      <c r="M375" s="56" t="s">
        <v>86</v>
      </c>
    </row>
    <row r="376" spans="1:13" x14ac:dyDescent="0.4">
      <c r="A376" s="35">
        <v>366</v>
      </c>
      <c r="B376" s="47" t="s">
        <v>80</v>
      </c>
      <c r="C376" s="48" t="s">
        <v>266</v>
      </c>
      <c r="D376" s="48" t="s">
        <v>146</v>
      </c>
      <c r="E376" s="49" t="s">
        <v>173</v>
      </c>
      <c r="F376" s="64">
        <v>44327.951435185198</v>
      </c>
      <c r="G376" s="64">
        <v>44327.783935185202</v>
      </c>
      <c r="H376" s="51" t="s">
        <v>257</v>
      </c>
      <c r="I376" s="52"/>
      <c r="J376" s="53"/>
      <c r="K376" s="47" t="s">
        <v>85</v>
      </c>
      <c r="L376" s="65">
        <v>12000</v>
      </c>
      <c r="M376" s="56" t="s">
        <v>86</v>
      </c>
    </row>
    <row r="377" spans="1:13" x14ac:dyDescent="0.4">
      <c r="A377" s="35">
        <v>367</v>
      </c>
      <c r="B377" s="47" t="s">
        <v>80</v>
      </c>
      <c r="C377" s="48" t="s">
        <v>266</v>
      </c>
      <c r="D377" s="48" t="s">
        <v>147</v>
      </c>
      <c r="E377" s="49" t="s">
        <v>173</v>
      </c>
      <c r="F377" s="64">
        <v>44327.951435185198</v>
      </c>
      <c r="G377" s="64">
        <v>44327.783935185202</v>
      </c>
      <c r="H377" s="51" t="s">
        <v>257</v>
      </c>
      <c r="I377" s="52"/>
      <c r="J377" s="53"/>
      <c r="K377" s="47" t="s">
        <v>85</v>
      </c>
      <c r="L377" s="65">
        <v>12000</v>
      </c>
      <c r="M377" s="56" t="s">
        <v>86</v>
      </c>
    </row>
    <row r="378" spans="1:13" x14ac:dyDescent="0.4">
      <c r="A378" s="35">
        <v>368</v>
      </c>
      <c r="B378" s="47" t="s">
        <v>80</v>
      </c>
      <c r="C378" s="48" t="s">
        <v>266</v>
      </c>
      <c r="D378" s="48" t="s">
        <v>148</v>
      </c>
      <c r="E378" s="49" t="s">
        <v>173</v>
      </c>
      <c r="F378" s="64">
        <v>44327.951435185198</v>
      </c>
      <c r="G378" s="64">
        <v>44327.783935185202</v>
      </c>
      <c r="H378" s="51" t="s">
        <v>257</v>
      </c>
      <c r="I378" s="52"/>
      <c r="J378" s="53"/>
      <c r="K378" s="47" t="s">
        <v>85</v>
      </c>
      <c r="L378" s="65">
        <v>12000</v>
      </c>
      <c r="M378" s="56" t="s">
        <v>86</v>
      </c>
    </row>
    <row r="379" spans="1:13" x14ac:dyDescent="0.4">
      <c r="A379" s="35">
        <v>369</v>
      </c>
      <c r="B379" s="47" t="s">
        <v>80</v>
      </c>
      <c r="C379" s="48" t="s">
        <v>266</v>
      </c>
      <c r="D379" s="48" t="s">
        <v>149</v>
      </c>
      <c r="E379" s="49" t="s">
        <v>173</v>
      </c>
      <c r="F379" s="64">
        <v>44327.951435185198</v>
      </c>
      <c r="G379" s="64">
        <v>44327.783935185202</v>
      </c>
      <c r="H379" s="51" t="s">
        <v>257</v>
      </c>
      <c r="I379" s="52"/>
      <c r="J379" s="53"/>
      <c r="K379" s="47" t="s">
        <v>85</v>
      </c>
      <c r="L379" s="65">
        <v>12000</v>
      </c>
      <c r="M379" s="56" t="s">
        <v>86</v>
      </c>
    </row>
    <row r="380" spans="1:13" x14ac:dyDescent="0.4">
      <c r="A380" s="35">
        <v>370</v>
      </c>
      <c r="B380" s="47" t="s">
        <v>80</v>
      </c>
      <c r="C380" s="48" t="s">
        <v>266</v>
      </c>
      <c r="D380" s="48" t="s">
        <v>150</v>
      </c>
      <c r="E380" s="49" t="s">
        <v>173</v>
      </c>
      <c r="F380" s="64">
        <v>44327.951435185198</v>
      </c>
      <c r="G380" s="64">
        <v>44327.783935185202</v>
      </c>
      <c r="H380" s="51" t="s">
        <v>257</v>
      </c>
      <c r="I380" s="52"/>
      <c r="J380" s="53"/>
      <c r="K380" s="47" t="s">
        <v>85</v>
      </c>
      <c r="L380" s="65">
        <v>12000</v>
      </c>
      <c r="M380" s="56" t="s">
        <v>86</v>
      </c>
    </row>
    <row r="381" spans="1:13" x14ac:dyDescent="0.4">
      <c r="A381" s="35">
        <v>371</v>
      </c>
      <c r="B381" s="47" t="s">
        <v>80</v>
      </c>
      <c r="C381" s="48" t="s">
        <v>266</v>
      </c>
      <c r="D381" s="48" t="s">
        <v>151</v>
      </c>
      <c r="E381" s="49" t="s">
        <v>173</v>
      </c>
      <c r="F381" s="64">
        <v>44327.951435185198</v>
      </c>
      <c r="G381" s="64">
        <v>44327.783935185202</v>
      </c>
      <c r="H381" s="51" t="s">
        <v>257</v>
      </c>
      <c r="I381" s="52"/>
      <c r="J381" s="53"/>
      <c r="K381" s="47" t="s">
        <v>85</v>
      </c>
      <c r="L381" s="65">
        <v>12000</v>
      </c>
      <c r="M381" s="56" t="s">
        <v>86</v>
      </c>
    </row>
    <row r="382" spans="1:13" x14ac:dyDescent="0.4">
      <c r="A382" s="35">
        <v>372</v>
      </c>
      <c r="B382" s="47" t="s">
        <v>80</v>
      </c>
      <c r="C382" s="48" t="s">
        <v>266</v>
      </c>
      <c r="D382" s="48" t="s">
        <v>152</v>
      </c>
      <c r="E382" s="49" t="s">
        <v>173</v>
      </c>
      <c r="F382" s="64">
        <v>44327.951435185198</v>
      </c>
      <c r="G382" s="64">
        <v>44327.783935185202</v>
      </c>
      <c r="H382" s="51" t="s">
        <v>257</v>
      </c>
      <c r="I382" s="52"/>
      <c r="J382" s="53"/>
      <c r="K382" s="47" t="s">
        <v>85</v>
      </c>
      <c r="L382" s="65">
        <v>12000</v>
      </c>
      <c r="M382" s="56" t="s">
        <v>86</v>
      </c>
    </row>
    <row r="383" spans="1:13" x14ac:dyDescent="0.4">
      <c r="A383" s="35">
        <v>373</v>
      </c>
      <c r="B383" s="47" t="s">
        <v>80</v>
      </c>
      <c r="C383" s="48" t="s">
        <v>266</v>
      </c>
      <c r="D383" s="48" t="s">
        <v>153</v>
      </c>
      <c r="E383" s="49" t="s">
        <v>173</v>
      </c>
      <c r="F383" s="64">
        <v>44327.951435185198</v>
      </c>
      <c r="G383" s="64">
        <v>44327.783935185202</v>
      </c>
      <c r="H383" s="51" t="s">
        <v>257</v>
      </c>
      <c r="I383" s="52"/>
      <c r="J383" s="53"/>
      <c r="K383" s="47" t="s">
        <v>85</v>
      </c>
      <c r="L383" s="65">
        <v>12000</v>
      </c>
      <c r="M383" s="56" t="s">
        <v>86</v>
      </c>
    </row>
    <row r="384" spans="1:13" x14ac:dyDescent="0.4">
      <c r="A384" s="35">
        <v>374</v>
      </c>
      <c r="B384" s="47" t="s">
        <v>80</v>
      </c>
      <c r="C384" s="48" t="s">
        <v>266</v>
      </c>
      <c r="D384" s="48" t="s">
        <v>154</v>
      </c>
      <c r="E384" s="49" t="s">
        <v>173</v>
      </c>
      <c r="F384" s="64">
        <v>44327.951435185198</v>
      </c>
      <c r="G384" s="64">
        <v>44327.783935185202</v>
      </c>
      <c r="H384" s="51" t="s">
        <v>257</v>
      </c>
      <c r="I384" s="52"/>
      <c r="J384" s="53"/>
      <c r="K384" s="47" t="s">
        <v>85</v>
      </c>
      <c r="L384" s="65">
        <v>12000</v>
      </c>
      <c r="M384" s="56" t="s">
        <v>86</v>
      </c>
    </row>
    <row r="385" spans="1:13" x14ac:dyDescent="0.4">
      <c r="A385" s="35">
        <v>375</v>
      </c>
      <c r="B385" s="47" t="s">
        <v>80</v>
      </c>
      <c r="C385" s="48" t="s">
        <v>266</v>
      </c>
      <c r="D385" s="70" t="s">
        <v>159</v>
      </c>
      <c r="E385" s="49" t="s">
        <v>173</v>
      </c>
      <c r="F385" s="64">
        <v>44327.951435185198</v>
      </c>
      <c r="G385" s="64">
        <v>44327.783935185202</v>
      </c>
      <c r="H385" s="51" t="s">
        <v>257</v>
      </c>
      <c r="I385" s="52"/>
      <c r="J385" s="53"/>
      <c r="K385" s="47" t="s">
        <v>85</v>
      </c>
      <c r="L385" s="65">
        <v>12000</v>
      </c>
      <c r="M385" s="56" t="s">
        <v>86</v>
      </c>
    </row>
    <row r="386" spans="1:13" x14ac:dyDescent="0.4">
      <c r="A386" s="35">
        <v>376</v>
      </c>
      <c r="B386" s="47" t="s">
        <v>80</v>
      </c>
      <c r="C386" s="48" t="s">
        <v>266</v>
      </c>
      <c r="D386" s="70" t="s">
        <v>160</v>
      </c>
      <c r="E386" s="49" t="s">
        <v>173</v>
      </c>
      <c r="F386" s="64">
        <v>44327.951435185198</v>
      </c>
      <c r="G386" s="64">
        <v>44327.783935185202</v>
      </c>
      <c r="H386" s="51" t="s">
        <v>257</v>
      </c>
      <c r="I386" s="52"/>
      <c r="J386" s="53"/>
      <c r="K386" s="47" t="s">
        <v>85</v>
      </c>
      <c r="L386" s="65">
        <v>12000</v>
      </c>
      <c r="M386" s="56" t="s">
        <v>86</v>
      </c>
    </row>
    <row r="387" spans="1:13" x14ac:dyDescent="0.4">
      <c r="A387" s="35">
        <v>377</v>
      </c>
      <c r="B387" s="47" t="s">
        <v>80</v>
      </c>
      <c r="C387" s="48" t="s">
        <v>266</v>
      </c>
      <c r="D387" s="70" t="s">
        <v>161</v>
      </c>
      <c r="E387" s="49" t="s">
        <v>173</v>
      </c>
      <c r="F387" s="64">
        <v>44327.951435185198</v>
      </c>
      <c r="G387" s="64">
        <v>44327.783935185202</v>
      </c>
      <c r="H387" s="51" t="s">
        <v>257</v>
      </c>
      <c r="I387" s="52"/>
      <c r="J387" s="53"/>
      <c r="K387" s="47" t="s">
        <v>85</v>
      </c>
      <c r="L387" s="65">
        <v>12000</v>
      </c>
      <c r="M387" s="56" t="s">
        <v>86</v>
      </c>
    </row>
    <row r="388" spans="1:13" x14ac:dyDescent="0.4">
      <c r="A388" s="35">
        <v>378</v>
      </c>
      <c r="B388" s="47" t="s">
        <v>80</v>
      </c>
      <c r="C388" s="48" t="s">
        <v>266</v>
      </c>
      <c r="D388" s="70" t="s">
        <v>162</v>
      </c>
      <c r="E388" s="49" t="s">
        <v>173</v>
      </c>
      <c r="F388" s="64">
        <v>44327.951435185198</v>
      </c>
      <c r="G388" s="64">
        <v>44327.783935185202</v>
      </c>
      <c r="H388" s="51" t="s">
        <v>257</v>
      </c>
      <c r="I388" s="52"/>
      <c r="J388" s="53"/>
      <c r="K388" s="47" t="s">
        <v>85</v>
      </c>
      <c r="L388" s="65">
        <v>12000</v>
      </c>
      <c r="M388" s="56" t="s">
        <v>86</v>
      </c>
    </row>
    <row r="389" spans="1:13" x14ac:dyDescent="0.4">
      <c r="A389" s="35">
        <v>379</v>
      </c>
      <c r="B389" s="47" t="s">
        <v>80</v>
      </c>
      <c r="C389" s="48" t="s">
        <v>266</v>
      </c>
      <c r="D389" s="70" t="s">
        <v>163</v>
      </c>
      <c r="E389" s="49" t="s">
        <v>173</v>
      </c>
      <c r="F389" s="64">
        <v>44327.951435185198</v>
      </c>
      <c r="G389" s="64">
        <v>44327.783935185202</v>
      </c>
      <c r="H389" s="51" t="s">
        <v>257</v>
      </c>
      <c r="I389" s="52"/>
      <c r="J389" s="53"/>
      <c r="K389" s="47" t="s">
        <v>85</v>
      </c>
      <c r="L389" s="65">
        <v>12000</v>
      </c>
      <c r="M389" s="56" t="s">
        <v>86</v>
      </c>
    </row>
    <row r="390" spans="1:13" x14ac:dyDescent="0.4">
      <c r="A390" s="35">
        <v>380</v>
      </c>
      <c r="B390" s="47" t="s">
        <v>80</v>
      </c>
      <c r="C390" s="48" t="s">
        <v>266</v>
      </c>
      <c r="D390" s="70" t="s">
        <v>164</v>
      </c>
      <c r="E390" s="49" t="s">
        <v>173</v>
      </c>
      <c r="F390" s="64">
        <v>44327.951435185198</v>
      </c>
      <c r="G390" s="64">
        <v>44327.783935185202</v>
      </c>
      <c r="H390" s="51" t="s">
        <v>257</v>
      </c>
      <c r="I390" s="52"/>
      <c r="J390" s="53"/>
      <c r="K390" s="47" t="s">
        <v>85</v>
      </c>
      <c r="L390" s="65">
        <v>12000</v>
      </c>
      <c r="M390" s="56" t="s">
        <v>86</v>
      </c>
    </row>
    <row r="391" spans="1:13" x14ac:dyDescent="0.4">
      <c r="A391" s="35">
        <v>381</v>
      </c>
      <c r="B391" s="47" t="s">
        <v>80</v>
      </c>
      <c r="C391" s="48" t="s">
        <v>266</v>
      </c>
      <c r="D391" s="70" t="s">
        <v>165</v>
      </c>
      <c r="E391" s="49" t="s">
        <v>173</v>
      </c>
      <c r="F391" s="64">
        <v>44327.951435185198</v>
      </c>
      <c r="G391" s="64">
        <v>44327.783935185202</v>
      </c>
      <c r="H391" s="51" t="s">
        <v>257</v>
      </c>
      <c r="I391" s="52"/>
      <c r="J391" s="53"/>
      <c r="K391" s="47" t="s">
        <v>85</v>
      </c>
      <c r="L391" s="65">
        <v>12000</v>
      </c>
      <c r="M391" s="56" t="s">
        <v>86</v>
      </c>
    </row>
    <row r="392" spans="1:13" x14ac:dyDescent="0.4">
      <c r="A392" s="35">
        <v>382</v>
      </c>
      <c r="B392" s="57" t="s">
        <v>80</v>
      </c>
      <c r="C392" s="58" t="s">
        <v>266</v>
      </c>
      <c r="D392" s="91" t="s">
        <v>166</v>
      </c>
      <c r="E392" s="49" t="s">
        <v>173</v>
      </c>
      <c r="F392" s="80">
        <v>44327.951435185198</v>
      </c>
      <c r="G392" s="64">
        <v>44327.783935185202</v>
      </c>
      <c r="H392" s="51" t="s">
        <v>257</v>
      </c>
      <c r="I392" s="52"/>
      <c r="J392" s="53"/>
      <c r="K392" s="47" t="s">
        <v>85</v>
      </c>
      <c r="L392" s="65">
        <v>12000</v>
      </c>
      <c r="M392" s="56" t="s">
        <v>86</v>
      </c>
    </row>
    <row r="393" spans="1:13" x14ac:dyDescent="0.4">
      <c r="A393" s="35">
        <v>383</v>
      </c>
      <c r="B393" s="92" t="s">
        <v>80</v>
      </c>
      <c r="C393" s="56" t="s">
        <v>266</v>
      </c>
      <c r="D393" s="51" t="s">
        <v>167</v>
      </c>
      <c r="E393" s="49" t="s">
        <v>173</v>
      </c>
      <c r="F393" s="64">
        <v>44327.951435185198</v>
      </c>
      <c r="G393" s="64">
        <v>44327.783935185202</v>
      </c>
      <c r="H393" s="51" t="s">
        <v>257</v>
      </c>
      <c r="I393" s="52"/>
      <c r="J393" s="53"/>
      <c r="K393" s="47" t="s">
        <v>85</v>
      </c>
      <c r="L393" s="65">
        <v>12000</v>
      </c>
      <c r="M393" s="56" t="s">
        <v>86</v>
      </c>
    </row>
    <row r="394" spans="1:13" x14ac:dyDescent="0.4">
      <c r="A394" s="35">
        <v>384</v>
      </c>
      <c r="B394" s="92" t="s">
        <v>80</v>
      </c>
      <c r="C394" s="56" t="s">
        <v>266</v>
      </c>
      <c r="D394" s="51" t="s">
        <v>168</v>
      </c>
      <c r="E394" s="49" t="s">
        <v>173</v>
      </c>
      <c r="F394" s="64">
        <v>44327.951435185198</v>
      </c>
      <c r="G394" s="64">
        <v>44327.783935185202</v>
      </c>
      <c r="H394" s="51" t="s">
        <v>257</v>
      </c>
      <c r="I394" s="52"/>
      <c r="J394" s="53"/>
      <c r="K394" s="47" t="s">
        <v>85</v>
      </c>
      <c r="L394" s="65">
        <v>12000</v>
      </c>
      <c r="M394" s="56" t="s">
        <v>86</v>
      </c>
    </row>
    <row r="395" spans="1:13" x14ac:dyDescent="0.4">
      <c r="A395" s="35">
        <v>385</v>
      </c>
      <c r="B395" s="92" t="s">
        <v>80</v>
      </c>
      <c r="C395" s="56" t="s">
        <v>266</v>
      </c>
      <c r="D395" s="84" t="s">
        <v>275</v>
      </c>
      <c r="E395" s="49" t="s">
        <v>173</v>
      </c>
      <c r="F395" s="64">
        <v>44327.951435185198</v>
      </c>
      <c r="G395" s="64">
        <v>44327.783935185202</v>
      </c>
      <c r="H395" s="51" t="s">
        <v>257</v>
      </c>
      <c r="I395" s="52"/>
      <c r="J395" s="53"/>
      <c r="K395" s="47" t="s">
        <v>85</v>
      </c>
      <c r="L395" s="65">
        <v>12000</v>
      </c>
      <c r="M395" s="56" t="s">
        <v>86</v>
      </c>
    </row>
    <row r="396" spans="1:13" x14ac:dyDescent="0.4">
      <c r="A396" s="35">
        <v>386</v>
      </c>
      <c r="B396" s="92" t="s">
        <v>80</v>
      </c>
      <c r="C396" s="56" t="s">
        <v>266</v>
      </c>
      <c r="D396" s="84" t="s">
        <v>276</v>
      </c>
      <c r="E396" s="49" t="s">
        <v>173</v>
      </c>
      <c r="F396" s="64">
        <v>44327.951435185198</v>
      </c>
      <c r="G396" s="64">
        <v>44327.783935185202</v>
      </c>
      <c r="H396" s="51" t="s">
        <v>257</v>
      </c>
      <c r="I396" s="52"/>
      <c r="J396" s="53"/>
      <c r="K396" s="47" t="s">
        <v>85</v>
      </c>
      <c r="L396" s="65">
        <v>12000</v>
      </c>
      <c r="M396" s="56" t="s">
        <v>86</v>
      </c>
    </row>
    <row r="397" spans="1:13" x14ac:dyDescent="0.4">
      <c r="A397" s="35">
        <v>387</v>
      </c>
      <c r="B397" s="92" t="s">
        <v>80</v>
      </c>
      <c r="C397" s="56" t="s">
        <v>266</v>
      </c>
      <c r="D397" s="84" t="s">
        <v>277</v>
      </c>
      <c r="E397" s="49" t="s">
        <v>173</v>
      </c>
      <c r="F397" s="64">
        <v>44327.951435185198</v>
      </c>
      <c r="G397" s="64">
        <v>44327.783935185202</v>
      </c>
      <c r="H397" s="51" t="s">
        <v>257</v>
      </c>
      <c r="I397" s="52"/>
      <c r="J397" s="53"/>
      <c r="K397" s="47" t="s">
        <v>85</v>
      </c>
      <c r="L397" s="65">
        <v>12000</v>
      </c>
      <c r="M397" s="56" t="s">
        <v>86</v>
      </c>
    </row>
    <row r="398" spans="1:13" x14ac:dyDescent="0.4">
      <c r="A398" s="35">
        <v>388</v>
      </c>
      <c r="B398" s="92" t="s">
        <v>80</v>
      </c>
      <c r="C398" s="56" t="s">
        <v>266</v>
      </c>
      <c r="D398" s="84" t="s">
        <v>278</v>
      </c>
      <c r="E398" s="49" t="s">
        <v>173</v>
      </c>
      <c r="F398" s="64">
        <v>44327.951435185198</v>
      </c>
      <c r="G398" s="64">
        <v>44327.783935185202</v>
      </c>
      <c r="H398" s="51" t="s">
        <v>257</v>
      </c>
      <c r="I398" s="52"/>
      <c r="J398" s="53"/>
      <c r="K398" s="47" t="s">
        <v>85</v>
      </c>
      <c r="L398" s="65">
        <v>12000</v>
      </c>
      <c r="M398" s="56" t="s">
        <v>86</v>
      </c>
    </row>
    <row r="399" spans="1:13" x14ac:dyDescent="0.4">
      <c r="A399" s="35">
        <v>389</v>
      </c>
      <c r="B399" s="92" t="s">
        <v>80</v>
      </c>
      <c r="C399" s="56" t="s">
        <v>266</v>
      </c>
      <c r="D399" s="84" t="s">
        <v>279</v>
      </c>
      <c r="E399" s="49" t="s">
        <v>173</v>
      </c>
      <c r="F399" s="64">
        <v>44327.951435185198</v>
      </c>
      <c r="G399" s="64">
        <v>44327.783935185202</v>
      </c>
      <c r="H399" s="51" t="s">
        <v>257</v>
      </c>
      <c r="I399" s="52"/>
      <c r="J399" s="53"/>
      <c r="K399" s="47" t="s">
        <v>85</v>
      </c>
      <c r="L399" s="65">
        <v>12000</v>
      </c>
      <c r="M399" s="56" t="s">
        <v>86</v>
      </c>
    </row>
    <row r="400" spans="1:13" x14ac:dyDescent="0.4">
      <c r="A400" s="35">
        <v>390</v>
      </c>
      <c r="B400" s="92" t="s">
        <v>80</v>
      </c>
      <c r="C400" s="56" t="s">
        <v>266</v>
      </c>
      <c r="D400" s="84" t="s">
        <v>280</v>
      </c>
      <c r="E400" s="49" t="s">
        <v>173</v>
      </c>
      <c r="F400" s="64">
        <v>44327.951435185198</v>
      </c>
      <c r="G400" s="64">
        <v>44327.783935185202</v>
      </c>
      <c r="H400" s="51" t="s">
        <v>257</v>
      </c>
      <c r="I400" s="52"/>
      <c r="J400" s="53"/>
      <c r="K400" s="47" t="s">
        <v>85</v>
      </c>
      <c r="L400" s="65">
        <v>12000</v>
      </c>
      <c r="M400" s="56" t="s">
        <v>86</v>
      </c>
    </row>
    <row r="401" spans="1:13" x14ac:dyDescent="0.4">
      <c r="A401" s="35">
        <v>391</v>
      </c>
      <c r="B401" s="92" t="s">
        <v>80</v>
      </c>
      <c r="C401" s="56" t="s">
        <v>266</v>
      </c>
      <c r="D401" s="84" t="s">
        <v>281</v>
      </c>
      <c r="E401" s="49" t="s">
        <v>173</v>
      </c>
      <c r="F401" s="64">
        <v>44327.951435185198</v>
      </c>
      <c r="G401" s="64">
        <v>44327.783935185202</v>
      </c>
      <c r="H401" s="51" t="s">
        <v>257</v>
      </c>
      <c r="I401" s="52"/>
      <c r="J401" s="53"/>
      <c r="K401" s="47" t="s">
        <v>85</v>
      </c>
      <c r="L401" s="65">
        <v>12000</v>
      </c>
      <c r="M401" s="56" t="s">
        <v>86</v>
      </c>
    </row>
    <row r="402" spans="1:13" x14ac:dyDescent="0.4">
      <c r="A402" s="35">
        <v>392</v>
      </c>
      <c r="B402" s="92" t="s">
        <v>80</v>
      </c>
      <c r="C402" s="56" t="s">
        <v>266</v>
      </c>
      <c r="D402" s="84" t="s">
        <v>282</v>
      </c>
      <c r="E402" s="49" t="s">
        <v>173</v>
      </c>
      <c r="F402" s="64">
        <v>44327.951435185198</v>
      </c>
      <c r="G402" s="64">
        <v>44327.783935185202</v>
      </c>
      <c r="H402" s="51" t="s">
        <v>257</v>
      </c>
      <c r="I402" s="52"/>
      <c r="J402" s="53"/>
      <c r="K402" s="47" t="s">
        <v>85</v>
      </c>
      <c r="L402" s="65">
        <v>12000</v>
      </c>
      <c r="M402" s="56" t="s">
        <v>86</v>
      </c>
    </row>
    <row r="403" spans="1:13" x14ac:dyDescent="0.4">
      <c r="A403" s="35">
        <v>393</v>
      </c>
      <c r="B403" s="92" t="s">
        <v>80</v>
      </c>
      <c r="C403" s="56" t="s">
        <v>266</v>
      </c>
      <c r="D403" s="84" t="s">
        <v>283</v>
      </c>
      <c r="E403" s="49" t="s">
        <v>173</v>
      </c>
      <c r="F403" s="64">
        <v>44327.951435185198</v>
      </c>
      <c r="G403" s="64">
        <v>44327.783935185202</v>
      </c>
      <c r="H403" s="51" t="s">
        <v>257</v>
      </c>
      <c r="I403" s="52"/>
      <c r="J403" s="53"/>
      <c r="K403" s="47" t="s">
        <v>85</v>
      </c>
      <c r="L403" s="65">
        <v>12000</v>
      </c>
      <c r="M403" s="56" t="s">
        <v>86</v>
      </c>
    </row>
    <row r="404" spans="1:13" x14ac:dyDescent="0.4">
      <c r="A404" s="35">
        <v>394</v>
      </c>
      <c r="B404" s="92" t="s">
        <v>80</v>
      </c>
      <c r="C404" s="56" t="s">
        <v>266</v>
      </c>
      <c r="D404" s="84" t="s">
        <v>284</v>
      </c>
      <c r="E404" s="49" t="s">
        <v>173</v>
      </c>
      <c r="F404" s="64">
        <v>44327.951435185198</v>
      </c>
      <c r="G404" s="64">
        <v>44327.783935185202</v>
      </c>
      <c r="H404" s="51" t="s">
        <v>257</v>
      </c>
      <c r="I404" s="52"/>
      <c r="J404" s="53"/>
      <c r="K404" s="47" t="s">
        <v>85</v>
      </c>
      <c r="L404" s="65">
        <v>12000</v>
      </c>
      <c r="M404" s="56" t="s">
        <v>86</v>
      </c>
    </row>
    <row r="405" spans="1:13" x14ac:dyDescent="0.4">
      <c r="A405" s="35">
        <v>395</v>
      </c>
      <c r="B405" s="92" t="s">
        <v>80</v>
      </c>
      <c r="C405" s="56" t="s">
        <v>94</v>
      </c>
      <c r="D405" s="84" t="s">
        <v>265</v>
      </c>
      <c r="E405" s="49" t="s">
        <v>173</v>
      </c>
      <c r="F405" s="64">
        <v>44327.951435185198</v>
      </c>
      <c r="G405" s="64">
        <v>44327.783935185202</v>
      </c>
      <c r="H405" s="51" t="s">
        <v>257</v>
      </c>
      <c r="I405" s="52"/>
      <c r="J405" s="53"/>
      <c r="K405" s="47" t="s">
        <v>184</v>
      </c>
      <c r="L405" s="65">
        <v>16000</v>
      </c>
      <c r="M405" s="56" t="s">
        <v>86</v>
      </c>
    </row>
    <row r="406" spans="1:13" x14ac:dyDescent="0.4">
      <c r="A406" s="35">
        <v>396</v>
      </c>
      <c r="B406" s="93" t="s">
        <v>80</v>
      </c>
      <c r="C406" s="89" t="s">
        <v>94</v>
      </c>
      <c r="D406" s="94" t="s">
        <v>246</v>
      </c>
      <c r="E406" s="49" t="s">
        <v>173</v>
      </c>
      <c r="F406" s="80">
        <v>44327.951435185198</v>
      </c>
      <c r="G406" s="64">
        <v>44327.783935185202</v>
      </c>
      <c r="H406" s="51" t="s">
        <v>257</v>
      </c>
      <c r="I406" s="52"/>
      <c r="J406" s="53"/>
      <c r="K406" s="57" t="s">
        <v>85</v>
      </c>
      <c r="L406" s="95">
        <v>12000</v>
      </c>
      <c r="M406" s="56" t="s">
        <v>86</v>
      </c>
    </row>
    <row r="407" spans="1:13" x14ac:dyDescent="0.4">
      <c r="A407" s="35">
        <v>397</v>
      </c>
      <c r="B407" s="93" t="s">
        <v>80</v>
      </c>
      <c r="C407" s="89" t="s">
        <v>81</v>
      </c>
      <c r="D407" s="84" t="s">
        <v>129</v>
      </c>
      <c r="E407" s="49" t="s">
        <v>173</v>
      </c>
      <c r="F407" s="80">
        <v>44327.951435185198</v>
      </c>
      <c r="G407" s="64">
        <v>44327.783935185202</v>
      </c>
      <c r="H407" s="51" t="s">
        <v>257</v>
      </c>
      <c r="I407" s="69" t="s">
        <v>377</v>
      </c>
      <c r="J407" s="69" t="s">
        <v>378</v>
      </c>
      <c r="K407" s="57" t="s">
        <v>85</v>
      </c>
      <c r="L407" s="95">
        <v>12000</v>
      </c>
      <c r="M407" s="56" t="s">
        <v>86</v>
      </c>
    </row>
    <row r="408" spans="1:13" x14ac:dyDescent="0.4">
      <c r="A408" s="35">
        <v>398</v>
      </c>
      <c r="B408" s="93" t="s">
        <v>80</v>
      </c>
      <c r="C408" s="89" t="s">
        <v>81</v>
      </c>
      <c r="D408" s="84" t="s">
        <v>130</v>
      </c>
      <c r="E408" s="49" t="s">
        <v>173</v>
      </c>
      <c r="F408" s="80">
        <v>44327.951435185198</v>
      </c>
      <c r="G408" s="64">
        <v>44327.783935185202</v>
      </c>
      <c r="H408" s="51" t="s">
        <v>257</v>
      </c>
      <c r="I408" s="69" t="s">
        <v>379</v>
      </c>
      <c r="J408" s="69" t="s">
        <v>380</v>
      </c>
      <c r="K408" s="57" t="s">
        <v>85</v>
      </c>
      <c r="L408" s="95">
        <v>12000</v>
      </c>
      <c r="M408" s="56" t="s">
        <v>86</v>
      </c>
    </row>
    <row r="409" spans="1:13" x14ac:dyDescent="0.4">
      <c r="A409" s="35">
        <v>399</v>
      </c>
      <c r="B409" s="93" t="s">
        <v>80</v>
      </c>
      <c r="C409" s="89" t="s">
        <v>81</v>
      </c>
      <c r="D409" s="84" t="s">
        <v>131</v>
      </c>
      <c r="E409" s="49" t="s">
        <v>173</v>
      </c>
      <c r="F409" s="64">
        <v>44329.395960648202</v>
      </c>
      <c r="G409" s="50">
        <v>44328.699363425898</v>
      </c>
      <c r="H409" s="51" t="s">
        <v>257</v>
      </c>
      <c r="I409" s="69" t="s">
        <v>381</v>
      </c>
      <c r="J409" s="69" t="s">
        <v>382</v>
      </c>
      <c r="K409" s="57" t="s">
        <v>85</v>
      </c>
      <c r="L409" s="95">
        <v>12000</v>
      </c>
      <c r="M409" s="56" t="s">
        <v>86</v>
      </c>
    </row>
    <row r="410" spans="1:13" x14ac:dyDescent="0.4">
      <c r="A410" s="35">
        <v>400</v>
      </c>
      <c r="B410" s="93" t="s">
        <v>80</v>
      </c>
      <c r="C410" s="89" t="s">
        <v>81</v>
      </c>
      <c r="D410" s="84" t="s">
        <v>132</v>
      </c>
      <c r="E410" s="49" t="s">
        <v>173</v>
      </c>
      <c r="F410" s="64">
        <v>44329.395960648202</v>
      </c>
      <c r="G410" s="50">
        <v>44328.699363425898</v>
      </c>
      <c r="H410" s="51" t="s">
        <v>257</v>
      </c>
      <c r="I410" s="69" t="s">
        <v>383</v>
      </c>
      <c r="J410" s="69" t="s">
        <v>384</v>
      </c>
      <c r="K410" s="57" t="s">
        <v>85</v>
      </c>
      <c r="L410" s="95">
        <v>12000</v>
      </c>
      <c r="M410" s="56" t="s">
        <v>86</v>
      </c>
    </row>
    <row r="411" spans="1:13" x14ac:dyDescent="0.4">
      <c r="A411" s="35">
        <v>401</v>
      </c>
      <c r="B411" s="93" t="s">
        <v>80</v>
      </c>
      <c r="C411" s="89" t="s">
        <v>81</v>
      </c>
      <c r="D411" s="84" t="s">
        <v>133</v>
      </c>
      <c r="E411" s="49" t="s">
        <v>173</v>
      </c>
      <c r="F411" s="64">
        <v>44329.395960648202</v>
      </c>
      <c r="G411" s="50">
        <v>44328.699363425898</v>
      </c>
      <c r="H411" s="51" t="s">
        <v>257</v>
      </c>
      <c r="I411" s="69" t="s">
        <v>385</v>
      </c>
      <c r="J411" s="69" t="s">
        <v>386</v>
      </c>
      <c r="K411" s="57" t="s">
        <v>85</v>
      </c>
      <c r="L411" s="95">
        <v>12000</v>
      </c>
      <c r="M411" s="56" t="s">
        <v>86</v>
      </c>
    </row>
    <row r="412" spans="1:13" x14ac:dyDescent="0.4">
      <c r="A412" s="35">
        <v>402</v>
      </c>
      <c r="B412" s="93" t="s">
        <v>80</v>
      </c>
      <c r="C412" s="89" t="s">
        <v>81</v>
      </c>
      <c r="D412" s="84" t="s">
        <v>134</v>
      </c>
      <c r="E412" s="49" t="s">
        <v>173</v>
      </c>
      <c r="F412" s="64">
        <v>44329.395960648202</v>
      </c>
      <c r="G412" s="50">
        <v>44328.699363425898</v>
      </c>
      <c r="H412" s="51" t="s">
        <v>257</v>
      </c>
      <c r="I412" s="69" t="s">
        <v>387</v>
      </c>
      <c r="J412" s="69" t="s">
        <v>388</v>
      </c>
      <c r="K412" s="57" t="s">
        <v>85</v>
      </c>
      <c r="L412" s="95">
        <v>12000</v>
      </c>
      <c r="M412" s="56" t="s">
        <v>86</v>
      </c>
    </row>
    <row r="413" spans="1:13" x14ac:dyDescent="0.4">
      <c r="A413" s="35">
        <v>403</v>
      </c>
      <c r="B413" s="93" t="s">
        <v>80</v>
      </c>
      <c r="C413" s="89" t="s">
        <v>81</v>
      </c>
      <c r="D413" s="84" t="s">
        <v>135</v>
      </c>
      <c r="E413" s="49" t="s">
        <v>173</v>
      </c>
      <c r="F413" s="64">
        <v>44329.395960648202</v>
      </c>
      <c r="G413" s="50">
        <v>44328.699363425898</v>
      </c>
      <c r="H413" s="51" t="s">
        <v>257</v>
      </c>
      <c r="I413" s="69" t="s">
        <v>389</v>
      </c>
      <c r="J413" s="69" t="s">
        <v>390</v>
      </c>
      <c r="K413" s="57" t="s">
        <v>85</v>
      </c>
      <c r="L413" s="95">
        <v>12000</v>
      </c>
      <c r="M413" s="56" t="s">
        <v>86</v>
      </c>
    </row>
    <row r="414" spans="1:13" x14ac:dyDescent="0.4">
      <c r="A414" s="35">
        <v>404</v>
      </c>
      <c r="B414" s="93" t="s">
        <v>80</v>
      </c>
      <c r="C414" s="89" t="s">
        <v>81</v>
      </c>
      <c r="D414" s="84" t="s">
        <v>136</v>
      </c>
      <c r="E414" s="49" t="s">
        <v>173</v>
      </c>
      <c r="F414" s="64">
        <v>44329.395960648202</v>
      </c>
      <c r="G414" s="50">
        <v>44328.699363425898</v>
      </c>
      <c r="H414" s="51" t="s">
        <v>257</v>
      </c>
      <c r="I414" s="69" t="s">
        <v>391</v>
      </c>
      <c r="J414" s="69" t="s">
        <v>392</v>
      </c>
      <c r="K414" s="57" t="s">
        <v>85</v>
      </c>
      <c r="L414" s="95">
        <v>12000</v>
      </c>
      <c r="M414" s="56" t="s">
        <v>86</v>
      </c>
    </row>
    <row r="415" spans="1:13" x14ac:dyDescent="0.4">
      <c r="A415" s="35">
        <v>405</v>
      </c>
      <c r="B415" s="93" t="s">
        <v>80</v>
      </c>
      <c r="C415" s="89" t="s">
        <v>81</v>
      </c>
      <c r="D415" s="84" t="s">
        <v>137</v>
      </c>
      <c r="E415" s="49" t="s">
        <v>173</v>
      </c>
      <c r="F415" s="64">
        <v>44329.395960648202</v>
      </c>
      <c r="G415" s="50">
        <v>44328.699363425898</v>
      </c>
      <c r="H415" s="51" t="s">
        <v>257</v>
      </c>
      <c r="I415" s="69" t="s">
        <v>393</v>
      </c>
      <c r="J415" s="69" t="s">
        <v>394</v>
      </c>
      <c r="K415" s="57" t="s">
        <v>85</v>
      </c>
      <c r="L415" s="95">
        <v>12000</v>
      </c>
      <c r="M415" s="56" t="s">
        <v>86</v>
      </c>
    </row>
    <row r="416" spans="1:13" x14ac:dyDescent="0.4">
      <c r="A416" s="35">
        <v>406</v>
      </c>
      <c r="B416" s="93" t="s">
        <v>80</v>
      </c>
      <c r="C416" s="89" t="s">
        <v>81</v>
      </c>
      <c r="D416" s="84" t="s">
        <v>138</v>
      </c>
      <c r="E416" s="49" t="s">
        <v>173</v>
      </c>
      <c r="F416" s="64">
        <v>44329.395960648202</v>
      </c>
      <c r="G416" s="50">
        <v>44328.699363425898</v>
      </c>
      <c r="H416" s="51" t="s">
        <v>257</v>
      </c>
      <c r="I416" s="69" t="s">
        <v>395</v>
      </c>
      <c r="J416" s="69" t="s">
        <v>396</v>
      </c>
      <c r="K416" s="57" t="s">
        <v>85</v>
      </c>
      <c r="L416" s="95">
        <v>12000</v>
      </c>
      <c r="M416" s="56" t="s">
        <v>86</v>
      </c>
    </row>
    <row r="417" spans="1:13" x14ac:dyDescent="0.4">
      <c r="A417" s="35">
        <v>407</v>
      </c>
      <c r="B417" s="93" t="s">
        <v>80</v>
      </c>
      <c r="C417" s="89" t="s">
        <v>81</v>
      </c>
      <c r="D417" s="84" t="s">
        <v>141</v>
      </c>
      <c r="E417" s="49" t="s">
        <v>173</v>
      </c>
      <c r="F417" s="64">
        <v>44329.395960648202</v>
      </c>
      <c r="G417" s="50">
        <v>44328.699363425898</v>
      </c>
      <c r="H417" s="51" t="s">
        <v>257</v>
      </c>
      <c r="I417" s="69" t="s">
        <v>397</v>
      </c>
      <c r="J417" s="69" t="s">
        <v>398</v>
      </c>
      <c r="K417" s="57" t="s">
        <v>85</v>
      </c>
      <c r="L417" s="95">
        <v>12000</v>
      </c>
      <c r="M417" s="56" t="s">
        <v>86</v>
      </c>
    </row>
    <row r="418" spans="1:13" x14ac:dyDescent="0.4">
      <c r="A418" s="35">
        <v>408</v>
      </c>
      <c r="B418" s="93" t="s">
        <v>80</v>
      </c>
      <c r="C418" s="89" t="s">
        <v>81</v>
      </c>
      <c r="D418" s="84" t="s">
        <v>142</v>
      </c>
      <c r="E418" s="49" t="s">
        <v>173</v>
      </c>
      <c r="F418" s="64">
        <v>44329.395960648202</v>
      </c>
      <c r="G418" s="50">
        <v>44328.699363425898</v>
      </c>
      <c r="H418" s="51" t="s">
        <v>257</v>
      </c>
      <c r="I418" s="69" t="s">
        <v>399</v>
      </c>
      <c r="J418" s="66">
        <v>44418.549791666701</v>
      </c>
      <c r="K418" s="57" t="s">
        <v>85</v>
      </c>
      <c r="L418" s="95">
        <v>12000</v>
      </c>
      <c r="M418" s="56" t="s">
        <v>86</v>
      </c>
    </row>
    <row r="419" spans="1:13" x14ac:dyDescent="0.4">
      <c r="A419" s="35">
        <v>409</v>
      </c>
      <c r="B419" s="96" t="s">
        <v>80</v>
      </c>
      <c r="C419" s="82" t="s">
        <v>266</v>
      </c>
      <c r="D419" s="84" t="s">
        <v>285</v>
      </c>
      <c r="E419" s="49" t="s">
        <v>173</v>
      </c>
      <c r="F419" s="76">
        <v>44329.395960648202</v>
      </c>
      <c r="G419" s="71">
        <v>44328.699363425898</v>
      </c>
      <c r="H419" s="51" t="s">
        <v>257</v>
      </c>
      <c r="I419" s="72" t="s">
        <v>400</v>
      </c>
      <c r="J419" s="72" t="s">
        <v>400</v>
      </c>
      <c r="K419" s="97" t="s">
        <v>85</v>
      </c>
      <c r="L419" s="98">
        <v>12000</v>
      </c>
      <c r="M419" s="51" t="s">
        <v>86</v>
      </c>
    </row>
    <row r="420" spans="1:13" x14ac:dyDescent="0.4">
      <c r="A420" s="35">
        <v>410</v>
      </c>
      <c r="B420" s="96" t="s">
        <v>80</v>
      </c>
      <c r="C420" s="82" t="s">
        <v>266</v>
      </c>
      <c r="D420" s="84" t="s">
        <v>286</v>
      </c>
      <c r="E420" s="49" t="s">
        <v>173</v>
      </c>
      <c r="F420" s="76">
        <v>44329.395960648202</v>
      </c>
      <c r="G420" s="99">
        <v>44328.699363425898</v>
      </c>
      <c r="H420" s="51" t="s">
        <v>257</v>
      </c>
      <c r="I420" s="72" t="s">
        <v>400</v>
      </c>
      <c r="J420" s="72" t="s">
        <v>400</v>
      </c>
      <c r="K420" s="97" t="s">
        <v>85</v>
      </c>
      <c r="L420" s="98">
        <v>12000</v>
      </c>
      <c r="M420" s="51" t="s">
        <v>86</v>
      </c>
    </row>
    <row r="421" spans="1:13" x14ac:dyDescent="0.4">
      <c r="A421" s="35">
        <v>411</v>
      </c>
      <c r="B421" s="93" t="s">
        <v>80</v>
      </c>
      <c r="C421" s="89" t="s">
        <v>266</v>
      </c>
      <c r="D421" s="84" t="s">
        <v>291</v>
      </c>
      <c r="E421" s="49" t="s">
        <v>173</v>
      </c>
      <c r="F421" s="76">
        <v>44335.826516203699</v>
      </c>
      <c r="G421" s="64">
        <v>44335.5727430556</v>
      </c>
      <c r="H421" s="51" t="s">
        <v>257</v>
      </c>
      <c r="I421" s="69" t="s">
        <v>401</v>
      </c>
      <c r="J421" s="69" t="s">
        <v>402</v>
      </c>
      <c r="K421" s="57" t="s">
        <v>85</v>
      </c>
      <c r="L421" s="95">
        <v>12000</v>
      </c>
      <c r="M421" s="56" t="s">
        <v>86</v>
      </c>
    </row>
    <row r="422" spans="1:13" x14ac:dyDescent="0.4">
      <c r="A422" s="35">
        <v>412</v>
      </c>
      <c r="B422" s="93" t="s">
        <v>80</v>
      </c>
      <c r="C422" s="89" t="s">
        <v>266</v>
      </c>
      <c r="D422" s="84" t="s">
        <v>292</v>
      </c>
      <c r="E422" s="49" t="s">
        <v>173</v>
      </c>
      <c r="F422" s="76">
        <v>44335.826516203699</v>
      </c>
      <c r="G422" s="64">
        <v>44335.5727430556</v>
      </c>
      <c r="H422" s="51" t="s">
        <v>257</v>
      </c>
      <c r="I422" s="69" t="s">
        <v>403</v>
      </c>
      <c r="J422" s="69" t="s">
        <v>404</v>
      </c>
      <c r="K422" s="57" t="s">
        <v>85</v>
      </c>
      <c r="L422" s="95">
        <v>12000</v>
      </c>
      <c r="M422" s="56" t="s">
        <v>86</v>
      </c>
    </row>
    <row r="423" spans="1:13" x14ac:dyDescent="0.4">
      <c r="A423" s="35">
        <v>413</v>
      </c>
      <c r="B423" s="93" t="s">
        <v>80</v>
      </c>
      <c r="C423" s="89" t="s">
        <v>266</v>
      </c>
      <c r="D423" s="84" t="s">
        <v>293</v>
      </c>
      <c r="E423" s="49" t="s">
        <v>173</v>
      </c>
      <c r="F423" s="76">
        <v>44335.826516203699</v>
      </c>
      <c r="G423" s="64">
        <v>44335.5727430556</v>
      </c>
      <c r="H423" s="51" t="s">
        <v>257</v>
      </c>
      <c r="I423" s="69" t="s">
        <v>405</v>
      </c>
      <c r="J423" s="69" t="s">
        <v>406</v>
      </c>
      <c r="K423" s="57" t="s">
        <v>85</v>
      </c>
      <c r="L423" s="95">
        <v>12000</v>
      </c>
      <c r="M423" s="56" t="s">
        <v>86</v>
      </c>
    </row>
    <row r="424" spans="1:13" x14ac:dyDescent="0.4">
      <c r="A424" s="35">
        <v>414</v>
      </c>
      <c r="B424" s="93" t="s">
        <v>80</v>
      </c>
      <c r="C424" s="89" t="s">
        <v>266</v>
      </c>
      <c r="D424" s="84" t="s">
        <v>294</v>
      </c>
      <c r="E424" s="49" t="s">
        <v>173</v>
      </c>
      <c r="F424" s="76">
        <v>44335.826516203699</v>
      </c>
      <c r="G424" s="64">
        <v>44335.5727430556</v>
      </c>
      <c r="H424" s="51" t="s">
        <v>257</v>
      </c>
      <c r="I424" s="69" t="s">
        <v>405</v>
      </c>
      <c r="J424" s="69" t="s">
        <v>407</v>
      </c>
      <c r="K424" s="57" t="s">
        <v>85</v>
      </c>
      <c r="L424" s="95">
        <v>12000</v>
      </c>
      <c r="M424" s="56" t="s">
        <v>86</v>
      </c>
    </row>
    <row r="425" spans="1:13" x14ac:dyDescent="0.4">
      <c r="A425" s="35">
        <v>415</v>
      </c>
      <c r="B425" s="93" t="s">
        <v>80</v>
      </c>
      <c r="C425" s="89" t="s">
        <v>266</v>
      </c>
      <c r="D425" s="84" t="s">
        <v>295</v>
      </c>
      <c r="E425" s="49" t="s">
        <v>173</v>
      </c>
      <c r="F425" s="76">
        <v>44335.826516203699</v>
      </c>
      <c r="G425" s="64">
        <v>44335.5727430556</v>
      </c>
      <c r="H425" s="51" t="s">
        <v>257</v>
      </c>
      <c r="I425" s="69" t="s">
        <v>405</v>
      </c>
      <c r="J425" s="69" t="s">
        <v>408</v>
      </c>
      <c r="K425" s="57" t="s">
        <v>85</v>
      </c>
      <c r="L425" s="95">
        <v>12000</v>
      </c>
      <c r="M425" s="56" t="s">
        <v>86</v>
      </c>
    </row>
    <row r="426" spans="1:13" x14ac:dyDescent="0.4">
      <c r="A426" s="35">
        <v>416</v>
      </c>
      <c r="B426" s="93" t="s">
        <v>80</v>
      </c>
      <c r="C426" s="89" t="s">
        <v>266</v>
      </c>
      <c r="D426" s="94" t="s">
        <v>296</v>
      </c>
      <c r="E426" s="49" t="s">
        <v>173</v>
      </c>
      <c r="F426" s="100">
        <v>44335.826516203699</v>
      </c>
      <c r="G426" s="80">
        <v>44335.5727430556</v>
      </c>
      <c r="H426" s="51" t="s">
        <v>257</v>
      </c>
      <c r="I426" s="69" t="s">
        <v>409</v>
      </c>
      <c r="J426" s="69" t="s">
        <v>410</v>
      </c>
      <c r="K426" s="57" t="s">
        <v>85</v>
      </c>
      <c r="L426" s="95">
        <v>12000</v>
      </c>
      <c r="M426" s="56" t="s">
        <v>86</v>
      </c>
    </row>
    <row r="427" spans="1:13" x14ac:dyDescent="0.4">
      <c r="A427" s="35">
        <v>417</v>
      </c>
      <c r="B427" s="92" t="s">
        <v>80</v>
      </c>
      <c r="C427" s="56" t="s">
        <v>266</v>
      </c>
      <c r="D427" s="84" t="s">
        <v>303</v>
      </c>
      <c r="E427" s="49" t="s">
        <v>173</v>
      </c>
      <c r="F427" s="76">
        <v>44341.680324074099</v>
      </c>
      <c r="G427" s="64">
        <v>44341.761597222197</v>
      </c>
      <c r="H427" s="51" t="s">
        <v>257</v>
      </c>
      <c r="I427" s="69" t="s">
        <v>411</v>
      </c>
      <c r="J427" s="69" t="s">
        <v>412</v>
      </c>
      <c r="K427" s="92" t="s">
        <v>85</v>
      </c>
      <c r="L427" s="101">
        <v>12000</v>
      </c>
      <c r="M427" s="56" t="s">
        <v>86</v>
      </c>
    </row>
    <row r="428" spans="1:13" x14ac:dyDescent="0.4">
      <c r="A428" s="35">
        <v>418</v>
      </c>
      <c r="B428" s="92" t="s">
        <v>80</v>
      </c>
      <c r="C428" s="56" t="s">
        <v>266</v>
      </c>
      <c r="D428" s="84" t="s">
        <v>304</v>
      </c>
      <c r="E428" s="49" t="s">
        <v>173</v>
      </c>
      <c r="F428" s="76">
        <v>44341.680324074099</v>
      </c>
      <c r="G428" s="64">
        <v>44341.761597222197</v>
      </c>
      <c r="H428" s="51" t="s">
        <v>257</v>
      </c>
      <c r="I428" s="69" t="s">
        <v>413</v>
      </c>
      <c r="J428" s="69" t="s">
        <v>414</v>
      </c>
      <c r="K428" s="92" t="s">
        <v>85</v>
      </c>
      <c r="L428" s="101">
        <v>12000</v>
      </c>
      <c r="M428" s="56" t="s">
        <v>86</v>
      </c>
    </row>
    <row r="429" spans="1:13" x14ac:dyDescent="0.4">
      <c r="A429" s="35">
        <v>419</v>
      </c>
      <c r="B429" s="92" t="s">
        <v>80</v>
      </c>
      <c r="C429" s="56" t="s">
        <v>266</v>
      </c>
      <c r="D429" s="84" t="s">
        <v>305</v>
      </c>
      <c r="E429" s="49" t="s">
        <v>173</v>
      </c>
      <c r="F429" s="76">
        <v>44341.680324074099</v>
      </c>
      <c r="G429" s="64">
        <v>44341.761597222197</v>
      </c>
      <c r="H429" s="51" t="s">
        <v>257</v>
      </c>
      <c r="I429" s="69" t="s">
        <v>415</v>
      </c>
      <c r="J429" s="69" t="s">
        <v>416</v>
      </c>
      <c r="K429" s="92" t="s">
        <v>85</v>
      </c>
      <c r="L429" s="101">
        <v>12000</v>
      </c>
      <c r="M429" s="56" t="s">
        <v>86</v>
      </c>
    </row>
    <row r="430" spans="1:13" x14ac:dyDescent="0.4">
      <c r="A430" s="35">
        <v>420</v>
      </c>
      <c r="B430" s="92" t="s">
        <v>80</v>
      </c>
      <c r="C430" s="56" t="s">
        <v>266</v>
      </c>
      <c r="D430" s="84" t="s">
        <v>306</v>
      </c>
      <c r="E430" s="49" t="s">
        <v>173</v>
      </c>
      <c r="F430" s="76">
        <v>44341.680324074099</v>
      </c>
      <c r="G430" s="64">
        <v>44341.761597222197</v>
      </c>
      <c r="H430" s="51" t="s">
        <v>257</v>
      </c>
      <c r="I430" s="69" t="s">
        <v>415</v>
      </c>
      <c r="J430" s="69" t="s">
        <v>417</v>
      </c>
      <c r="K430" s="92" t="s">
        <v>85</v>
      </c>
      <c r="L430" s="101">
        <v>12000</v>
      </c>
      <c r="M430" s="56" t="s">
        <v>86</v>
      </c>
    </row>
    <row r="431" spans="1:13" x14ac:dyDescent="0.4">
      <c r="A431" s="35">
        <v>421</v>
      </c>
      <c r="B431" s="92" t="s">
        <v>80</v>
      </c>
      <c r="C431" s="56" t="s">
        <v>266</v>
      </c>
      <c r="D431" s="84" t="s">
        <v>307</v>
      </c>
      <c r="E431" s="49" t="s">
        <v>173</v>
      </c>
      <c r="F431" s="76">
        <v>44341.680324074099</v>
      </c>
      <c r="G431" s="64">
        <v>44341.761597222197</v>
      </c>
      <c r="H431" s="51" t="s">
        <v>257</v>
      </c>
      <c r="I431" s="69" t="s">
        <v>418</v>
      </c>
      <c r="J431" s="69" t="s">
        <v>419</v>
      </c>
      <c r="K431" s="92" t="s">
        <v>85</v>
      </c>
      <c r="L431" s="101">
        <v>12000</v>
      </c>
      <c r="M431" s="56" t="s">
        <v>86</v>
      </c>
    </row>
    <row r="432" spans="1:13" x14ac:dyDescent="0.4">
      <c r="A432" s="35">
        <v>422</v>
      </c>
      <c r="B432" s="92" t="s">
        <v>80</v>
      </c>
      <c r="C432" s="56" t="s">
        <v>266</v>
      </c>
      <c r="D432" s="84" t="s">
        <v>308</v>
      </c>
      <c r="E432" s="49" t="s">
        <v>173</v>
      </c>
      <c r="F432" s="76">
        <v>44341.680324074099</v>
      </c>
      <c r="G432" s="64">
        <v>44341.761597222197</v>
      </c>
      <c r="H432" s="51" t="s">
        <v>257</v>
      </c>
      <c r="I432" s="69" t="s">
        <v>418</v>
      </c>
      <c r="J432" s="69" t="s">
        <v>420</v>
      </c>
      <c r="K432" s="92" t="s">
        <v>85</v>
      </c>
      <c r="L432" s="101">
        <v>12000</v>
      </c>
      <c r="M432" s="56" t="s">
        <v>86</v>
      </c>
    </row>
    <row r="433" spans="1:13" x14ac:dyDescent="0.4">
      <c r="A433" s="35">
        <v>423</v>
      </c>
      <c r="B433" s="92" t="s">
        <v>80</v>
      </c>
      <c r="C433" s="56" t="s">
        <v>266</v>
      </c>
      <c r="D433" s="84" t="s">
        <v>309</v>
      </c>
      <c r="E433" s="49" t="s">
        <v>173</v>
      </c>
      <c r="F433" s="76">
        <v>44341.680324074099</v>
      </c>
      <c r="G433" s="64">
        <v>44341.761597222197</v>
      </c>
      <c r="H433" s="51" t="s">
        <v>257</v>
      </c>
      <c r="I433" s="69" t="s">
        <v>415</v>
      </c>
      <c r="J433" s="69" t="s">
        <v>421</v>
      </c>
      <c r="K433" s="92" t="s">
        <v>85</v>
      </c>
      <c r="L433" s="101">
        <v>12000</v>
      </c>
      <c r="M433" s="56" t="s">
        <v>86</v>
      </c>
    </row>
    <row r="434" spans="1:13" x14ac:dyDescent="0.4">
      <c r="A434" s="35">
        <v>424</v>
      </c>
      <c r="B434" s="92" t="s">
        <v>80</v>
      </c>
      <c r="C434" s="56" t="s">
        <v>266</v>
      </c>
      <c r="D434" s="84" t="s">
        <v>310</v>
      </c>
      <c r="E434" s="49" t="s">
        <v>173</v>
      </c>
      <c r="F434" s="76">
        <v>44341.680324074099</v>
      </c>
      <c r="G434" s="64">
        <v>44341.761597222197</v>
      </c>
      <c r="H434" s="51" t="s">
        <v>257</v>
      </c>
      <c r="I434" s="69" t="s">
        <v>415</v>
      </c>
      <c r="J434" s="69" t="s">
        <v>422</v>
      </c>
      <c r="K434" s="92" t="s">
        <v>85</v>
      </c>
      <c r="L434" s="101">
        <v>12000</v>
      </c>
      <c r="M434" s="56" t="s">
        <v>86</v>
      </c>
    </row>
    <row r="435" spans="1:13" x14ac:dyDescent="0.4">
      <c r="A435" s="35">
        <v>425</v>
      </c>
      <c r="B435" s="92" t="s">
        <v>80</v>
      </c>
      <c r="C435" s="56" t="s">
        <v>266</v>
      </c>
      <c r="D435" s="84" t="s">
        <v>311</v>
      </c>
      <c r="E435" s="49" t="s">
        <v>173</v>
      </c>
      <c r="F435" s="76">
        <v>44341.680324074099</v>
      </c>
      <c r="G435" s="64">
        <v>44341.761597222197</v>
      </c>
      <c r="H435" s="51" t="s">
        <v>257</v>
      </c>
      <c r="I435" s="69" t="s">
        <v>418</v>
      </c>
      <c r="J435" s="69" t="s">
        <v>423</v>
      </c>
      <c r="K435" s="92" t="s">
        <v>85</v>
      </c>
      <c r="L435" s="101">
        <v>12000</v>
      </c>
      <c r="M435" s="56" t="s">
        <v>86</v>
      </c>
    </row>
    <row r="436" spans="1:13" x14ac:dyDescent="0.4">
      <c r="A436" s="35">
        <v>426</v>
      </c>
      <c r="B436" s="92" t="s">
        <v>80</v>
      </c>
      <c r="C436" s="56" t="s">
        <v>266</v>
      </c>
      <c r="D436" s="84" t="s">
        <v>312</v>
      </c>
      <c r="E436" s="49" t="s">
        <v>173</v>
      </c>
      <c r="F436" s="76">
        <v>44341.680324074099</v>
      </c>
      <c r="G436" s="64">
        <v>44341.761597222197</v>
      </c>
      <c r="H436" s="51" t="s">
        <v>257</v>
      </c>
      <c r="I436" s="69" t="s">
        <v>418</v>
      </c>
      <c r="J436" s="69" t="s">
        <v>424</v>
      </c>
      <c r="K436" s="92" t="s">
        <v>85</v>
      </c>
      <c r="L436" s="101">
        <v>12000</v>
      </c>
      <c r="M436" s="56" t="s">
        <v>86</v>
      </c>
    </row>
    <row r="437" spans="1:13" x14ac:dyDescent="0.4">
      <c r="A437" s="35">
        <v>427</v>
      </c>
      <c r="B437" s="92" t="s">
        <v>80</v>
      </c>
      <c r="C437" s="56" t="s">
        <v>266</v>
      </c>
      <c r="D437" s="84" t="s">
        <v>313</v>
      </c>
      <c r="E437" s="49" t="s">
        <v>173</v>
      </c>
      <c r="F437" s="76">
        <v>44341.680324074099</v>
      </c>
      <c r="G437" s="64">
        <v>44341.761597222197</v>
      </c>
      <c r="H437" s="51" t="s">
        <v>257</v>
      </c>
      <c r="I437" s="69" t="s">
        <v>425</v>
      </c>
      <c r="J437" s="69" t="s">
        <v>426</v>
      </c>
      <c r="K437" s="92" t="s">
        <v>85</v>
      </c>
      <c r="L437" s="101">
        <v>12000</v>
      </c>
      <c r="M437" s="56" t="s">
        <v>86</v>
      </c>
    </row>
    <row r="438" spans="1:13" x14ac:dyDescent="0.4">
      <c r="A438" s="35">
        <v>428</v>
      </c>
      <c r="B438" s="92" t="s">
        <v>80</v>
      </c>
      <c r="C438" s="56" t="s">
        <v>266</v>
      </c>
      <c r="D438" s="84" t="s">
        <v>314</v>
      </c>
      <c r="E438" s="49" t="s">
        <v>173</v>
      </c>
      <c r="F438" s="76">
        <v>44341.680324074099</v>
      </c>
      <c r="G438" s="64">
        <v>44341.761597222197</v>
      </c>
      <c r="H438" s="51" t="s">
        <v>257</v>
      </c>
      <c r="I438" s="69" t="s">
        <v>425</v>
      </c>
      <c r="J438" s="69" t="s">
        <v>427</v>
      </c>
      <c r="K438" s="92" t="s">
        <v>85</v>
      </c>
      <c r="L438" s="101">
        <v>12000</v>
      </c>
      <c r="M438" s="56" t="s">
        <v>86</v>
      </c>
    </row>
    <row r="439" spans="1:13" x14ac:dyDescent="0.4">
      <c r="A439" s="35">
        <v>429</v>
      </c>
      <c r="B439" s="92" t="s">
        <v>80</v>
      </c>
      <c r="C439" s="56" t="s">
        <v>266</v>
      </c>
      <c r="D439" s="84" t="s">
        <v>268</v>
      </c>
      <c r="E439" s="49" t="s">
        <v>173</v>
      </c>
      <c r="F439" s="64">
        <v>44373.478842592602</v>
      </c>
      <c r="G439" s="64">
        <v>44372.644409722197</v>
      </c>
      <c r="H439" s="51" t="s">
        <v>257</v>
      </c>
      <c r="I439" s="69" t="s">
        <v>428</v>
      </c>
      <c r="J439" s="69" t="s">
        <v>429</v>
      </c>
      <c r="K439" s="92" t="s">
        <v>85</v>
      </c>
      <c r="L439" s="101">
        <v>12000</v>
      </c>
      <c r="M439" s="56" t="s">
        <v>86</v>
      </c>
    </row>
    <row r="440" spans="1:13" x14ac:dyDescent="0.4">
      <c r="A440" s="35">
        <v>430</v>
      </c>
      <c r="B440" s="92" t="s">
        <v>80</v>
      </c>
      <c r="C440" s="56" t="s">
        <v>266</v>
      </c>
      <c r="D440" s="84" t="s">
        <v>192</v>
      </c>
      <c r="E440" s="49" t="s">
        <v>173</v>
      </c>
      <c r="F440" s="64">
        <v>44373.478842592602</v>
      </c>
      <c r="G440" s="64">
        <v>44372.644409722197</v>
      </c>
      <c r="H440" s="51" t="s">
        <v>257</v>
      </c>
      <c r="I440" s="69" t="s">
        <v>430</v>
      </c>
      <c r="J440" s="69" t="s">
        <v>431</v>
      </c>
      <c r="K440" s="92" t="s">
        <v>85</v>
      </c>
      <c r="L440" s="101">
        <v>12000</v>
      </c>
      <c r="M440" s="56" t="s">
        <v>86</v>
      </c>
    </row>
    <row r="441" spans="1:13" x14ac:dyDescent="0.4">
      <c r="A441" s="35">
        <v>431</v>
      </c>
      <c r="B441" s="92" t="s">
        <v>80</v>
      </c>
      <c r="C441" s="56" t="s">
        <v>180</v>
      </c>
      <c r="D441" s="84" t="s">
        <v>265</v>
      </c>
      <c r="E441" s="49" t="s">
        <v>173</v>
      </c>
      <c r="F441" s="64">
        <v>44383.999988425901</v>
      </c>
      <c r="G441" s="64">
        <v>44383.757835648103</v>
      </c>
      <c r="H441" s="51" t="s">
        <v>257</v>
      </c>
      <c r="I441" s="52"/>
      <c r="J441" s="53"/>
      <c r="K441" s="102" t="s">
        <v>184</v>
      </c>
      <c r="L441" s="103">
        <v>16000</v>
      </c>
      <c r="M441" s="56" t="s">
        <v>86</v>
      </c>
    </row>
    <row r="442" spans="1:13" x14ac:dyDescent="0.4">
      <c r="A442" s="35">
        <v>432</v>
      </c>
      <c r="B442" s="92" t="s">
        <v>80</v>
      </c>
      <c r="C442" s="56" t="s">
        <v>180</v>
      </c>
      <c r="D442" s="84" t="s">
        <v>256</v>
      </c>
      <c r="E442" s="49" t="s">
        <v>173</v>
      </c>
      <c r="F442" s="64">
        <v>44383.999988425901</v>
      </c>
      <c r="G442" s="64">
        <v>44383.757835648103</v>
      </c>
      <c r="H442" s="51" t="s">
        <v>257</v>
      </c>
      <c r="I442" s="52"/>
      <c r="J442" s="53"/>
      <c r="K442" s="102" t="s">
        <v>184</v>
      </c>
      <c r="L442" s="103">
        <v>16000</v>
      </c>
      <c r="M442" s="56" t="s">
        <v>86</v>
      </c>
    </row>
    <row r="443" spans="1:13" x14ac:dyDescent="0.4">
      <c r="A443" s="35">
        <v>433</v>
      </c>
      <c r="B443" s="92" t="s">
        <v>80</v>
      </c>
      <c r="C443" s="56" t="s">
        <v>266</v>
      </c>
      <c r="D443" s="84" t="s">
        <v>297</v>
      </c>
      <c r="E443" s="49" t="s">
        <v>173</v>
      </c>
      <c r="F443" s="64">
        <v>44393.5932986111</v>
      </c>
      <c r="G443" s="64">
        <v>44393.432418981502</v>
      </c>
      <c r="H443" s="51" t="s">
        <v>257</v>
      </c>
      <c r="I443" s="69" t="s">
        <v>432</v>
      </c>
      <c r="J443" s="69" t="s">
        <v>433</v>
      </c>
      <c r="K443" s="92" t="s">
        <v>85</v>
      </c>
      <c r="L443" s="101">
        <v>12000</v>
      </c>
      <c r="M443" s="56" t="s">
        <v>86</v>
      </c>
    </row>
    <row r="444" spans="1:13" x14ac:dyDescent="0.4">
      <c r="A444" s="35">
        <v>434</v>
      </c>
      <c r="B444" s="92" t="s">
        <v>80</v>
      </c>
      <c r="C444" s="56" t="s">
        <v>266</v>
      </c>
      <c r="D444" s="84" t="s">
        <v>298</v>
      </c>
      <c r="E444" s="49" t="s">
        <v>173</v>
      </c>
      <c r="F444" s="64">
        <v>44393.5932986111</v>
      </c>
      <c r="G444" s="64">
        <v>44393.432418981502</v>
      </c>
      <c r="H444" s="51" t="s">
        <v>257</v>
      </c>
      <c r="I444" s="69" t="s">
        <v>434</v>
      </c>
      <c r="J444" s="69" t="s">
        <v>435</v>
      </c>
      <c r="K444" s="92" t="s">
        <v>85</v>
      </c>
      <c r="L444" s="101">
        <v>12000</v>
      </c>
      <c r="M444" s="56" t="s">
        <v>86</v>
      </c>
    </row>
    <row r="445" spans="1:13" x14ac:dyDescent="0.4">
      <c r="A445" s="35">
        <v>435</v>
      </c>
      <c r="B445" s="92" t="s">
        <v>80</v>
      </c>
      <c r="C445" s="56" t="s">
        <v>266</v>
      </c>
      <c r="D445" s="84" t="s">
        <v>299</v>
      </c>
      <c r="E445" s="49" t="s">
        <v>173</v>
      </c>
      <c r="F445" s="64">
        <v>44393.5932986111</v>
      </c>
      <c r="G445" s="64">
        <v>44393.432418981502</v>
      </c>
      <c r="H445" s="51" t="s">
        <v>257</v>
      </c>
      <c r="I445" s="69" t="s">
        <v>436</v>
      </c>
      <c r="J445" s="69" t="s">
        <v>437</v>
      </c>
      <c r="K445" s="92" t="s">
        <v>85</v>
      </c>
      <c r="L445" s="101">
        <v>12000</v>
      </c>
      <c r="M445" s="56" t="s">
        <v>86</v>
      </c>
    </row>
    <row r="446" spans="1:13" x14ac:dyDescent="0.4">
      <c r="A446" s="35">
        <v>436</v>
      </c>
      <c r="B446" s="92" t="s">
        <v>80</v>
      </c>
      <c r="C446" s="56" t="s">
        <v>266</v>
      </c>
      <c r="D446" s="84" t="s">
        <v>300</v>
      </c>
      <c r="E446" s="49" t="s">
        <v>173</v>
      </c>
      <c r="F446" s="64">
        <v>44393.5932986111</v>
      </c>
      <c r="G446" s="64">
        <v>44393.432418981502</v>
      </c>
      <c r="H446" s="51" t="s">
        <v>257</v>
      </c>
      <c r="I446" s="69" t="s">
        <v>438</v>
      </c>
      <c r="J446" s="69" t="s">
        <v>439</v>
      </c>
      <c r="K446" s="92" t="s">
        <v>85</v>
      </c>
      <c r="L446" s="101">
        <v>12000</v>
      </c>
      <c r="M446" s="56" t="s">
        <v>86</v>
      </c>
    </row>
    <row r="447" spans="1:13" x14ac:dyDescent="0.4">
      <c r="A447" s="35">
        <v>437</v>
      </c>
      <c r="B447" s="92" t="s">
        <v>80</v>
      </c>
      <c r="C447" s="56" t="s">
        <v>266</v>
      </c>
      <c r="D447" s="84" t="s">
        <v>315</v>
      </c>
      <c r="E447" s="49" t="s">
        <v>173</v>
      </c>
      <c r="F447" s="64">
        <v>44393.5932986111</v>
      </c>
      <c r="G447" s="64">
        <v>44393.432418981502</v>
      </c>
      <c r="H447" s="51" t="s">
        <v>257</v>
      </c>
      <c r="I447" s="69" t="s">
        <v>440</v>
      </c>
      <c r="J447" s="69" t="s">
        <v>441</v>
      </c>
      <c r="K447" s="92" t="s">
        <v>85</v>
      </c>
      <c r="L447" s="101">
        <v>12000</v>
      </c>
      <c r="M447" s="56" t="s">
        <v>86</v>
      </c>
    </row>
    <row r="448" spans="1:13" x14ac:dyDescent="0.4">
      <c r="A448" s="35">
        <v>438</v>
      </c>
      <c r="B448" s="92" t="s">
        <v>80</v>
      </c>
      <c r="C448" s="56" t="s">
        <v>266</v>
      </c>
      <c r="D448" s="84" t="s">
        <v>316</v>
      </c>
      <c r="E448" s="49" t="s">
        <v>173</v>
      </c>
      <c r="F448" s="64">
        <v>44393.5932986111</v>
      </c>
      <c r="G448" s="64">
        <v>44393.432418981502</v>
      </c>
      <c r="H448" s="51" t="s">
        <v>257</v>
      </c>
      <c r="I448" s="69" t="s">
        <v>442</v>
      </c>
      <c r="J448" s="69" t="s">
        <v>443</v>
      </c>
      <c r="K448" s="92" t="s">
        <v>85</v>
      </c>
      <c r="L448" s="101">
        <v>12000</v>
      </c>
      <c r="M448" s="56" t="s">
        <v>86</v>
      </c>
    </row>
    <row r="449" spans="1:13" s="29" customFormat="1" ht="47.05" customHeight="1" x14ac:dyDescent="0.35">
      <c r="A449" s="276">
        <v>439</v>
      </c>
      <c r="B449" s="270" t="s">
        <v>80</v>
      </c>
      <c r="C449" s="265" t="s">
        <v>266</v>
      </c>
      <c r="D449" s="257" t="s">
        <v>265</v>
      </c>
      <c r="E449" s="230" t="s">
        <v>173</v>
      </c>
      <c r="F449" s="249">
        <v>44397.660266203697</v>
      </c>
      <c r="G449" s="249">
        <v>44397.664178240702</v>
      </c>
      <c r="H449" s="230" t="s">
        <v>444</v>
      </c>
      <c r="I449" s="230" t="s">
        <v>445</v>
      </c>
      <c r="J449" s="230" t="s">
        <v>446</v>
      </c>
      <c r="K449" s="230" t="s">
        <v>184</v>
      </c>
      <c r="L449" s="230">
        <v>16000</v>
      </c>
      <c r="M449" s="230" t="s">
        <v>86</v>
      </c>
    </row>
    <row r="450" spans="1:13" s="29" customFormat="1" ht="72" customHeight="1" x14ac:dyDescent="0.35">
      <c r="A450" s="276"/>
      <c r="B450" s="271"/>
      <c r="C450" s="265"/>
      <c r="D450" s="257"/>
      <c r="E450" s="231"/>
      <c r="F450" s="231"/>
      <c r="G450" s="231"/>
      <c r="H450" s="231"/>
      <c r="I450" s="231"/>
      <c r="J450" s="231"/>
      <c r="K450" s="231" t="s">
        <v>184</v>
      </c>
      <c r="L450" s="231">
        <v>16000</v>
      </c>
      <c r="M450" s="231" t="s">
        <v>86</v>
      </c>
    </row>
    <row r="451" spans="1:13" x14ac:dyDescent="0.4">
      <c r="A451" s="35">
        <v>440</v>
      </c>
      <c r="B451" s="92" t="s">
        <v>80</v>
      </c>
      <c r="C451" s="56" t="s">
        <v>266</v>
      </c>
      <c r="D451" s="84" t="s">
        <v>246</v>
      </c>
      <c r="E451" s="49" t="s">
        <v>173</v>
      </c>
      <c r="F451" s="105">
        <v>44397.660266203697</v>
      </c>
      <c r="G451" s="86">
        <v>44397.664178240702</v>
      </c>
      <c r="H451" s="250" t="s">
        <v>257</v>
      </c>
      <c r="I451" s="106" t="s">
        <v>447</v>
      </c>
      <c r="J451" s="106" t="s">
        <v>448</v>
      </c>
      <c r="K451" s="63" t="s">
        <v>85</v>
      </c>
      <c r="L451" s="107">
        <v>12000</v>
      </c>
      <c r="M451" s="90" t="s">
        <v>86</v>
      </c>
    </row>
    <row r="452" spans="1:13" x14ac:dyDescent="0.4">
      <c r="A452" s="35">
        <v>441</v>
      </c>
      <c r="B452" s="92" t="s">
        <v>80</v>
      </c>
      <c r="C452" s="56" t="s">
        <v>266</v>
      </c>
      <c r="D452" s="84" t="s">
        <v>449</v>
      </c>
      <c r="E452" s="49" t="s">
        <v>173</v>
      </c>
      <c r="F452" s="62">
        <v>44397.660266203697</v>
      </c>
      <c r="G452" s="64">
        <v>44397.664178240702</v>
      </c>
      <c r="H452" s="250"/>
      <c r="I452" s="69" t="s">
        <v>450</v>
      </c>
      <c r="J452" s="69" t="s">
        <v>451</v>
      </c>
      <c r="K452" s="92" t="s">
        <v>85</v>
      </c>
      <c r="L452" s="101">
        <v>12000</v>
      </c>
      <c r="M452" s="56" t="s">
        <v>86</v>
      </c>
    </row>
    <row r="453" spans="1:13" x14ac:dyDescent="0.4">
      <c r="A453" s="35">
        <v>442</v>
      </c>
      <c r="B453" s="92" t="s">
        <v>80</v>
      </c>
      <c r="C453" s="56" t="s">
        <v>266</v>
      </c>
      <c r="D453" s="84" t="s">
        <v>258</v>
      </c>
      <c r="E453" s="49" t="s">
        <v>173</v>
      </c>
      <c r="F453" s="62">
        <v>44397.660266203697</v>
      </c>
      <c r="G453" s="64">
        <v>44397.664178240702</v>
      </c>
      <c r="H453" s="250"/>
      <c r="I453" s="69" t="s">
        <v>452</v>
      </c>
      <c r="J453" s="69" t="s">
        <v>453</v>
      </c>
      <c r="K453" s="102" t="s">
        <v>184</v>
      </c>
      <c r="L453" s="103">
        <v>16000</v>
      </c>
      <c r="M453" s="56" t="s">
        <v>86</v>
      </c>
    </row>
    <row r="454" spans="1:13" x14ac:dyDescent="0.4">
      <c r="A454" s="35">
        <v>443</v>
      </c>
      <c r="B454" s="92" t="s">
        <v>80</v>
      </c>
      <c r="C454" s="56" t="s">
        <v>266</v>
      </c>
      <c r="D454" s="84" t="s">
        <v>320</v>
      </c>
      <c r="E454" s="49" t="s">
        <v>173</v>
      </c>
      <c r="F454" s="62">
        <v>44397.660266203697</v>
      </c>
      <c r="G454" s="64">
        <v>44397.664178240702</v>
      </c>
      <c r="H454" s="250"/>
      <c r="I454" s="69" t="s">
        <v>454</v>
      </c>
      <c r="J454" s="69" t="s">
        <v>455</v>
      </c>
      <c r="K454" s="92" t="s">
        <v>85</v>
      </c>
      <c r="L454" s="101">
        <v>12000</v>
      </c>
      <c r="M454" s="56" t="s">
        <v>86</v>
      </c>
    </row>
    <row r="455" spans="1:13" x14ac:dyDescent="0.4">
      <c r="A455" s="35">
        <v>444</v>
      </c>
      <c r="B455" s="92" t="s">
        <v>80</v>
      </c>
      <c r="C455" s="56" t="s">
        <v>266</v>
      </c>
      <c r="D455" s="84" t="s">
        <v>181</v>
      </c>
      <c r="E455" s="49" t="s">
        <v>173</v>
      </c>
      <c r="F455" s="62">
        <v>44397.660266203697</v>
      </c>
      <c r="G455" s="64">
        <v>44397.664178240702</v>
      </c>
      <c r="H455" s="250"/>
      <c r="I455" s="69" t="s">
        <v>456</v>
      </c>
      <c r="J455" s="69" t="s">
        <v>457</v>
      </c>
      <c r="K455" s="92" t="s">
        <v>85</v>
      </c>
      <c r="L455" s="101">
        <v>12000</v>
      </c>
      <c r="M455" s="56" t="s">
        <v>86</v>
      </c>
    </row>
    <row r="456" spans="1:13" x14ac:dyDescent="0.4">
      <c r="A456" s="35">
        <v>445</v>
      </c>
      <c r="B456" s="92" t="s">
        <v>80</v>
      </c>
      <c r="C456" s="56" t="s">
        <v>266</v>
      </c>
      <c r="D456" s="84" t="s">
        <v>259</v>
      </c>
      <c r="E456" s="49" t="s">
        <v>173</v>
      </c>
      <c r="F456" s="62">
        <v>44397.660266203697</v>
      </c>
      <c r="G456" s="64">
        <v>44397.664178240702</v>
      </c>
      <c r="H456" s="250"/>
      <c r="I456" s="69" t="s">
        <v>458</v>
      </c>
      <c r="J456" s="69" t="s">
        <v>459</v>
      </c>
      <c r="K456" s="102" t="s">
        <v>184</v>
      </c>
      <c r="L456" s="103">
        <v>16000</v>
      </c>
      <c r="M456" s="56" t="s">
        <v>86</v>
      </c>
    </row>
    <row r="457" spans="1:13" x14ac:dyDescent="0.4">
      <c r="A457" s="35">
        <v>446</v>
      </c>
      <c r="B457" s="92" t="s">
        <v>80</v>
      </c>
      <c r="C457" s="56" t="s">
        <v>266</v>
      </c>
      <c r="D457" s="84" t="s">
        <v>172</v>
      </c>
      <c r="E457" s="49" t="s">
        <v>173</v>
      </c>
      <c r="F457" s="62">
        <v>44397.660266203697</v>
      </c>
      <c r="G457" s="64">
        <v>44397.664178240702</v>
      </c>
      <c r="H457" s="250"/>
      <c r="I457" s="69" t="s">
        <v>460</v>
      </c>
      <c r="J457" s="69" t="s">
        <v>461</v>
      </c>
      <c r="K457" s="92" t="s">
        <v>85</v>
      </c>
      <c r="L457" s="101">
        <v>12000</v>
      </c>
      <c r="M457" s="56" t="s">
        <v>86</v>
      </c>
    </row>
    <row r="458" spans="1:13" x14ac:dyDescent="0.4">
      <c r="A458" s="35">
        <v>447</v>
      </c>
      <c r="B458" s="92" t="s">
        <v>80</v>
      </c>
      <c r="C458" s="56" t="s">
        <v>266</v>
      </c>
      <c r="D458" s="84" t="s">
        <v>179</v>
      </c>
      <c r="E458" s="49" t="s">
        <v>173</v>
      </c>
      <c r="F458" s="62">
        <v>44397.660266203697</v>
      </c>
      <c r="G458" s="64">
        <v>44397.664178240702</v>
      </c>
      <c r="H458" s="250"/>
      <c r="I458" s="69" t="s">
        <v>462</v>
      </c>
      <c r="J458" s="69" t="s">
        <v>463</v>
      </c>
      <c r="K458" s="92" t="s">
        <v>85</v>
      </c>
      <c r="L458" s="101">
        <v>12000</v>
      </c>
      <c r="M458" s="56" t="s">
        <v>86</v>
      </c>
    </row>
    <row r="459" spans="1:13" x14ac:dyDescent="0.4">
      <c r="A459" s="275">
        <v>448</v>
      </c>
      <c r="B459" s="259" t="s">
        <v>80</v>
      </c>
      <c r="C459" s="228" t="s">
        <v>266</v>
      </c>
      <c r="D459" s="240" t="s">
        <v>203</v>
      </c>
      <c r="E459" s="49" t="s">
        <v>173</v>
      </c>
      <c r="F459" s="62">
        <v>44397.660266203697</v>
      </c>
      <c r="G459" s="64">
        <v>44397.664178240702</v>
      </c>
      <c r="H459" s="250"/>
      <c r="I459" s="66">
        <v>44404.938564814802</v>
      </c>
      <c r="J459" s="66">
        <v>44405.383101851898</v>
      </c>
      <c r="K459" s="92" t="s">
        <v>85</v>
      </c>
      <c r="L459" s="101">
        <v>12000</v>
      </c>
      <c r="M459" s="56" t="s">
        <v>86</v>
      </c>
    </row>
    <row r="460" spans="1:13" ht="14.15" x14ac:dyDescent="0.35">
      <c r="A460" s="275"/>
      <c r="B460" s="260"/>
      <c r="C460" s="229"/>
      <c r="D460" s="242"/>
      <c r="E460" s="49" t="s">
        <v>269</v>
      </c>
      <c r="F460" s="62">
        <v>44642.999988425901</v>
      </c>
      <c r="G460" s="62">
        <v>44642.999988425901</v>
      </c>
      <c r="H460" s="251"/>
      <c r="I460" s="66">
        <v>44857.396249999998</v>
      </c>
      <c r="J460" s="66">
        <v>44858.461412037002</v>
      </c>
      <c r="K460" s="92" t="s">
        <v>85</v>
      </c>
      <c r="L460" s="101">
        <v>12000</v>
      </c>
      <c r="M460" s="56" t="s">
        <v>86</v>
      </c>
    </row>
    <row r="461" spans="1:13" ht="38.6" x14ac:dyDescent="0.4">
      <c r="A461" s="35">
        <v>449</v>
      </c>
      <c r="B461" s="108" t="s">
        <v>80</v>
      </c>
      <c r="C461" s="51" t="s">
        <v>266</v>
      </c>
      <c r="D461" s="84" t="s">
        <v>157</v>
      </c>
      <c r="E461" s="49" t="s">
        <v>173</v>
      </c>
      <c r="F461" s="109">
        <v>44397.660266203697</v>
      </c>
      <c r="G461" s="76">
        <v>44397.664178240702</v>
      </c>
      <c r="H461" s="51" t="s">
        <v>464</v>
      </c>
      <c r="I461" s="51" t="s">
        <v>465</v>
      </c>
      <c r="J461" s="51" t="s">
        <v>466</v>
      </c>
      <c r="K461" s="108" t="s">
        <v>85</v>
      </c>
      <c r="L461" s="110">
        <v>12000</v>
      </c>
      <c r="M461" s="51" t="s">
        <v>86</v>
      </c>
    </row>
    <row r="462" spans="1:13" x14ac:dyDescent="0.4">
      <c r="A462" s="35">
        <v>450</v>
      </c>
      <c r="B462" s="92" t="s">
        <v>80</v>
      </c>
      <c r="C462" s="56" t="s">
        <v>266</v>
      </c>
      <c r="D462" s="84" t="s">
        <v>158</v>
      </c>
      <c r="E462" s="49" t="s">
        <v>173</v>
      </c>
      <c r="F462" s="62">
        <v>44397.660266203697</v>
      </c>
      <c r="G462" s="64">
        <v>44397.664178240702</v>
      </c>
      <c r="H462" s="252" t="s">
        <v>257</v>
      </c>
      <c r="I462" s="69" t="s">
        <v>467</v>
      </c>
      <c r="J462" s="69" t="s">
        <v>468</v>
      </c>
      <c r="K462" s="92" t="s">
        <v>85</v>
      </c>
      <c r="L462" s="101">
        <v>12000</v>
      </c>
      <c r="M462" s="56" t="s">
        <v>86</v>
      </c>
    </row>
    <row r="463" spans="1:13" x14ac:dyDescent="0.4">
      <c r="A463" s="35">
        <v>451</v>
      </c>
      <c r="B463" s="92" t="s">
        <v>80</v>
      </c>
      <c r="C463" s="56" t="s">
        <v>266</v>
      </c>
      <c r="D463" s="84" t="s">
        <v>264</v>
      </c>
      <c r="E463" s="49" t="s">
        <v>173</v>
      </c>
      <c r="F463" s="62">
        <v>44397.660266203697</v>
      </c>
      <c r="G463" s="64">
        <v>44397.664178240702</v>
      </c>
      <c r="H463" s="250"/>
      <c r="I463" s="69" t="s">
        <v>469</v>
      </c>
      <c r="J463" s="69" t="s">
        <v>470</v>
      </c>
      <c r="K463" s="102" t="s">
        <v>184</v>
      </c>
      <c r="L463" s="103">
        <v>16000</v>
      </c>
      <c r="M463" s="56" t="s">
        <v>86</v>
      </c>
    </row>
    <row r="464" spans="1:13" x14ac:dyDescent="0.4">
      <c r="A464" s="275">
        <v>452</v>
      </c>
      <c r="B464" s="259" t="s">
        <v>80</v>
      </c>
      <c r="C464" s="228" t="s">
        <v>266</v>
      </c>
      <c r="D464" s="247" t="s">
        <v>365</v>
      </c>
      <c r="E464" s="49" t="s">
        <v>173</v>
      </c>
      <c r="F464" s="62">
        <v>44397.660266203697</v>
      </c>
      <c r="G464" s="64">
        <v>44397.664178240702</v>
      </c>
      <c r="H464" s="250"/>
      <c r="I464" s="66">
        <v>44404.631226851903</v>
      </c>
      <c r="J464" s="66">
        <v>44404.704004629602</v>
      </c>
      <c r="K464" s="92" t="s">
        <v>85</v>
      </c>
      <c r="L464" s="101">
        <v>12000</v>
      </c>
      <c r="M464" s="56" t="s">
        <v>86</v>
      </c>
    </row>
    <row r="465" spans="1:13" ht="14.15" x14ac:dyDescent="0.35">
      <c r="A465" s="275"/>
      <c r="B465" s="260"/>
      <c r="C465" s="229"/>
      <c r="D465" s="248"/>
      <c r="E465" s="49" t="s">
        <v>269</v>
      </c>
      <c r="F465" s="62">
        <v>44607.999988425901</v>
      </c>
      <c r="G465" s="62">
        <v>44607.999988425901</v>
      </c>
      <c r="H465" s="250"/>
      <c r="I465" s="66">
        <v>44857.417025463001</v>
      </c>
      <c r="J465" s="66">
        <v>44858.461331018501</v>
      </c>
      <c r="K465" s="92" t="s">
        <v>85</v>
      </c>
      <c r="L465" s="101">
        <v>12000</v>
      </c>
      <c r="M465" s="56" t="s">
        <v>86</v>
      </c>
    </row>
    <row r="466" spans="1:13" x14ac:dyDescent="0.4">
      <c r="A466" s="35">
        <v>453</v>
      </c>
      <c r="B466" s="92" t="s">
        <v>80</v>
      </c>
      <c r="C466" s="56" t="s">
        <v>266</v>
      </c>
      <c r="D466" s="84" t="s">
        <v>368</v>
      </c>
      <c r="E466" s="49" t="s">
        <v>173</v>
      </c>
      <c r="F466" s="62">
        <v>44397.660266203697</v>
      </c>
      <c r="G466" s="64">
        <v>44397.664178240702</v>
      </c>
      <c r="H466" s="250"/>
      <c r="I466" s="69" t="s">
        <v>471</v>
      </c>
      <c r="J466" s="69" t="s">
        <v>472</v>
      </c>
      <c r="K466" s="92" t="s">
        <v>85</v>
      </c>
      <c r="L466" s="101">
        <v>12000</v>
      </c>
      <c r="M466" s="56" t="s">
        <v>86</v>
      </c>
    </row>
    <row r="467" spans="1:13" x14ac:dyDescent="0.4">
      <c r="A467" s="35">
        <v>454</v>
      </c>
      <c r="B467" s="92" t="s">
        <v>80</v>
      </c>
      <c r="C467" s="56" t="s">
        <v>266</v>
      </c>
      <c r="D467" s="84" t="s">
        <v>371</v>
      </c>
      <c r="E467" s="49" t="s">
        <v>173</v>
      </c>
      <c r="F467" s="62">
        <v>44397.660266203697</v>
      </c>
      <c r="G467" s="64">
        <v>44397.664178240702</v>
      </c>
      <c r="H467" s="250"/>
      <c r="I467" s="69" t="s">
        <v>473</v>
      </c>
      <c r="J467" s="69" t="s">
        <v>474</v>
      </c>
      <c r="K467" s="92" t="s">
        <v>85</v>
      </c>
      <c r="L467" s="101">
        <v>12000</v>
      </c>
      <c r="M467" s="56" t="s">
        <v>86</v>
      </c>
    </row>
    <row r="468" spans="1:13" x14ac:dyDescent="0.4">
      <c r="A468" s="35">
        <v>455</v>
      </c>
      <c r="B468" s="92" t="s">
        <v>80</v>
      </c>
      <c r="C468" s="56" t="s">
        <v>266</v>
      </c>
      <c r="D468" s="84" t="s">
        <v>374</v>
      </c>
      <c r="E468" s="49" t="s">
        <v>173</v>
      </c>
      <c r="F468" s="62">
        <v>44397.660266203697</v>
      </c>
      <c r="G468" s="64">
        <v>44397.664178240702</v>
      </c>
      <c r="H468" s="250"/>
      <c r="I468" s="69" t="s">
        <v>475</v>
      </c>
      <c r="J468" s="69" t="s">
        <v>476</v>
      </c>
      <c r="K468" s="92" t="s">
        <v>85</v>
      </c>
      <c r="L468" s="101">
        <v>12000</v>
      </c>
      <c r="M468" s="56" t="s">
        <v>86</v>
      </c>
    </row>
    <row r="469" spans="1:13" x14ac:dyDescent="0.4">
      <c r="A469" s="35">
        <v>456</v>
      </c>
      <c r="B469" s="92" t="s">
        <v>80</v>
      </c>
      <c r="C469" s="56" t="s">
        <v>266</v>
      </c>
      <c r="D469" s="84" t="s">
        <v>477</v>
      </c>
      <c r="E469" s="49" t="s">
        <v>173</v>
      </c>
      <c r="F469" s="62">
        <v>44397.660266203697</v>
      </c>
      <c r="G469" s="64">
        <v>44397.664178240702</v>
      </c>
      <c r="H469" s="250"/>
      <c r="I469" s="69" t="s">
        <v>478</v>
      </c>
      <c r="J469" s="69" t="s">
        <v>479</v>
      </c>
      <c r="K469" s="92" t="s">
        <v>85</v>
      </c>
      <c r="L469" s="101">
        <v>12000</v>
      </c>
      <c r="M469" s="56" t="s">
        <v>86</v>
      </c>
    </row>
    <row r="470" spans="1:13" x14ac:dyDescent="0.4">
      <c r="A470" s="35">
        <v>457</v>
      </c>
      <c r="B470" s="92" t="s">
        <v>80</v>
      </c>
      <c r="C470" s="56" t="s">
        <v>267</v>
      </c>
      <c r="D470" s="84" t="s">
        <v>258</v>
      </c>
      <c r="E470" s="49" t="s">
        <v>173</v>
      </c>
      <c r="F470" s="62">
        <v>44397.660266203697</v>
      </c>
      <c r="G470" s="64">
        <v>44397.664178240702</v>
      </c>
      <c r="H470" s="251"/>
      <c r="I470" s="69" t="s">
        <v>480</v>
      </c>
      <c r="J470" s="69" t="s">
        <v>481</v>
      </c>
      <c r="K470" s="102" t="s">
        <v>184</v>
      </c>
      <c r="L470" s="103">
        <v>16000</v>
      </c>
      <c r="M470" s="56" t="s">
        <v>86</v>
      </c>
    </row>
    <row r="471" spans="1:13" s="30" customFormat="1" ht="46.5" customHeight="1" x14ac:dyDescent="0.3">
      <c r="A471" s="275">
        <v>458</v>
      </c>
      <c r="B471" s="272" t="s">
        <v>80</v>
      </c>
      <c r="C471" s="252" t="s">
        <v>267</v>
      </c>
      <c r="D471" s="247" t="s">
        <v>320</v>
      </c>
      <c r="E471" s="49" t="s">
        <v>173</v>
      </c>
      <c r="F471" s="112">
        <v>44397.660266203697</v>
      </c>
      <c r="G471" s="113">
        <v>44397.664178240702</v>
      </c>
      <c r="H471" s="51" t="s">
        <v>482</v>
      </c>
      <c r="I471" s="51" t="s">
        <v>483</v>
      </c>
      <c r="J471" s="51" t="s">
        <v>484</v>
      </c>
      <c r="K471" s="108" t="s">
        <v>85</v>
      </c>
      <c r="L471" s="110">
        <v>12000</v>
      </c>
      <c r="M471" s="51" t="s">
        <v>86</v>
      </c>
    </row>
    <row r="472" spans="1:13" x14ac:dyDescent="0.4">
      <c r="A472" s="275"/>
      <c r="B472" s="273"/>
      <c r="C472" s="251"/>
      <c r="D472" s="248"/>
      <c r="E472" s="49" t="s">
        <v>269</v>
      </c>
      <c r="F472" s="49">
        <v>44589.999988425901</v>
      </c>
      <c r="G472" s="76">
        <v>44591.375219907401</v>
      </c>
      <c r="H472" s="252" t="s">
        <v>257</v>
      </c>
      <c r="I472" s="49">
        <v>45793.067106481503</v>
      </c>
      <c r="J472" s="49">
        <v>45793.067210648202</v>
      </c>
      <c r="K472" s="108" t="s">
        <v>85</v>
      </c>
      <c r="L472" s="110">
        <v>12000</v>
      </c>
      <c r="M472" s="51" t="s">
        <v>86</v>
      </c>
    </row>
    <row r="473" spans="1:13" x14ac:dyDescent="0.4">
      <c r="A473" s="35">
        <v>459</v>
      </c>
      <c r="B473" s="93" t="s">
        <v>80</v>
      </c>
      <c r="C473" s="89" t="s">
        <v>267</v>
      </c>
      <c r="D473" s="94" t="s">
        <v>263</v>
      </c>
      <c r="E473" s="49" t="s">
        <v>173</v>
      </c>
      <c r="F473" s="63">
        <v>44397.660266203697</v>
      </c>
      <c r="G473" s="80">
        <v>44397.664178240702</v>
      </c>
      <c r="H473" s="250"/>
      <c r="I473" s="69" t="s">
        <v>485</v>
      </c>
      <c r="J473" s="69" t="s">
        <v>486</v>
      </c>
      <c r="K473" s="114" t="s">
        <v>184</v>
      </c>
      <c r="L473" s="115">
        <v>16000</v>
      </c>
      <c r="M473" s="56" t="s">
        <v>86</v>
      </c>
    </row>
    <row r="474" spans="1:13" x14ac:dyDescent="0.4">
      <c r="A474" s="35">
        <v>460</v>
      </c>
      <c r="B474" s="93" t="s">
        <v>80</v>
      </c>
      <c r="C474" s="89" t="s">
        <v>267</v>
      </c>
      <c r="D474" s="94" t="s">
        <v>181</v>
      </c>
      <c r="E474" s="49" t="s">
        <v>173</v>
      </c>
      <c r="F474" s="64">
        <v>44398.692905092597</v>
      </c>
      <c r="G474" s="50">
        <v>44398.694513888899</v>
      </c>
      <c r="H474" s="250"/>
      <c r="I474" s="69" t="s">
        <v>487</v>
      </c>
      <c r="J474" s="69" t="s">
        <v>488</v>
      </c>
      <c r="K474" s="92" t="s">
        <v>85</v>
      </c>
      <c r="L474" s="101">
        <v>12000</v>
      </c>
      <c r="M474" s="56" t="s">
        <v>86</v>
      </c>
    </row>
    <row r="475" spans="1:13" x14ac:dyDescent="0.4">
      <c r="A475" s="35">
        <v>461</v>
      </c>
      <c r="B475" s="93" t="s">
        <v>80</v>
      </c>
      <c r="C475" s="89" t="s">
        <v>267</v>
      </c>
      <c r="D475" s="84" t="s">
        <v>172</v>
      </c>
      <c r="E475" s="49" t="s">
        <v>173</v>
      </c>
      <c r="F475" s="64">
        <v>44398.692905092597</v>
      </c>
      <c r="G475" s="50">
        <v>44398.694513888899</v>
      </c>
      <c r="H475" s="250"/>
      <c r="I475" s="69" t="s">
        <v>489</v>
      </c>
      <c r="J475" s="69" t="s">
        <v>490</v>
      </c>
      <c r="K475" s="92" t="s">
        <v>85</v>
      </c>
      <c r="L475" s="101">
        <v>12000</v>
      </c>
      <c r="M475" s="56" t="s">
        <v>86</v>
      </c>
    </row>
    <row r="476" spans="1:13" x14ac:dyDescent="0.4">
      <c r="A476" s="35">
        <v>462</v>
      </c>
      <c r="B476" s="93" t="s">
        <v>80</v>
      </c>
      <c r="C476" s="89" t="s">
        <v>267</v>
      </c>
      <c r="D476" s="84" t="s">
        <v>177</v>
      </c>
      <c r="E476" s="49" t="s">
        <v>173</v>
      </c>
      <c r="F476" s="64">
        <v>44398.692905092597</v>
      </c>
      <c r="G476" s="50">
        <v>44398.694513888899</v>
      </c>
      <c r="H476" s="250"/>
      <c r="I476" s="69" t="s">
        <v>491</v>
      </c>
      <c r="J476" s="69" t="s">
        <v>492</v>
      </c>
      <c r="K476" s="92" t="s">
        <v>85</v>
      </c>
      <c r="L476" s="101">
        <v>12000</v>
      </c>
      <c r="M476" s="56" t="s">
        <v>86</v>
      </c>
    </row>
    <row r="477" spans="1:13" x14ac:dyDescent="0.4">
      <c r="A477" s="35">
        <v>463</v>
      </c>
      <c r="B477" s="93" t="s">
        <v>80</v>
      </c>
      <c r="C477" s="89" t="s">
        <v>267</v>
      </c>
      <c r="D477" s="84" t="s">
        <v>178</v>
      </c>
      <c r="E477" s="49" t="s">
        <v>173</v>
      </c>
      <c r="F477" s="64">
        <v>44398.692905092597</v>
      </c>
      <c r="G477" s="50">
        <v>44398.694513888899</v>
      </c>
      <c r="H477" s="250"/>
      <c r="I477" s="69" t="s">
        <v>493</v>
      </c>
      <c r="J477" s="69" t="s">
        <v>494</v>
      </c>
      <c r="K477" s="92" t="s">
        <v>85</v>
      </c>
      <c r="L477" s="101">
        <v>12000</v>
      </c>
      <c r="M477" s="56" t="s">
        <v>86</v>
      </c>
    </row>
    <row r="478" spans="1:13" x14ac:dyDescent="0.4">
      <c r="A478" s="35">
        <v>464</v>
      </c>
      <c r="B478" s="93" t="s">
        <v>80</v>
      </c>
      <c r="C478" s="89" t="s">
        <v>267</v>
      </c>
      <c r="D478" s="84" t="s">
        <v>179</v>
      </c>
      <c r="E478" s="49" t="s">
        <v>173</v>
      </c>
      <c r="F478" s="64">
        <v>44398.692905092597</v>
      </c>
      <c r="G478" s="50">
        <v>44398.694513888899</v>
      </c>
      <c r="H478" s="250"/>
      <c r="I478" s="69" t="s">
        <v>495</v>
      </c>
      <c r="J478" s="69" t="s">
        <v>496</v>
      </c>
      <c r="K478" s="92" t="s">
        <v>85</v>
      </c>
      <c r="L478" s="101">
        <v>12000</v>
      </c>
      <c r="M478" s="56" t="s">
        <v>86</v>
      </c>
    </row>
    <row r="479" spans="1:13" x14ac:dyDescent="0.4">
      <c r="A479" s="35">
        <v>465</v>
      </c>
      <c r="B479" s="93" t="s">
        <v>80</v>
      </c>
      <c r="C479" s="89" t="s">
        <v>267</v>
      </c>
      <c r="D479" s="84" t="s">
        <v>206</v>
      </c>
      <c r="E479" s="49" t="s">
        <v>173</v>
      </c>
      <c r="F479" s="64">
        <v>44398.692905092597</v>
      </c>
      <c r="G479" s="50">
        <v>44398.694513888899</v>
      </c>
      <c r="H479" s="250"/>
      <c r="I479" s="69" t="s">
        <v>497</v>
      </c>
      <c r="J479" s="69" t="s">
        <v>498</v>
      </c>
      <c r="K479" s="92" t="s">
        <v>184</v>
      </c>
      <c r="L479" s="115">
        <v>16000</v>
      </c>
      <c r="M479" s="56" t="s">
        <v>86</v>
      </c>
    </row>
    <row r="480" spans="1:13" x14ac:dyDescent="0.4">
      <c r="A480" s="35">
        <v>466</v>
      </c>
      <c r="B480" s="93" t="s">
        <v>80</v>
      </c>
      <c r="C480" s="89" t="s">
        <v>267</v>
      </c>
      <c r="D480" s="84" t="s">
        <v>203</v>
      </c>
      <c r="E480" s="49" t="s">
        <v>173</v>
      </c>
      <c r="F480" s="64">
        <v>44398.692905092597</v>
      </c>
      <c r="G480" s="50">
        <v>44398.694513888899</v>
      </c>
      <c r="H480" s="250"/>
      <c r="I480" s="69" t="s">
        <v>499</v>
      </c>
      <c r="J480" s="69" t="s">
        <v>500</v>
      </c>
      <c r="K480" s="92" t="s">
        <v>85</v>
      </c>
      <c r="L480" s="101">
        <v>12000</v>
      </c>
      <c r="M480" s="56" t="s">
        <v>86</v>
      </c>
    </row>
    <row r="481" spans="1:13" x14ac:dyDescent="0.4">
      <c r="A481" s="35">
        <v>467</v>
      </c>
      <c r="B481" s="93" t="s">
        <v>80</v>
      </c>
      <c r="C481" s="89" t="s">
        <v>267</v>
      </c>
      <c r="D481" s="84" t="s">
        <v>365</v>
      </c>
      <c r="E481" s="49" t="s">
        <v>173</v>
      </c>
      <c r="F481" s="64">
        <v>44398.692905092597</v>
      </c>
      <c r="G481" s="50">
        <v>44398.694513888899</v>
      </c>
      <c r="H481" s="250"/>
      <c r="I481" s="69" t="s">
        <v>501</v>
      </c>
      <c r="J481" s="69" t="s">
        <v>502</v>
      </c>
      <c r="K481" s="92" t="s">
        <v>85</v>
      </c>
      <c r="L481" s="101">
        <v>12000</v>
      </c>
      <c r="M481" s="56" t="s">
        <v>86</v>
      </c>
    </row>
    <row r="482" spans="1:13" x14ac:dyDescent="0.4">
      <c r="A482" s="35">
        <v>468</v>
      </c>
      <c r="B482" s="93" t="s">
        <v>80</v>
      </c>
      <c r="C482" s="89" t="s">
        <v>267</v>
      </c>
      <c r="D482" s="84" t="s">
        <v>368</v>
      </c>
      <c r="E482" s="49" t="s">
        <v>173</v>
      </c>
      <c r="F482" s="64">
        <v>44398.692905092597</v>
      </c>
      <c r="G482" s="50">
        <v>44398.694513888899</v>
      </c>
      <c r="H482" s="250"/>
      <c r="I482" s="69" t="s">
        <v>495</v>
      </c>
      <c r="J482" s="69" t="s">
        <v>503</v>
      </c>
      <c r="K482" s="92" t="s">
        <v>85</v>
      </c>
      <c r="L482" s="101">
        <v>12000</v>
      </c>
      <c r="M482" s="56" t="s">
        <v>86</v>
      </c>
    </row>
    <row r="483" spans="1:13" x14ac:dyDescent="0.4">
      <c r="A483" s="35">
        <v>469</v>
      </c>
      <c r="B483" s="93" t="s">
        <v>80</v>
      </c>
      <c r="C483" s="89" t="s">
        <v>267</v>
      </c>
      <c r="D483" s="84" t="s">
        <v>371</v>
      </c>
      <c r="E483" s="49" t="s">
        <v>173</v>
      </c>
      <c r="F483" s="64">
        <v>44398.692905092597</v>
      </c>
      <c r="G483" s="50">
        <v>44398.694513888899</v>
      </c>
      <c r="H483" s="250"/>
      <c r="I483" s="69" t="s">
        <v>495</v>
      </c>
      <c r="J483" s="69" t="s">
        <v>504</v>
      </c>
      <c r="K483" s="92" t="s">
        <v>85</v>
      </c>
      <c r="L483" s="101">
        <v>12000</v>
      </c>
      <c r="M483" s="56" t="s">
        <v>86</v>
      </c>
    </row>
    <row r="484" spans="1:13" x14ac:dyDescent="0.4">
      <c r="A484" s="35">
        <v>470</v>
      </c>
      <c r="B484" s="93" t="s">
        <v>80</v>
      </c>
      <c r="C484" s="89" t="s">
        <v>267</v>
      </c>
      <c r="D484" s="84" t="s">
        <v>374</v>
      </c>
      <c r="E484" s="49" t="s">
        <v>173</v>
      </c>
      <c r="F484" s="64">
        <v>44398.692905092597</v>
      </c>
      <c r="G484" s="50">
        <v>44398.694513888899</v>
      </c>
      <c r="H484" s="250"/>
      <c r="I484" s="69" t="s">
        <v>505</v>
      </c>
      <c r="J484" s="69" t="s">
        <v>506</v>
      </c>
      <c r="K484" s="92" t="s">
        <v>85</v>
      </c>
      <c r="L484" s="101">
        <v>12000</v>
      </c>
      <c r="M484" s="56" t="s">
        <v>86</v>
      </c>
    </row>
    <row r="485" spans="1:13" x14ac:dyDescent="0.4">
      <c r="A485" s="35">
        <v>471</v>
      </c>
      <c r="B485" s="93" t="s">
        <v>80</v>
      </c>
      <c r="C485" s="89" t="s">
        <v>267</v>
      </c>
      <c r="D485" s="84" t="s">
        <v>262</v>
      </c>
      <c r="E485" s="49" t="s">
        <v>173</v>
      </c>
      <c r="F485" s="64">
        <v>44398.692905092597</v>
      </c>
      <c r="G485" s="50">
        <v>44398.694513888899</v>
      </c>
      <c r="H485" s="250"/>
      <c r="I485" s="69" t="s">
        <v>497</v>
      </c>
      <c r="J485" s="69" t="s">
        <v>507</v>
      </c>
      <c r="K485" s="92" t="s">
        <v>184</v>
      </c>
      <c r="L485" s="115">
        <v>16000</v>
      </c>
      <c r="M485" s="56" t="s">
        <v>86</v>
      </c>
    </row>
    <row r="486" spans="1:13" x14ac:dyDescent="0.4">
      <c r="A486" s="35">
        <v>472</v>
      </c>
      <c r="B486" s="93" t="s">
        <v>80</v>
      </c>
      <c r="C486" s="89" t="s">
        <v>267</v>
      </c>
      <c r="D486" s="84" t="s">
        <v>477</v>
      </c>
      <c r="E486" s="49" t="s">
        <v>173</v>
      </c>
      <c r="F486" s="64">
        <v>44398.692905092597</v>
      </c>
      <c r="G486" s="50">
        <v>44398.694513888899</v>
      </c>
      <c r="H486" s="250"/>
      <c r="I486" s="69" t="s">
        <v>497</v>
      </c>
      <c r="J486" s="69" t="s">
        <v>508</v>
      </c>
      <c r="K486" s="92" t="s">
        <v>85</v>
      </c>
      <c r="L486" s="101">
        <v>12000</v>
      </c>
      <c r="M486" s="56" t="s">
        <v>86</v>
      </c>
    </row>
    <row r="487" spans="1:13" x14ac:dyDescent="0.4">
      <c r="A487" s="35">
        <v>473</v>
      </c>
      <c r="B487" s="93" t="s">
        <v>80</v>
      </c>
      <c r="C487" s="89" t="s">
        <v>81</v>
      </c>
      <c r="D487" s="84" t="s">
        <v>193</v>
      </c>
      <c r="E487" s="49" t="s">
        <v>173</v>
      </c>
      <c r="F487" s="64">
        <v>44398.692905092597</v>
      </c>
      <c r="G487" s="50">
        <v>44398.694513888899</v>
      </c>
      <c r="H487" s="250"/>
      <c r="I487" s="69" t="s">
        <v>509</v>
      </c>
      <c r="J487" s="69" t="s">
        <v>510</v>
      </c>
      <c r="K487" s="92" t="s">
        <v>85</v>
      </c>
      <c r="L487" s="101">
        <v>12000</v>
      </c>
      <c r="M487" s="56" t="s">
        <v>86</v>
      </c>
    </row>
    <row r="488" spans="1:13" x14ac:dyDescent="0.4">
      <c r="A488" s="35">
        <v>474</v>
      </c>
      <c r="B488" s="93" t="s">
        <v>80</v>
      </c>
      <c r="C488" s="89" t="s">
        <v>81</v>
      </c>
      <c r="D488" s="84" t="s">
        <v>449</v>
      </c>
      <c r="E488" s="49" t="s">
        <v>173</v>
      </c>
      <c r="F488" s="64">
        <v>44398.692905092597</v>
      </c>
      <c r="G488" s="50">
        <v>44398.694513888899</v>
      </c>
      <c r="H488" s="250"/>
      <c r="I488" s="69" t="s">
        <v>497</v>
      </c>
      <c r="J488" s="69" t="s">
        <v>511</v>
      </c>
      <c r="K488" s="92" t="s">
        <v>85</v>
      </c>
      <c r="L488" s="101">
        <v>12000</v>
      </c>
      <c r="M488" s="56" t="s">
        <v>86</v>
      </c>
    </row>
    <row r="489" spans="1:13" x14ac:dyDescent="0.4">
      <c r="A489" s="35">
        <v>475</v>
      </c>
      <c r="B489" s="93" t="s">
        <v>80</v>
      </c>
      <c r="C489" s="89" t="s">
        <v>81</v>
      </c>
      <c r="D489" s="84" t="s">
        <v>258</v>
      </c>
      <c r="E489" s="49" t="s">
        <v>173</v>
      </c>
      <c r="F489" s="64">
        <v>44398.692905092597</v>
      </c>
      <c r="G489" s="50">
        <v>44398.694513888899</v>
      </c>
      <c r="H489" s="250"/>
      <c r="I489" s="69" t="s">
        <v>512</v>
      </c>
      <c r="J489" s="69" t="s">
        <v>513</v>
      </c>
      <c r="K489" s="92" t="s">
        <v>184</v>
      </c>
      <c r="L489" s="115">
        <v>16000</v>
      </c>
      <c r="M489" s="56" t="s">
        <v>86</v>
      </c>
    </row>
    <row r="490" spans="1:13" x14ac:dyDescent="0.4">
      <c r="A490" s="35">
        <v>476</v>
      </c>
      <c r="B490" s="93" t="s">
        <v>80</v>
      </c>
      <c r="C490" s="89" t="s">
        <v>81</v>
      </c>
      <c r="D490" s="84" t="s">
        <v>320</v>
      </c>
      <c r="E490" s="49" t="s">
        <v>173</v>
      </c>
      <c r="F490" s="64">
        <v>44398.692905092597</v>
      </c>
      <c r="G490" s="50">
        <v>44398.694513888899</v>
      </c>
      <c r="H490" s="250"/>
      <c r="I490" s="69" t="s">
        <v>514</v>
      </c>
      <c r="J490" s="69" t="s">
        <v>515</v>
      </c>
      <c r="K490" s="92" t="s">
        <v>85</v>
      </c>
      <c r="L490" s="101">
        <v>12000</v>
      </c>
      <c r="M490" s="56" t="s">
        <v>86</v>
      </c>
    </row>
    <row r="491" spans="1:13" x14ac:dyDescent="0.4">
      <c r="A491" s="35">
        <v>477</v>
      </c>
      <c r="B491" s="93" t="s">
        <v>80</v>
      </c>
      <c r="C491" s="89" t="s">
        <v>81</v>
      </c>
      <c r="D491" s="84" t="s">
        <v>178</v>
      </c>
      <c r="E491" s="49" t="s">
        <v>173</v>
      </c>
      <c r="F491" s="64">
        <v>44398.692905092597</v>
      </c>
      <c r="G491" s="50">
        <v>44398.694513888899</v>
      </c>
      <c r="H491" s="250"/>
      <c r="I491" s="69" t="s">
        <v>516</v>
      </c>
      <c r="J491" s="69" t="s">
        <v>517</v>
      </c>
      <c r="K491" s="92" t="s">
        <v>85</v>
      </c>
      <c r="L491" s="101">
        <v>12000</v>
      </c>
      <c r="M491" s="56" t="s">
        <v>86</v>
      </c>
    </row>
    <row r="492" spans="1:13" x14ac:dyDescent="0.4">
      <c r="A492" s="35">
        <v>478</v>
      </c>
      <c r="B492" s="93" t="s">
        <v>80</v>
      </c>
      <c r="C492" s="89" t="s">
        <v>81</v>
      </c>
      <c r="D492" s="84" t="s">
        <v>365</v>
      </c>
      <c r="E492" s="49" t="s">
        <v>173</v>
      </c>
      <c r="F492" s="64">
        <v>44398.692905092597</v>
      </c>
      <c r="G492" s="50">
        <v>44398.694513888899</v>
      </c>
      <c r="H492" s="250"/>
      <c r="I492" s="64">
        <v>44443.826481481497</v>
      </c>
      <c r="J492" s="64">
        <v>44441.839930555601</v>
      </c>
      <c r="K492" s="92" t="s">
        <v>85</v>
      </c>
      <c r="L492" s="101">
        <v>12000</v>
      </c>
      <c r="M492" s="56" t="s">
        <v>86</v>
      </c>
    </row>
    <row r="493" spans="1:13" x14ac:dyDescent="0.4">
      <c r="A493" s="35">
        <v>479</v>
      </c>
      <c r="B493" s="93" t="s">
        <v>80</v>
      </c>
      <c r="C493" s="89" t="s">
        <v>81</v>
      </c>
      <c r="D493" s="84" t="s">
        <v>368</v>
      </c>
      <c r="E493" s="49" t="s">
        <v>173</v>
      </c>
      <c r="F493" s="64">
        <v>44398.692905092597</v>
      </c>
      <c r="G493" s="50">
        <v>44398.694513888899</v>
      </c>
      <c r="H493" s="250"/>
      <c r="I493" s="69" t="s">
        <v>518</v>
      </c>
      <c r="J493" s="69" t="s">
        <v>519</v>
      </c>
      <c r="K493" s="92" t="s">
        <v>85</v>
      </c>
      <c r="L493" s="101">
        <v>12000</v>
      </c>
      <c r="M493" s="56" t="s">
        <v>86</v>
      </c>
    </row>
    <row r="494" spans="1:13" x14ac:dyDescent="0.4">
      <c r="A494" s="35">
        <v>480</v>
      </c>
      <c r="B494" s="93" t="s">
        <v>80</v>
      </c>
      <c r="C494" s="89" t="s">
        <v>266</v>
      </c>
      <c r="D494" s="84" t="s">
        <v>186</v>
      </c>
      <c r="E494" s="49" t="s">
        <v>173</v>
      </c>
      <c r="F494" s="64">
        <v>44418.649409722202</v>
      </c>
      <c r="G494" s="50">
        <v>44418.458437499998</v>
      </c>
      <c r="H494" s="250"/>
      <c r="I494" s="69" t="s">
        <v>520</v>
      </c>
      <c r="J494" s="69" t="s">
        <v>521</v>
      </c>
      <c r="K494" s="92" t="s">
        <v>85</v>
      </c>
      <c r="L494" s="101">
        <v>12000</v>
      </c>
      <c r="M494" s="56" t="s">
        <v>86</v>
      </c>
    </row>
    <row r="495" spans="1:13" x14ac:dyDescent="0.4">
      <c r="A495" s="35">
        <v>481</v>
      </c>
      <c r="B495" s="93" t="s">
        <v>80</v>
      </c>
      <c r="C495" s="89" t="s">
        <v>266</v>
      </c>
      <c r="D495" s="84" t="s">
        <v>319</v>
      </c>
      <c r="E495" s="49" t="s">
        <v>173</v>
      </c>
      <c r="F495" s="64">
        <v>44418.649409722202</v>
      </c>
      <c r="G495" s="50">
        <v>44418.458437499998</v>
      </c>
      <c r="H495" s="250"/>
      <c r="I495" s="69" t="s">
        <v>522</v>
      </c>
      <c r="J495" s="69" t="s">
        <v>523</v>
      </c>
      <c r="K495" s="92" t="s">
        <v>85</v>
      </c>
      <c r="L495" s="101">
        <v>12000</v>
      </c>
      <c r="M495" s="56" t="s">
        <v>86</v>
      </c>
    </row>
    <row r="496" spans="1:13" x14ac:dyDescent="0.4">
      <c r="A496" s="35">
        <v>482</v>
      </c>
      <c r="B496" s="96" t="s">
        <v>80</v>
      </c>
      <c r="C496" s="82" t="s">
        <v>266</v>
      </c>
      <c r="D496" s="84" t="s">
        <v>191</v>
      </c>
      <c r="E496" s="49" t="s">
        <v>173</v>
      </c>
      <c r="F496" s="71">
        <v>44422.542361111096</v>
      </c>
      <c r="G496" s="71">
        <v>44421.7182060185</v>
      </c>
      <c r="H496" s="250"/>
      <c r="I496" s="69" t="s">
        <v>524</v>
      </c>
      <c r="J496" s="69" t="s">
        <v>525</v>
      </c>
      <c r="K496" s="108" t="s">
        <v>85</v>
      </c>
      <c r="L496" s="110">
        <v>12000</v>
      </c>
      <c r="M496" s="51" t="s">
        <v>86</v>
      </c>
    </row>
    <row r="497" spans="1:13" x14ac:dyDescent="0.4">
      <c r="A497" s="35">
        <v>483</v>
      </c>
      <c r="B497" s="93" t="s">
        <v>80</v>
      </c>
      <c r="C497" s="48" t="s">
        <v>266</v>
      </c>
      <c r="D497" s="84" t="s">
        <v>187</v>
      </c>
      <c r="E497" s="49" t="s">
        <v>173</v>
      </c>
      <c r="F497" s="50">
        <v>44422.542361111096</v>
      </c>
      <c r="G497" s="50">
        <v>44421.7182060185</v>
      </c>
      <c r="H497" s="250"/>
      <c r="I497" s="69" t="s">
        <v>526</v>
      </c>
      <c r="J497" s="69" t="s">
        <v>527</v>
      </c>
      <c r="K497" s="92" t="s">
        <v>85</v>
      </c>
      <c r="L497" s="101">
        <v>12000</v>
      </c>
      <c r="M497" s="56" t="s">
        <v>86</v>
      </c>
    </row>
    <row r="498" spans="1:13" ht="14.15" x14ac:dyDescent="0.35">
      <c r="A498" s="35">
        <v>484</v>
      </c>
      <c r="B498" s="93" t="s">
        <v>80</v>
      </c>
      <c r="C498" s="48" t="s">
        <v>266</v>
      </c>
      <c r="D498" s="48" t="s">
        <v>209</v>
      </c>
      <c r="E498" s="49" t="s">
        <v>173</v>
      </c>
      <c r="F498" s="50">
        <v>44426.457951388897</v>
      </c>
      <c r="G498" s="50">
        <v>44425.616076388898</v>
      </c>
      <c r="H498" s="250"/>
      <c r="I498" s="69" t="s">
        <v>526</v>
      </c>
      <c r="J498" s="69" t="s">
        <v>528</v>
      </c>
      <c r="K498" s="92" t="s">
        <v>85</v>
      </c>
      <c r="L498" s="101">
        <v>12000</v>
      </c>
      <c r="M498" s="56" t="s">
        <v>86</v>
      </c>
    </row>
    <row r="499" spans="1:13" ht="14.15" x14ac:dyDescent="0.35">
      <c r="A499" s="35">
        <v>485</v>
      </c>
      <c r="B499" s="93" t="s">
        <v>80</v>
      </c>
      <c r="C499" s="48" t="s">
        <v>266</v>
      </c>
      <c r="D499" s="48" t="s">
        <v>213</v>
      </c>
      <c r="E499" s="49" t="s">
        <v>173</v>
      </c>
      <c r="F499" s="50">
        <v>44426.457997685196</v>
      </c>
      <c r="G499" s="50">
        <v>44425.616192129601</v>
      </c>
      <c r="H499" s="250"/>
      <c r="I499" s="69" t="s">
        <v>529</v>
      </c>
      <c r="J499" s="69" t="s">
        <v>530</v>
      </c>
      <c r="K499" s="92" t="s">
        <v>85</v>
      </c>
      <c r="L499" s="101">
        <v>12000</v>
      </c>
      <c r="M499" s="56" t="s">
        <v>86</v>
      </c>
    </row>
    <row r="500" spans="1:13" x14ac:dyDescent="0.4">
      <c r="A500" s="35">
        <v>486</v>
      </c>
      <c r="B500" s="93" t="s">
        <v>80</v>
      </c>
      <c r="C500" s="48" t="s">
        <v>266</v>
      </c>
      <c r="D500" s="48" t="s">
        <v>270</v>
      </c>
      <c r="E500" s="49" t="s">
        <v>173</v>
      </c>
      <c r="F500" s="76">
        <v>44433.601493055598</v>
      </c>
      <c r="G500" s="76">
        <v>44433.498553240701</v>
      </c>
      <c r="H500" s="250"/>
      <c r="I500" s="69" t="s">
        <v>531</v>
      </c>
      <c r="J500" s="69" t="s">
        <v>532</v>
      </c>
      <c r="K500" s="92" t="s">
        <v>85</v>
      </c>
      <c r="L500" s="101">
        <v>12000</v>
      </c>
      <c r="M500" s="56" t="s">
        <v>86</v>
      </c>
    </row>
    <row r="501" spans="1:13" x14ac:dyDescent="0.4">
      <c r="A501" s="35">
        <v>487</v>
      </c>
      <c r="B501" s="93" t="s">
        <v>80</v>
      </c>
      <c r="C501" s="48" t="s">
        <v>266</v>
      </c>
      <c r="D501" s="48" t="s">
        <v>95</v>
      </c>
      <c r="E501" s="49" t="s">
        <v>173</v>
      </c>
      <c r="F501" s="76">
        <v>44433.601493055598</v>
      </c>
      <c r="G501" s="76">
        <v>44433.498553240701</v>
      </c>
      <c r="H501" s="250"/>
      <c r="I501" s="64">
        <v>44442.958530092597</v>
      </c>
      <c r="J501" s="64">
        <v>44441.454004629602</v>
      </c>
      <c r="K501" s="92" t="s">
        <v>85</v>
      </c>
      <c r="L501" s="101">
        <v>12000</v>
      </c>
      <c r="M501" s="56" t="s">
        <v>86</v>
      </c>
    </row>
    <row r="502" spans="1:13" x14ac:dyDescent="0.4">
      <c r="A502" s="35">
        <v>488</v>
      </c>
      <c r="B502" s="93" t="s">
        <v>80</v>
      </c>
      <c r="C502" s="48" t="s">
        <v>267</v>
      </c>
      <c r="D502" s="84" t="s">
        <v>107</v>
      </c>
      <c r="E502" s="49" t="s">
        <v>173</v>
      </c>
      <c r="F502" s="64">
        <v>44434.454155092601</v>
      </c>
      <c r="G502" s="76">
        <v>44433.735868055599</v>
      </c>
      <c r="H502" s="250"/>
      <c r="I502" s="64">
        <v>44443.625115740702</v>
      </c>
      <c r="J502" s="64">
        <v>44441.642824074101</v>
      </c>
      <c r="K502" s="92" t="s">
        <v>85</v>
      </c>
      <c r="L502" s="101">
        <v>12000</v>
      </c>
      <c r="M502" s="56" t="s">
        <v>86</v>
      </c>
    </row>
    <row r="503" spans="1:13" x14ac:dyDescent="0.4">
      <c r="A503" s="35">
        <v>489</v>
      </c>
      <c r="B503" s="93" t="s">
        <v>80</v>
      </c>
      <c r="C503" s="48" t="s">
        <v>267</v>
      </c>
      <c r="D503" s="84" t="s">
        <v>108</v>
      </c>
      <c r="E503" s="49" t="s">
        <v>173</v>
      </c>
      <c r="F503" s="64">
        <v>44434.454155092601</v>
      </c>
      <c r="G503" s="76">
        <v>44433.735868055599</v>
      </c>
      <c r="H503" s="250"/>
      <c r="I503" s="64">
        <v>44443.625115740702</v>
      </c>
      <c r="J503" s="64">
        <v>44441.6430092593</v>
      </c>
      <c r="K503" s="92" t="s">
        <v>85</v>
      </c>
      <c r="L503" s="101">
        <v>12000</v>
      </c>
      <c r="M503" s="56" t="s">
        <v>86</v>
      </c>
    </row>
    <row r="504" spans="1:13" x14ac:dyDescent="0.4">
      <c r="A504" s="35">
        <v>490</v>
      </c>
      <c r="B504" s="93" t="s">
        <v>80</v>
      </c>
      <c r="C504" s="48" t="s">
        <v>267</v>
      </c>
      <c r="D504" s="84" t="s">
        <v>109</v>
      </c>
      <c r="E504" s="49" t="s">
        <v>173</v>
      </c>
      <c r="F504" s="64">
        <v>44434.454155092601</v>
      </c>
      <c r="G504" s="76">
        <v>44433.735868055599</v>
      </c>
      <c r="H504" s="250"/>
      <c r="I504" s="116">
        <v>44447.743194444403</v>
      </c>
      <c r="J504" s="117">
        <v>44446.377928240698</v>
      </c>
      <c r="K504" s="92" t="s">
        <v>85</v>
      </c>
      <c r="L504" s="101">
        <v>12000</v>
      </c>
      <c r="M504" s="56" t="s">
        <v>86</v>
      </c>
    </row>
    <row r="505" spans="1:13" x14ac:dyDescent="0.4">
      <c r="A505" s="35">
        <v>491</v>
      </c>
      <c r="B505" s="93" t="s">
        <v>80</v>
      </c>
      <c r="C505" s="48" t="s">
        <v>267</v>
      </c>
      <c r="D505" s="84" t="s">
        <v>110</v>
      </c>
      <c r="E505" s="49" t="s">
        <v>173</v>
      </c>
      <c r="F505" s="64">
        <v>44434.454155092601</v>
      </c>
      <c r="G505" s="76">
        <v>44433.735868055599</v>
      </c>
      <c r="H505" s="251"/>
      <c r="I505" s="116">
        <v>44447.743148148104</v>
      </c>
      <c r="J505" s="117">
        <v>44446.377974536997</v>
      </c>
      <c r="K505" s="92" t="s">
        <v>85</v>
      </c>
      <c r="L505" s="101">
        <v>12000</v>
      </c>
      <c r="M505" s="56" t="s">
        <v>86</v>
      </c>
    </row>
    <row r="506" spans="1:13" x14ac:dyDescent="0.4">
      <c r="A506" s="35">
        <v>492</v>
      </c>
      <c r="B506" s="93" t="s">
        <v>80</v>
      </c>
      <c r="C506" s="48" t="s">
        <v>180</v>
      </c>
      <c r="D506" s="84" t="s">
        <v>113</v>
      </c>
      <c r="E506" s="49" t="s">
        <v>83</v>
      </c>
      <c r="F506" s="68">
        <v>44434.999988425901</v>
      </c>
      <c r="G506" s="76">
        <v>44434.677731481497</v>
      </c>
      <c r="H506" s="51" t="s">
        <v>183</v>
      </c>
      <c r="I506" s="116">
        <v>45619.917615740698</v>
      </c>
      <c r="J506" s="117">
        <v>45618.917719907397</v>
      </c>
      <c r="K506" s="102" t="s">
        <v>184</v>
      </c>
      <c r="L506" s="103">
        <v>16000</v>
      </c>
      <c r="M506" s="56" t="s">
        <v>86</v>
      </c>
    </row>
    <row r="507" spans="1:13" x14ac:dyDescent="0.4">
      <c r="A507" s="35">
        <v>493</v>
      </c>
      <c r="B507" s="96" t="s">
        <v>80</v>
      </c>
      <c r="C507" s="91" t="s">
        <v>171</v>
      </c>
      <c r="D507" s="94" t="s">
        <v>215</v>
      </c>
      <c r="E507" s="49" t="s">
        <v>173</v>
      </c>
      <c r="F507" s="100">
        <v>44435.738020833298</v>
      </c>
      <c r="G507" s="73">
        <v>44435.692129629599</v>
      </c>
      <c r="H507" s="240" t="s">
        <v>182</v>
      </c>
      <c r="I507" s="117">
        <v>45526.707569444399</v>
      </c>
      <c r="J507" s="117">
        <v>45531.3977662037</v>
      </c>
      <c r="K507" s="114" t="s">
        <v>184</v>
      </c>
      <c r="L507" s="115">
        <v>16000</v>
      </c>
      <c r="M507" s="51" t="s">
        <v>86</v>
      </c>
    </row>
    <row r="508" spans="1:13" x14ac:dyDescent="0.4">
      <c r="A508" s="35">
        <v>494</v>
      </c>
      <c r="B508" s="92" t="s">
        <v>80</v>
      </c>
      <c r="C508" s="56" t="s">
        <v>171</v>
      </c>
      <c r="D508" s="84" t="s">
        <v>82</v>
      </c>
      <c r="E508" s="49" t="s">
        <v>173</v>
      </c>
      <c r="F508" s="76">
        <v>44435.738020833298</v>
      </c>
      <c r="G508" s="64">
        <v>44435.692129629599</v>
      </c>
      <c r="H508" s="242"/>
      <c r="I508" s="117">
        <v>45526.707569444399</v>
      </c>
      <c r="J508" s="117">
        <v>45531.3977662037</v>
      </c>
      <c r="K508" s="102" t="s">
        <v>184</v>
      </c>
      <c r="L508" s="103">
        <v>16000</v>
      </c>
      <c r="M508" s="56" t="s">
        <v>86</v>
      </c>
    </row>
    <row r="509" spans="1:13" x14ac:dyDescent="0.4">
      <c r="A509" s="35">
        <v>495</v>
      </c>
      <c r="B509" s="92" t="s">
        <v>80</v>
      </c>
      <c r="C509" s="56" t="s">
        <v>267</v>
      </c>
      <c r="D509" s="84" t="s">
        <v>215</v>
      </c>
      <c r="E509" s="49" t="s">
        <v>173</v>
      </c>
      <c r="F509" s="76">
        <v>44436.628981481503</v>
      </c>
      <c r="G509" s="64">
        <v>44436.591331018499</v>
      </c>
      <c r="H509" s="252" t="s">
        <v>257</v>
      </c>
      <c r="I509" s="116">
        <v>44445.479293981502</v>
      </c>
      <c r="J509" s="117">
        <v>44443.917048611103</v>
      </c>
      <c r="K509" s="92" t="s">
        <v>85</v>
      </c>
      <c r="L509" s="101">
        <v>12000</v>
      </c>
      <c r="M509" s="56" t="s">
        <v>86</v>
      </c>
    </row>
    <row r="510" spans="1:13" x14ac:dyDescent="0.4">
      <c r="A510" s="35">
        <v>496</v>
      </c>
      <c r="B510" s="92" t="s">
        <v>80</v>
      </c>
      <c r="C510" s="56" t="s">
        <v>267</v>
      </c>
      <c r="D510" s="84" t="s">
        <v>222</v>
      </c>
      <c r="E510" s="49" t="s">
        <v>173</v>
      </c>
      <c r="F510" s="76">
        <v>44436.628981481503</v>
      </c>
      <c r="G510" s="64">
        <v>44436.591331018499</v>
      </c>
      <c r="H510" s="250"/>
      <c r="I510" s="116">
        <v>44445.4792592593</v>
      </c>
      <c r="J510" s="117">
        <v>44443.917303240698</v>
      </c>
      <c r="K510" s="92" t="s">
        <v>85</v>
      </c>
      <c r="L510" s="101">
        <v>12000</v>
      </c>
      <c r="M510" s="56" t="s">
        <v>86</v>
      </c>
    </row>
    <row r="511" spans="1:13" x14ac:dyDescent="0.4">
      <c r="A511" s="35">
        <v>497</v>
      </c>
      <c r="B511" s="92" t="s">
        <v>80</v>
      </c>
      <c r="C511" s="56" t="s">
        <v>267</v>
      </c>
      <c r="D511" s="84" t="s">
        <v>225</v>
      </c>
      <c r="E511" s="49" t="s">
        <v>173</v>
      </c>
      <c r="F511" s="76">
        <v>44436.628981481503</v>
      </c>
      <c r="G511" s="64">
        <v>44436.591331018499</v>
      </c>
      <c r="H511" s="250"/>
      <c r="I511" s="63">
        <v>44443.625115740702</v>
      </c>
      <c r="J511" s="64">
        <v>44441.643333333297</v>
      </c>
      <c r="K511" s="92" t="s">
        <v>85</v>
      </c>
      <c r="L511" s="101">
        <v>12000</v>
      </c>
      <c r="M511" s="56" t="s">
        <v>86</v>
      </c>
    </row>
    <row r="512" spans="1:13" x14ac:dyDescent="0.4">
      <c r="A512" s="35">
        <v>498</v>
      </c>
      <c r="B512" s="92" t="s">
        <v>80</v>
      </c>
      <c r="C512" s="56" t="s">
        <v>267</v>
      </c>
      <c r="D512" s="84" t="s">
        <v>228</v>
      </c>
      <c r="E512" s="49" t="s">
        <v>173</v>
      </c>
      <c r="F512" s="76">
        <v>44436.628981481503</v>
      </c>
      <c r="G512" s="64">
        <v>44436.591331018499</v>
      </c>
      <c r="H512" s="250"/>
      <c r="I512" s="64">
        <v>44443.625115740702</v>
      </c>
      <c r="J512" s="64">
        <v>44441.643530092602</v>
      </c>
      <c r="K512" s="92" t="s">
        <v>85</v>
      </c>
      <c r="L512" s="101">
        <v>12000</v>
      </c>
      <c r="M512" s="56" t="s">
        <v>86</v>
      </c>
    </row>
    <row r="513" spans="1:13" x14ac:dyDescent="0.4">
      <c r="A513" s="35">
        <v>499</v>
      </c>
      <c r="B513" s="92" t="s">
        <v>80</v>
      </c>
      <c r="C513" s="56" t="s">
        <v>267</v>
      </c>
      <c r="D513" s="84" t="s">
        <v>113</v>
      </c>
      <c r="E513" s="49" t="s">
        <v>173</v>
      </c>
      <c r="F513" s="76">
        <v>44436.628981481503</v>
      </c>
      <c r="G513" s="64">
        <v>44436.591331018499</v>
      </c>
      <c r="H513" s="250"/>
      <c r="I513" s="64">
        <v>44443.639016203699</v>
      </c>
      <c r="J513" s="64">
        <v>44441.643622685202</v>
      </c>
      <c r="K513" s="92" t="s">
        <v>85</v>
      </c>
      <c r="L513" s="101">
        <v>12000</v>
      </c>
      <c r="M513" s="56" t="s">
        <v>86</v>
      </c>
    </row>
    <row r="514" spans="1:13" x14ac:dyDescent="0.4">
      <c r="A514" s="35">
        <v>500</v>
      </c>
      <c r="B514" s="92" t="s">
        <v>80</v>
      </c>
      <c r="C514" s="56" t="s">
        <v>267</v>
      </c>
      <c r="D514" s="84" t="s">
        <v>114</v>
      </c>
      <c r="E514" s="49" t="s">
        <v>173</v>
      </c>
      <c r="F514" s="76">
        <v>44436.628981481503</v>
      </c>
      <c r="G514" s="64">
        <v>44436.591331018499</v>
      </c>
      <c r="H514" s="250"/>
      <c r="I514" s="64">
        <v>44443.638981481497</v>
      </c>
      <c r="J514" s="64">
        <v>44441.643715277802</v>
      </c>
      <c r="K514" s="92" t="s">
        <v>85</v>
      </c>
      <c r="L514" s="101">
        <v>12000</v>
      </c>
      <c r="M514" s="56" t="s">
        <v>86</v>
      </c>
    </row>
    <row r="515" spans="1:13" x14ac:dyDescent="0.4">
      <c r="A515" s="35">
        <v>501</v>
      </c>
      <c r="B515" s="92" t="s">
        <v>80</v>
      </c>
      <c r="C515" s="56" t="s">
        <v>267</v>
      </c>
      <c r="D515" s="84" t="s">
        <v>115</v>
      </c>
      <c r="E515" s="49" t="s">
        <v>173</v>
      </c>
      <c r="F515" s="76">
        <v>44436.628981481503</v>
      </c>
      <c r="G515" s="64">
        <v>44436.591331018499</v>
      </c>
      <c r="H515" s="250"/>
      <c r="I515" s="116">
        <v>44468.861643518503</v>
      </c>
      <c r="J515" s="117">
        <v>44467.379837963003</v>
      </c>
      <c r="K515" s="92" t="s">
        <v>85</v>
      </c>
      <c r="L515" s="101">
        <v>12000</v>
      </c>
      <c r="M515" s="56" t="s">
        <v>86</v>
      </c>
    </row>
    <row r="516" spans="1:13" x14ac:dyDescent="0.4">
      <c r="A516" s="35">
        <v>502</v>
      </c>
      <c r="B516" s="92" t="s">
        <v>80</v>
      </c>
      <c r="C516" s="56" t="s">
        <v>267</v>
      </c>
      <c r="D516" s="84" t="s">
        <v>116</v>
      </c>
      <c r="E516" s="49" t="s">
        <v>173</v>
      </c>
      <c r="F516" s="76">
        <v>44436.628981481503</v>
      </c>
      <c r="G516" s="64">
        <v>44436.591331018499</v>
      </c>
      <c r="H516" s="250"/>
      <c r="I516" s="116">
        <v>44468.861643518503</v>
      </c>
      <c r="J516" s="117">
        <v>44467.379837963003</v>
      </c>
      <c r="K516" s="92" t="s">
        <v>85</v>
      </c>
      <c r="L516" s="101">
        <v>12000</v>
      </c>
      <c r="M516" s="56" t="s">
        <v>86</v>
      </c>
    </row>
    <row r="517" spans="1:13" x14ac:dyDescent="0.4">
      <c r="A517" s="35">
        <v>503</v>
      </c>
      <c r="B517" s="92" t="s">
        <v>80</v>
      </c>
      <c r="C517" s="56" t="s">
        <v>267</v>
      </c>
      <c r="D517" s="84" t="s">
        <v>117</v>
      </c>
      <c r="E517" s="49" t="s">
        <v>173</v>
      </c>
      <c r="F517" s="76">
        <v>44436.628981481503</v>
      </c>
      <c r="G517" s="64">
        <v>44436.591331018499</v>
      </c>
      <c r="H517" s="250"/>
      <c r="I517" s="116">
        <v>44469.861643460601</v>
      </c>
      <c r="J517" s="117">
        <v>44468.379837963003</v>
      </c>
      <c r="K517" s="92" t="s">
        <v>85</v>
      </c>
      <c r="L517" s="101">
        <v>12000</v>
      </c>
      <c r="M517" s="56" t="s">
        <v>86</v>
      </c>
    </row>
    <row r="518" spans="1:13" x14ac:dyDescent="0.4">
      <c r="A518" s="35">
        <v>504</v>
      </c>
      <c r="B518" s="92" t="s">
        <v>80</v>
      </c>
      <c r="C518" s="56" t="s">
        <v>267</v>
      </c>
      <c r="D518" s="84" t="s">
        <v>118</v>
      </c>
      <c r="E518" s="49" t="s">
        <v>173</v>
      </c>
      <c r="F518" s="76">
        <v>44436.628981481503</v>
      </c>
      <c r="G518" s="64">
        <v>44436.591331018499</v>
      </c>
      <c r="H518" s="250"/>
      <c r="I518" s="116">
        <v>44470.861643402801</v>
      </c>
      <c r="J518" s="117">
        <v>44469.379837963003</v>
      </c>
      <c r="K518" s="92" t="s">
        <v>85</v>
      </c>
      <c r="L518" s="101">
        <v>12000</v>
      </c>
      <c r="M518" s="56" t="s">
        <v>86</v>
      </c>
    </row>
    <row r="519" spans="1:13" x14ac:dyDescent="0.4">
      <c r="A519" s="35">
        <v>505</v>
      </c>
      <c r="B519" s="92" t="s">
        <v>80</v>
      </c>
      <c r="C519" s="56" t="s">
        <v>267</v>
      </c>
      <c r="D519" s="84" t="s">
        <v>119</v>
      </c>
      <c r="E519" s="49" t="s">
        <v>173</v>
      </c>
      <c r="F519" s="76">
        <v>44436.628981481503</v>
      </c>
      <c r="G519" s="64">
        <v>44436.591331018499</v>
      </c>
      <c r="H519" s="250"/>
      <c r="I519" s="116">
        <v>44468.865451388898</v>
      </c>
      <c r="J519" s="117">
        <v>44467.38</v>
      </c>
      <c r="K519" s="92" t="s">
        <v>85</v>
      </c>
      <c r="L519" s="101">
        <v>12000</v>
      </c>
      <c r="M519" s="56" t="s">
        <v>86</v>
      </c>
    </row>
    <row r="520" spans="1:13" x14ac:dyDescent="0.4">
      <c r="A520" s="35">
        <v>506</v>
      </c>
      <c r="B520" s="92" t="s">
        <v>80</v>
      </c>
      <c r="C520" s="56" t="s">
        <v>267</v>
      </c>
      <c r="D520" s="84" t="s">
        <v>120</v>
      </c>
      <c r="E520" s="49" t="s">
        <v>173</v>
      </c>
      <c r="F520" s="76">
        <v>44436.628981481503</v>
      </c>
      <c r="G520" s="64">
        <v>44436.591331018499</v>
      </c>
      <c r="H520" s="250"/>
      <c r="I520" s="116">
        <v>44468.868946759299</v>
      </c>
      <c r="J520" s="117">
        <v>44467.380046296297</v>
      </c>
      <c r="K520" s="92" t="s">
        <v>85</v>
      </c>
      <c r="L520" s="101">
        <v>12000</v>
      </c>
      <c r="M520" s="56" t="s">
        <v>86</v>
      </c>
    </row>
    <row r="521" spans="1:13" x14ac:dyDescent="0.4">
      <c r="A521" s="35">
        <v>507</v>
      </c>
      <c r="B521" s="92" t="s">
        <v>80</v>
      </c>
      <c r="C521" s="56" t="s">
        <v>267</v>
      </c>
      <c r="D521" s="84" t="s">
        <v>111</v>
      </c>
      <c r="E521" s="49" t="s">
        <v>173</v>
      </c>
      <c r="F521" s="64">
        <v>44439.714212963001</v>
      </c>
      <c r="G521" s="76">
        <v>44439.6104513889</v>
      </c>
      <c r="H521" s="250"/>
      <c r="I521" s="116">
        <v>44469.868946701397</v>
      </c>
      <c r="J521" s="117">
        <v>44469.379837963003</v>
      </c>
      <c r="K521" s="92" t="s">
        <v>85</v>
      </c>
      <c r="L521" s="101">
        <v>12000</v>
      </c>
      <c r="M521" s="56" t="s">
        <v>86</v>
      </c>
    </row>
    <row r="522" spans="1:13" x14ac:dyDescent="0.4">
      <c r="A522" s="35">
        <v>508</v>
      </c>
      <c r="B522" s="92" t="s">
        <v>80</v>
      </c>
      <c r="C522" s="56" t="s">
        <v>267</v>
      </c>
      <c r="D522" s="84" t="s">
        <v>112</v>
      </c>
      <c r="E522" s="49" t="s">
        <v>173</v>
      </c>
      <c r="F522" s="64">
        <v>44439.714212963001</v>
      </c>
      <c r="G522" s="76">
        <v>44439.6104513889</v>
      </c>
      <c r="H522" s="250"/>
      <c r="I522" s="116">
        <v>44468.858124999999</v>
      </c>
      <c r="J522" s="117">
        <v>44467.379745370403</v>
      </c>
      <c r="K522" s="92" t="s">
        <v>85</v>
      </c>
      <c r="L522" s="101">
        <v>12000</v>
      </c>
      <c r="M522" s="56" t="s">
        <v>86</v>
      </c>
    </row>
    <row r="523" spans="1:13" x14ac:dyDescent="0.4">
      <c r="A523" s="35">
        <v>509</v>
      </c>
      <c r="B523" s="92" t="s">
        <v>80</v>
      </c>
      <c r="C523" s="56" t="s">
        <v>267</v>
      </c>
      <c r="D523" s="84" t="s">
        <v>121</v>
      </c>
      <c r="E523" s="49" t="s">
        <v>173</v>
      </c>
      <c r="F523" s="64">
        <v>44439.714212963001</v>
      </c>
      <c r="G523" s="76">
        <v>44439.6104513889</v>
      </c>
      <c r="H523" s="250"/>
      <c r="I523" s="116">
        <v>44469.858124942097</v>
      </c>
      <c r="J523" s="117">
        <v>44467.380046296297</v>
      </c>
      <c r="K523" s="92" t="s">
        <v>85</v>
      </c>
      <c r="L523" s="101">
        <v>12000</v>
      </c>
      <c r="M523" s="56" t="s">
        <v>86</v>
      </c>
    </row>
    <row r="524" spans="1:13" x14ac:dyDescent="0.4">
      <c r="A524" s="35">
        <v>510</v>
      </c>
      <c r="B524" s="92" t="s">
        <v>80</v>
      </c>
      <c r="C524" s="56" t="s">
        <v>267</v>
      </c>
      <c r="D524" s="84" t="s">
        <v>122</v>
      </c>
      <c r="E524" s="49" t="s">
        <v>173</v>
      </c>
      <c r="F524" s="64">
        <v>44439.714212963001</v>
      </c>
      <c r="G524" s="76">
        <v>44439.6104513889</v>
      </c>
      <c r="H524" s="250"/>
      <c r="I524" s="116">
        <v>44468.865451388898</v>
      </c>
      <c r="J524" s="117">
        <v>44467.38</v>
      </c>
      <c r="K524" s="92" t="s">
        <v>85</v>
      </c>
      <c r="L524" s="101">
        <v>12000</v>
      </c>
      <c r="M524" s="56" t="s">
        <v>86</v>
      </c>
    </row>
    <row r="525" spans="1:13" x14ac:dyDescent="0.4">
      <c r="A525" s="35">
        <v>511</v>
      </c>
      <c r="B525" s="92" t="s">
        <v>80</v>
      </c>
      <c r="C525" s="56" t="s">
        <v>267</v>
      </c>
      <c r="D525" s="94" t="s">
        <v>82</v>
      </c>
      <c r="E525" s="49" t="s">
        <v>173</v>
      </c>
      <c r="F525" s="64">
        <v>44439.714212963001</v>
      </c>
      <c r="G525" s="76">
        <v>44439.6104513889</v>
      </c>
      <c r="H525" s="250"/>
      <c r="I525" s="116">
        <v>44465.696539351899</v>
      </c>
      <c r="J525" s="117">
        <v>44466.376921296302</v>
      </c>
      <c r="K525" s="92" t="s">
        <v>85</v>
      </c>
      <c r="L525" s="101">
        <v>12000</v>
      </c>
      <c r="M525" s="56" t="s">
        <v>86</v>
      </c>
    </row>
    <row r="526" spans="1:13" x14ac:dyDescent="0.4">
      <c r="A526" s="35">
        <v>512</v>
      </c>
      <c r="B526" s="92" t="s">
        <v>80</v>
      </c>
      <c r="C526" s="56" t="s">
        <v>267</v>
      </c>
      <c r="D526" s="94" t="s">
        <v>87</v>
      </c>
      <c r="E526" s="49" t="s">
        <v>173</v>
      </c>
      <c r="F526" s="64">
        <v>44439.714212963001</v>
      </c>
      <c r="G526" s="76">
        <v>44439.6104513889</v>
      </c>
      <c r="H526" s="250"/>
      <c r="I526" s="116">
        <v>44466.696539351899</v>
      </c>
      <c r="J526" s="117">
        <v>44467.3769212384</v>
      </c>
      <c r="K526" s="92" t="s">
        <v>85</v>
      </c>
      <c r="L526" s="101">
        <v>12000</v>
      </c>
      <c r="M526" s="56" t="s">
        <v>86</v>
      </c>
    </row>
    <row r="527" spans="1:13" x14ac:dyDescent="0.4">
      <c r="A527" s="35">
        <v>513</v>
      </c>
      <c r="B527" s="92" t="s">
        <v>80</v>
      </c>
      <c r="C527" s="56" t="s">
        <v>267</v>
      </c>
      <c r="D527" s="94" t="s">
        <v>88</v>
      </c>
      <c r="E527" s="49" t="s">
        <v>173</v>
      </c>
      <c r="F527" s="64">
        <v>44439.714212963001</v>
      </c>
      <c r="G527" s="76">
        <v>44439.6104513889</v>
      </c>
      <c r="H527" s="250"/>
      <c r="I527" s="116">
        <v>44467.4590509259</v>
      </c>
      <c r="J527" s="117">
        <v>44466.377025463</v>
      </c>
      <c r="K527" s="92" t="s">
        <v>85</v>
      </c>
      <c r="L527" s="101">
        <v>12000</v>
      </c>
      <c r="M527" s="56" t="s">
        <v>86</v>
      </c>
    </row>
    <row r="528" spans="1:13" x14ac:dyDescent="0.4">
      <c r="A528" s="35">
        <v>514</v>
      </c>
      <c r="B528" s="92" t="s">
        <v>80</v>
      </c>
      <c r="C528" s="56" t="s">
        <v>267</v>
      </c>
      <c r="D528" s="94" t="s">
        <v>89</v>
      </c>
      <c r="E528" s="49" t="s">
        <v>173</v>
      </c>
      <c r="F528" s="64">
        <v>44439.714212963001</v>
      </c>
      <c r="G528" s="76">
        <v>44439.6104513889</v>
      </c>
      <c r="H528" s="250"/>
      <c r="I528" s="116">
        <v>44467.459224537</v>
      </c>
      <c r="J528" s="117">
        <v>44466.377094907402</v>
      </c>
      <c r="K528" s="92" t="s">
        <v>85</v>
      </c>
      <c r="L528" s="101">
        <v>12000</v>
      </c>
      <c r="M528" s="56" t="s">
        <v>86</v>
      </c>
    </row>
    <row r="529" spans="1:13" x14ac:dyDescent="0.4">
      <c r="A529" s="35">
        <v>515</v>
      </c>
      <c r="B529" s="92" t="s">
        <v>80</v>
      </c>
      <c r="C529" s="56" t="s">
        <v>267</v>
      </c>
      <c r="D529" s="94" t="s">
        <v>90</v>
      </c>
      <c r="E529" s="49" t="s">
        <v>173</v>
      </c>
      <c r="F529" s="64">
        <v>44439.714212963001</v>
      </c>
      <c r="G529" s="76">
        <v>44439.6104513889</v>
      </c>
      <c r="H529" s="250"/>
      <c r="I529" s="116">
        <v>44468.909363425897</v>
      </c>
      <c r="J529" s="117">
        <v>44467.381157407399</v>
      </c>
      <c r="K529" s="92" t="s">
        <v>85</v>
      </c>
      <c r="L529" s="101">
        <v>12000</v>
      </c>
      <c r="M529" s="56" t="s">
        <v>86</v>
      </c>
    </row>
    <row r="530" spans="1:13" x14ac:dyDescent="0.4">
      <c r="A530" s="35">
        <v>516</v>
      </c>
      <c r="B530" s="92" t="s">
        <v>80</v>
      </c>
      <c r="C530" s="56" t="s">
        <v>267</v>
      </c>
      <c r="D530" s="94" t="s">
        <v>91</v>
      </c>
      <c r="E530" s="49" t="s">
        <v>173</v>
      </c>
      <c r="F530" s="64">
        <v>44439.714212963001</v>
      </c>
      <c r="G530" s="76">
        <v>44439.6104513889</v>
      </c>
      <c r="H530" s="250"/>
      <c r="I530" s="116">
        <v>44468.909363425897</v>
      </c>
      <c r="J530" s="117">
        <v>44467.381157407399</v>
      </c>
      <c r="K530" s="92" t="s">
        <v>85</v>
      </c>
      <c r="L530" s="101">
        <v>12000</v>
      </c>
      <c r="M530" s="56" t="s">
        <v>86</v>
      </c>
    </row>
    <row r="531" spans="1:13" x14ac:dyDescent="0.4">
      <c r="A531" s="35">
        <v>517</v>
      </c>
      <c r="B531" s="92" t="s">
        <v>80</v>
      </c>
      <c r="C531" s="56" t="s">
        <v>267</v>
      </c>
      <c r="D531" s="94" t="s">
        <v>92</v>
      </c>
      <c r="E531" s="49" t="s">
        <v>173</v>
      </c>
      <c r="F531" s="64">
        <v>44439.714212963001</v>
      </c>
      <c r="G531" s="76">
        <v>44439.6104513889</v>
      </c>
      <c r="H531" s="250"/>
      <c r="I531" s="116">
        <v>44468.909363425897</v>
      </c>
      <c r="J531" s="117">
        <v>44467.381157407399</v>
      </c>
      <c r="K531" s="92" t="s">
        <v>85</v>
      </c>
      <c r="L531" s="101">
        <v>12000</v>
      </c>
      <c r="M531" s="56" t="s">
        <v>86</v>
      </c>
    </row>
    <row r="532" spans="1:13" x14ac:dyDescent="0.4">
      <c r="A532" s="35">
        <v>518</v>
      </c>
      <c r="B532" s="92" t="s">
        <v>80</v>
      </c>
      <c r="C532" s="56" t="s">
        <v>267</v>
      </c>
      <c r="D532" s="94" t="s">
        <v>93</v>
      </c>
      <c r="E532" s="49" t="s">
        <v>173</v>
      </c>
      <c r="F532" s="64">
        <v>44439.714212963001</v>
      </c>
      <c r="G532" s="76">
        <v>44439.6104513889</v>
      </c>
      <c r="H532" s="250"/>
      <c r="I532" s="116">
        <v>44468.895509259302</v>
      </c>
      <c r="J532" s="117">
        <v>44467.380613425899</v>
      </c>
      <c r="K532" s="92" t="s">
        <v>85</v>
      </c>
      <c r="L532" s="101">
        <v>12000</v>
      </c>
      <c r="M532" s="56" t="s">
        <v>86</v>
      </c>
    </row>
    <row r="533" spans="1:13" x14ac:dyDescent="0.4">
      <c r="A533" s="35">
        <v>519</v>
      </c>
      <c r="B533" s="92" t="s">
        <v>80</v>
      </c>
      <c r="C533" s="56" t="s">
        <v>267</v>
      </c>
      <c r="D533" s="94" t="s">
        <v>273</v>
      </c>
      <c r="E533" s="49" t="s">
        <v>173</v>
      </c>
      <c r="F533" s="64">
        <v>44439.714212963001</v>
      </c>
      <c r="G533" s="76">
        <v>44439.6104513889</v>
      </c>
      <c r="H533" s="250"/>
      <c r="I533" s="116">
        <v>44469.8955092014</v>
      </c>
      <c r="J533" s="117">
        <v>44468.380613425899</v>
      </c>
      <c r="K533" s="92" t="s">
        <v>85</v>
      </c>
      <c r="L533" s="101">
        <v>12000</v>
      </c>
      <c r="M533" s="56" t="s">
        <v>86</v>
      </c>
    </row>
    <row r="534" spans="1:13" x14ac:dyDescent="0.4">
      <c r="A534" s="35">
        <v>520</v>
      </c>
      <c r="B534" s="92" t="s">
        <v>80</v>
      </c>
      <c r="C534" s="56" t="s">
        <v>267</v>
      </c>
      <c r="D534" s="94" t="s">
        <v>274</v>
      </c>
      <c r="E534" s="49" t="s">
        <v>173</v>
      </c>
      <c r="F534" s="64">
        <v>44439.714212963001</v>
      </c>
      <c r="G534" s="76">
        <v>44439.6104513889</v>
      </c>
      <c r="H534" s="250"/>
      <c r="I534" s="116">
        <v>44468.909363425897</v>
      </c>
      <c r="J534" s="117">
        <v>44467.381157407399</v>
      </c>
      <c r="K534" s="92" t="s">
        <v>85</v>
      </c>
      <c r="L534" s="101">
        <v>12000</v>
      </c>
      <c r="M534" s="56" t="s">
        <v>86</v>
      </c>
    </row>
    <row r="535" spans="1:13" x14ac:dyDescent="0.4">
      <c r="A535" s="35">
        <v>521</v>
      </c>
      <c r="B535" s="92" t="s">
        <v>80</v>
      </c>
      <c r="C535" s="56" t="s">
        <v>267</v>
      </c>
      <c r="D535" s="94" t="s">
        <v>123</v>
      </c>
      <c r="E535" s="49" t="s">
        <v>173</v>
      </c>
      <c r="F535" s="64">
        <v>44439.714212963001</v>
      </c>
      <c r="G535" s="76">
        <v>44439.6104513889</v>
      </c>
      <c r="H535" s="250"/>
      <c r="I535" s="116">
        <v>44469.909363425897</v>
      </c>
      <c r="J535" s="117">
        <v>44468.381157349497</v>
      </c>
      <c r="K535" s="92" t="s">
        <v>85</v>
      </c>
      <c r="L535" s="101">
        <v>12000</v>
      </c>
      <c r="M535" s="56" t="s">
        <v>86</v>
      </c>
    </row>
    <row r="536" spans="1:13" x14ac:dyDescent="0.4">
      <c r="A536" s="35">
        <v>522</v>
      </c>
      <c r="B536" s="92" t="s">
        <v>80</v>
      </c>
      <c r="C536" s="56" t="s">
        <v>267</v>
      </c>
      <c r="D536" s="94" t="s">
        <v>124</v>
      </c>
      <c r="E536" s="49" t="s">
        <v>173</v>
      </c>
      <c r="F536" s="64">
        <v>44439.714212963001</v>
      </c>
      <c r="G536" s="76">
        <v>44439.6104513889</v>
      </c>
      <c r="H536" s="250"/>
      <c r="I536" s="116">
        <v>44470.909363425897</v>
      </c>
      <c r="J536" s="117">
        <v>44469.381157349497</v>
      </c>
      <c r="K536" s="92" t="s">
        <v>85</v>
      </c>
      <c r="L536" s="101">
        <v>12000</v>
      </c>
      <c r="M536" s="56" t="s">
        <v>86</v>
      </c>
    </row>
    <row r="537" spans="1:13" x14ac:dyDescent="0.4">
      <c r="A537" s="35">
        <v>523</v>
      </c>
      <c r="B537" s="92" t="s">
        <v>80</v>
      </c>
      <c r="C537" s="56" t="s">
        <v>267</v>
      </c>
      <c r="D537" s="94" t="s">
        <v>125</v>
      </c>
      <c r="E537" s="49" t="s">
        <v>173</v>
      </c>
      <c r="F537" s="64">
        <v>44439.714212963001</v>
      </c>
      <c r="G537" s="76">
        <v>44439.6104513889</v>
      </c>
      <c r="H537" s="250"/>
      <c r="I537" s="116">
        <v>44471.909363425897</v>
      </c>
      <c r="J537" s="117">
        <v>44470.381157349497</v>
      </c>
      <c r="K537" s="92" t="s">
        <v>85</v>
      </c>
      <c r="L537" s="101">
        <v>12000</v>
      </c>
      <c r="M537" s="56" t="s">
        <v>86</v>
      </c>
    </row>
    <row r="538" spans="1:13" x14ac:dyDescent="0.4">
      <c r="A538" s="35">
        <v>524</v>
      </c>
      <c r="B538" s="92" t="s">
        <v>80</v>
      </c>
      <c r="C538" s="56" t="s">
        <v>267</v>
      </c>
      <c r="D538" s="94" t="s">
        <v>126</v>
      </c>
      <c r="E538" s="49" t="s">
        <v>173</v>
      </c>
      <c r="F538" s="64">
        <v>44439.714212963001</v>
      </c>
      <c r="G538" s="76">
        <v>44439.6104513889</v>
      </c>
      <c r="H538" s="250"/>
      <c r="I538" s="116">
        <v>44468.909363425897</v>
      </c>
      <c r="J538" s="117">
        <v>44467.381157407399</v>
      </c>
      <c r="K538" s="92" t="s">
        <v>85</v>
      </c>
      <c r="L538" s="101">
        <v>12000</v>
      </c>
      <c r="M538" s="56" t="s">
        <v>86</v>
      </c>
    </row>
    <row r="539" spans="1:13" x14ac:dyDescent="0.4">
      <c r="A539" s="35">
        <v>525</v>
      </c>
      <c r="B539" s="92" t="s">
        <v>80</v>
      </c>
      <c r="C539" s="56" t="s">
        <v>267</v>
      </c>
      <c r="D539" s="94" t="s">
        <v>127</v>
      </c>
      <c r="E539" s="49" t="s">
        <v>173</v>
      </c>
      <c r="F539" s="64">
        <v>44439.714212963001</v>
      </c>
      <c r="G539" s="76">
        <v>44439.6104513889</v>
      </c>
      <c r="H539" s="250"/>
      <c r="I539" s="116">
        <v>44468.909363425897</v>
      </c>
      <c r="J539" s="117">
        <v>44467.381157407399</v>
      </c>
      <c r="K539" s="92" t="s">
        <v>85</v>
      </c>
      <c r="L539" s="101">
        <v>12000</v>
      </c>
      <c r="M539" s="56" t="s">
        <v>86</v>
      </c>
    </row>
    <row r="540" spans="1:13" x14ac:dyDescent="0.4">
      <c r="A540" s="35">
        <v>526</v>
      </c>
      <c r="B540" s="92" t="s">
        <v>80</v>
      </c>
      <c r="C540" s="56" t="s">
        <v>267</v>
      </c>
      <c r="D540" s="94" t="s">
        <v>128</v>
      </c>
      <c r="E540" s="49" t="s">
        <v>173</v>
      </c>
      <c r="F540" s="64">
        <v>44439.714212963001</v>
      </c>
      <c r="G540" s="76">
        <v>44439.6104513889</v>
      </c>
      <c r="H540" s="250"/>
      <c r="I540" s="116">
        <v>44468.909363425897</v>
      </c>
      <c r="J540" s="117">
        <v>44467.381157407399</v>
      </c>
      <c r="K540" s="92" t="s">
        <v>85</v>
      </c>
      <c r="L540" s="101">
        <v>12000</v>
      </c>
      <c r="M540" s="56" t="s">
        <v>86</v>
      </c>
    </row>
    <row r="541" spans="1:13" x14ac:dyDescent="0.4">
      <c r="A541" s="35">
        <v>527</v>
      </c>
      <c r="B541" s="92" t="s">
        <v>80</v>
      </c>
      <c r="C541" s="56" t="s">
        <v>267</v>
      </c>
      <c r="D541" s="84" t="s">
        <v>129</v>
      </c>
      <c r="E541" s="49" t="s">
        <v>173</v>
      </c>
      <c r="F541" s="64">
        <v>44439.714212963001</v>
      </c>
      <c r="G541" s="76">
        <v>44439.6104513889</v>
      </c>
      <c r="H541" s="250"/>
      <c r="I541" s="116">
        <v>44469.604513888902</v>
      </c>
      <c r="J541" s="117">
        <v>44468.471412036997</v>
      </c>
      <c r="K541" s="92" t="s">
        <v>85</v>
      </c>
      <c r="L541" s="101">
        <v>12000</v>
      </c>
      <c r="M541" s="56" t="s">
        <v>86</v>
      </c>
    </row>
    <row r="542" spans="1:13" x14ac:dyDescent="0.4">
      <c r="A542" s="35">
        <v>528</v>
      </c>
      <c r="B542" s="92" t="s">
        <v>80</v>
      </c>
      <c r="C542" s="56" t="s">
        <v>267</v>
      </c>
      <c r="D542" s="84" t="s">
        <v>130</v>
      </c>
      <c r="E542" s="49" t="s">
        <v>173</v>
      </c>
      <c r="F542" s="64">
        <v>44439.714212963001</v>
      </c>
      <c r="G542" s="76">
        <v>44439.6104513889</v>
      </c>
      <c r="H542" s="250"/>
      <c r="I542" s="116">
        <v>44469.604513888902</v>
      </c>
      <c r="J542" s="117">
        <v>44468.471412036997</v>
      </c>
      <c r="K542" s="92" t="s">
        <v>85</v>
      </c>
      <c r="L542" s="101">
        <v>12000</v>
      </c>
      <c r="M542" s="56" t="s">
        <v>86</v>
      </c>
    </row>
    <row r="543" spans="1:13" x14ac:dyDescent="0.4">
      <c r="A543" s="35">
        <v>529</v>
      </c>
      <c r="B543" s="92" t="s">
        <v>80</v>
      </c>
      <c r="C543" s="56" t="s">
        <v>267</v>
      </c>
      <c r="D543" s="84" t="s">
        <v>131</v>
      </c>
      <c r="E543" s="49" t="s">
        <v>173</v>
      </c>
      <c r="F543" s="64">
        <v>44439.714212963001</v>
      </c>
      <c r="G543" s="76">
        <v>44439.6104513889</v>
      </c>
      <c r="H543" s="250"/>
      <c r="I543" s="116">
        <v>44482.708831018499</v>
      </c>
      <c r="J543" s="117">
        <v>44481.446111111101</v>
      </c>
      <c r="K543" s="92" t="s">
        <v>85</v>
      </c>
      <c r="L543" s="101">
        <v>12000</v>
      </c>
      <c r="M543" s="56" t="s">
        <v>86</v>
      </c>
    </row>
    <row r="544" spans="1:13" x14ac:dyDescent="0.4">
      <c r="A544" s="35">
        <v>530</v>
      </c>
      <c r="B544" s="92" t="s">
        <v>80</v>
      </c>
      <c r="C544" s="56" t="s">
        <v>267</v>
      </c>
      <c r="D544" s="84" t="s">
        <v>132</v>
      </c>
      <c r="E544" s="49" t="s">
        <v>173</v>
      </c>
      <c r="F544" s="64">
        <v>44439.714212963001</v>
      </c>
      <c r="G544" s="76">
        <v>44439.6104513889</v>
      </c>
      <c r="H544" s="250"/>
      <c r="I544" s="116">
        <v>44482.708831018499</v>
      </c>
      <c r="J544" s="117">
        <v>44481.446111111101</v>
      </c>
      <c r="K544" s="92" t="s">
        <v>85</v>
      </c>
      <c r="L544" s="101">
        <v>12000</v>
      </c>
      <c r="M544" s="56" t="s">
        <v>86</v>
      </c>
    </row>
    <row r="545" spans="1:13" x14ac:dyDescent="0.4">
      <c r="A545" s="35">
        <v>531</v>
      </c>
      <c r="B545" s="92" t="s">
        <v>80</v>
      </c>
      <c r="C545" s="56" t="s">
        <v>267</v>
      </c>
      <c r="D545" s="84" t="s">
        <v>133</v>
      </c>
      <c r="E545" s="49" t="s">
        <v>173</v>
      </c>
      <c r="F545" s="64">
        <v>44439.714212963001</v>
      </c>
      <c r="G545" s="76">
        <v>44439.6104513889</v>
      </c>
      <c r="H545" s="250"/>
      <c r="I545" s="116">
        <v>44482.708831018499</v>
      </c>
      <c r="J545" s="117">
        <v>44481.446111111101</v>
      </c>
      <c r="K545" s="92" t="s">
        <v>85</v>
      </c>
      <c r="L545" s="101">
        <v>12000</v>
      </c>
      <c r="M545" s="56" t="s">
        <v>86</v>
      </c>
    </row>
    <row r="546" spans="1:13" x14ac:dyDescent="0.4">
      <c r="A546" s="35">
        <v>532</v>
      </c>
      <c r="B546" s="92" t="s">
        <v>80</v>
      </c>
      <c r="C546" s="56" t="s">
        <v>267</v>
      </c>
      <c r="D546" s="84" t="s">
        <v>134</v>
      </c>
      <c r="E546" s="49" t="s">
        <v>173</v>
      </c>
      <c r="F546" s="64">
        <v>44439.714212963001</v>
      </c>
      <c r="G546" s="76">
        <v>44439.6104513889</v>
      </c>
      <c r="H546" s="250"/>
      <c r="I546" s="116">
        <v>44482.708831018499</v>
      </c>
      <c r="J546" s="117">
        <v>44481.446111111101</v>
      </c>
      <c r="K546" s="92" t="s">
        <v>85</v>
      </c>
      <c r="L546" s="101">
        <v>12000</v>
      </c>
      <c r="M546" s="56" t="s">
        <v>86</v>
      </c>
    </row>
    <row r="547" spans="1:13" x14ac:dyDescent="0.4">
      <c r="A547" s="35">
        <v>533</v>
      </c>
      <c r="B547" s="92" t="s">
        <v>80</v>
      </c>
      <c r="C547" s="56" t="s">
        <v>267</v>
      </c>
      <c r="D547" s="84" t="s">
        <v>135</v>
      </c>
      <c r="E547" s="49" t="s">
        <v>173</v>
      </c>
      <c r="F547" s="64">
        <v>44439.714212963001</v>
      </c>
      <c r="G547" s="76">
        <v>44439.6104513889</v>
      </c>
      <c r="H547" s="250"/>
      <c r="I547" s="116">
        <v>44482.708831018499</v>
      </c>
      <c r="J547" s="117">
        <v>44481.446111111101</v>
      </c>
      <c r="K547" s="92" t="s">
        <v>85</v>
      </c>
      <c r="L547" s="101">
        <v>12000</v>
      </c>
      <c r="M547" s="56" t="s">
        <v>86</v>
      </c>
    </row>
    <row r="548" spans="1:13" x14ac:dyDescent="0.4">
      <c r="A548" s="35">
        <v>534</v>
      </c>
      <c r="B548" s="92" t="s">
        <v>80</v>
      </c>
      <c r="C548" s="56" t="s">
        <v>267</v>
      </c>
      <c r="D548" s="84" t="s">
        <v>136</v>
      </c>
      <c r="E548" s="49" t="s">
        <v>173</v>
      </c>
      <c r="F548" s="64">
        <v>44439.714212963001</v>
      </c>
      <c r="G548" s="76">
        <v>44439.6104513889</v>
      </c>
      <c r="H548" s="250"/>
      <c r="I548" s="116">
        <v>44482.708784722199</v>
      </c>
      <c r="J548" s="117">
        <v>44481.4463888889</v>
      </c>
      <c r="K548" s="92" t="s">
        <v>85</v>
      </c>
      <c r="L548" s="101">
        <v>12000</v>
      </c>
      <c r="M548" s="56" t="s">
        <v>86</v>
      </c>
    </row>
    <row r="549" spans="1:13" x14ac:dyDescent="0.4">
      <c r="A549" s="35">
        <v>535</v>
      </c>
      <c r="B549" s="92" t="s">
        <v>80</v>
      </c>
      <c r="C549" s="56" t="s">
        <v>267</v>
      </c>
      <c r="D549" s="84" t="s">
        <v>137</v>
      </c>
      <c r="E549" s="49" t="s">
        <v>173</v>
      </c>
      <c r="F549" s="64">
        <v>44439.714212963001</v>
      </c>
      <c r="G549" s="76">
        <v>44439.6104513889</v>
      </c>
      <c r="H549" s="250"/>
      <c r="I549" s="116">
        <v>44482.708784722199</v>
      </c>
      <c r="J549" s="117">
        <v>44481.4463888889</v>
      </c>
      <c r="K549" s="92" t="s">
        <v>85</v>
      </c>
      <c r="L549" s="101">
        <v>12000</v>
      </c>
      <c r="M549" s="56" t="s">
        <v>86</v>
      </c>
    </row>
    <row r="550" spans="1:13" x14ac:dyDescent="0.4">
      <c r="A550" s="35">
        <v>536</v>
      </c>
      <c r="B550" s="92" t="s">
        <v>80</v>
      </c>
      <c r="C550" s="56" t="s">
        <v>267</v>
      </c>
      <c r="D550" s="84" t="s">
        <v>138</v>
      </c>
      <c r="E550" s="49" t="s">
        <v>173</v>
      </c>
      <c r="F550" s="64">
        <v>44439.714212963001</v>
      </c>
      <c r="G550" s="76">
        <v>44439.6104513889</v>
      </c>
      <c r="H550" s="250"/>
      <c r="I550" s="116">
        <v>44482.708784722199</v>
      </c>
      <c r="J550" s="117">
        <v>44481.4463888889</v>
      </c>
      <c r="K550" s="92" t="s">
        <v>85</v>
      </c>
      <c r="L550" s="101">
        <v>12000</v>
      </c>
      <c r="M550" s="56" t="s">
        <v>86</v>
      </c>
    </row>
    <row r="551" spans="1:13" x14ac:dyDescent="0.4">
      <c r="A551" s="35">
        <v>537</v>
      </c>
      <c r="B551" s="92" t="s">
        <v>80</v>
      </c>
      <c r="C551" s="56" t="s">
        <v>266</v>
      </c>
      <c r="D551" s="84" t="s">
        <v>289</v>
      </c>
      <c r="E551" s="49" t="s">
        <v>173</v>
      </c>
      <c r="F551" s="64">
        <v>44439.714212963001</v>
      </c>
      <c r="G551" s="76">
        <v>44439.6104513889</v>
      </c>
      <c r="H551" s="250"/>
      <c r="I551" s="52"/>
      <c r="J551" s="53"/>
      <c r="K551" s="92" t="s">
        <v>85</v>
      </c>
      <c r="L551" s="101">
        <v>12000</v>
      </c>
      <c r="M551" s="56" t="s">
        <v>86</v>
      </c>
    </row>
    <row r="552" spans="1:13" x14ac:dyDescent="0.4">
      <c r="A552" s="35">
        <v>538</v>
      </c>
      <c r="B552" s="92" t="s">
        <v>80</v>
      </c>
      <c r="C552" s="56" t="s">
        <v>266</v>
      </c>
      <c r="D552" s="84" t="s">
        <v>290</v>
      </c>
      <c r="E552" s="49" t="s">
        <v>173</v>
      </c>
      <c r="F552" s="64">
        <v>44439.714212963001</v>
      </c>
      <c r="G552" s="76">
        <v>44439.6104513889</v>
      </c>
      <c r="H552" s="250"/>
      <c r="I552" s="61">
        <v>44910.694872685199</v>
      </c>
      <c r="J552" s="61">
        <v>44909.635497685202</v>
      </c>
      <c r="K552" s="92" t="s">
        <v>85</v>
      </c>
      <c r="L552" s="101">
        <v>12000</v>
      </c>
      <c r="M552" s="56" t="s">
        <v>86</v>
      </c>
    </row>
    <row r="553" spans="1:13" x14ac:dyDescent="0.4">
      <c r="A553" s="35">
        <v>539</v>
      </c>
      <c r="B553" s="92" t="s">
        <v>80</v>
      </c>
      <c r="C553" s="56" t="s">
        <v>266</v>
      </c>
      <c r="D553" s="84" t="s">
        <v>301</v>
      </c>
      <c r="E553" s="49" t="s">
        <v>173</v>
      </c>
      <c r="F553" s="64">
        <v>44439.714212963001</v>
      </c>
      <c r="G553" s="76">
        <v>44439.6104513889</v>
      </c>
      <c r="H553" s="250"/>
      <c r="I553" s="52"/>
      <c r="J553" s="53"/>
      <c r="K553" s="92" t="s">
        <v>85</v>
      </c>
      <c r="L553" s="101">
        <v>12000</v>
      </c>
      <c r="M553" s="56" t="s">
        <v>86</v>
      </c>
    </row>
    <row r="554" spans="1:13" x14ac:dyDescent="0.4">
      <c r="A554" s="35">
        <v>540</v>
      </c>
      <c r="B554" s="92" t="s">
        <v>80</v>
      </c>
      <c r="C554" s="56" t="s">
        <v>266</v>
      </c>
      <c r="D554" s="84" t="s">
        <v>302</v>
      </c>
      <c r="E554" s="49" t="s">
        <v>173</v>
      </c>
      <c r="F554" s="64">
        <v>44439.714212963001</v>
      </c>
      <c r="G554" s="76">
        <v>44439.6104513889</v>
      </c>
      <c r="H554" s="250"/>
      <c r="I554" s="52"/>
      <c r="J554" s="53"/>
      <c r="K554" s="92" t="s">
        <v>85</v>
      </c>
      <c r="L554" s="101">
        <v>12000</v>
      </c>
      <c r="M554" s="56" t="s">
        <v>86</v>
      </c>
    </row>
    <row r="555" spans="1:13" x14ac:dyDescent="0.4">
      <c r="A555" s="35">
        <v>541</v>
      </c>
      <c r="B555" s="92" t="s">
        <v>80</v>
      </c>
      <c r="C555" s="56" t="s">
        <v>266</v>
      </c>
      <c r="D555" s="84" t="s">
        <v>317</v>
      </c>
      <c r="E555" s="49" t="s">
        <v>173</v>
      </c>
      <c r="F555" s="64">
        <v>44439.714212963001</v>
      </c>
      <c r="G555" s="76">
        <v>44439.6104513889</v>
      </c>
      <c r="H555" s="250"/>
      <c r="I555" s="116">
        <v>44582.481307870403</v>
      </c>
      <c r="J555" s="117">
        <v>44580.682280092602</v>
      </c>
      <c r="K555" s="92" t="s">
        <v>85</v>
      </c>
      <c r="L555" s="101">
        <v>12000</v>
      </c>
      <c r="M555" s="56" t="s">
        <v>86</v>
      </c>
    </row>
    <row r="556" spans="1:13" x14ac:dyDescent="0.4">
      <c r="A556" s="35">
        <v>542</v>
      </c>
      <c r="B556" s="92" t="s">
        <v>80</v>
      </c>
      <c r="C556" s="56" t="s">
        <v>266</v>
      </c>
      <c r="D556" s="84" t="s">
        <v>318</v>
      </c>
      <c r="E556" s="49" t="s">
        <v>173</v>
      </c>
      <c r="F556" s="64">
        <v>44439.714212963001</v>
      </c>
      <c r="G556" s="76">
        <v>44439.6104513889</v>
      </c>
      <c r="H556" s="250"/>
      <c r="I556" s="116">
        <v>44592.709826388898</v>
      </c>
      <c r="J556" s="117">
        <v>44591.375659722202</v>
      </c>
      <c r="K556" s="92" t="s">
        <v>85</v>
      </c>
      <c r="L556" s="101">
        <v>12000</v>
      </c>
      <c r="M556" s="56" t="s">
        <v>86</v>
      </c>
    </row>
    <row r="557" spans="1:13" x14ac:dyDescent="0.4">
      <c r="A557" s="35">
        <v>543</v>
      </c>
      <c r="B557" s="92" t="s">
        <v>80</v>
      </c>
      <c r="C557" s="56" t="s">
        <v>267</v>
      </c>
      <c r="D557" s="84" t="s">
        <v>155</v>
      </c>
      <c r="E557" s="49" t="s">
        <v>173</v>
      </c>
      <c r="F557" s="68">
        <v>44440.614120370403</v>
      </c>
      <c r="G557" s="64">
        <v>44440.678807870398</v>
      </c>
      <c r="H557" s="250"/>
      <c r="I557" s="116">
        <v>44471.618703703702</v>
      </c>
      <c r="J557" s="117">
        <v>44469.650578703702</v>
      </c>
      <c r="K557" s="92" t="s">
        <v>85</v>
      </c>
      <c r="L557" s="101">
        <v>12000</v>
      </c>
      <c r="M557" s="56" t="s">
        <v>86</v>
      </c>
    </row>
    <row r="558" spans="1:13" x14ac:dyDescent="0.4">
      <c r="A558" s="35">
        <v>544</v>
      </c>
      <c r="B558" s="92" t="s">
        <v>80</v>
      </c>
      <c r="C558" s="56" t="s">
        <v>267</v>
      </c>
      <c r="D558" s="84" t="s">
        <v>156</v>
      </c>
      <c r="E558" s="49" t="s">
        <v>173</v>
      </c>
      <c r="F558" s="66">
        <v>44440.614120370403</v>
      </c>
      <c r="G558" s="64">
        <v>44440.678807870398</v>
      </c>
      <c r="H558" s="250"/>
      <c r="I558" s="116">
        <v>44482.708784722199</v>
      </c>
      <c r="J558" s="117">
        <v>44481.4463888889</v>
      </c>
      <c r="K558" s="92" t="s">
        <v>85</v>
      </c>
      <c r="L558" s="101">
        <v>12000</v>
      </c>
      <c r="M558" s="56" t="s">
        <v>86</v>
      </c>
    </row>
    <row r="559" spans="1:13" x14ac:dyDescent="0.4">
      <c r="A559" s="35">
        <v>545</v>
      </c>
      <c r="B559" s="92" t="s">
        <v>80</v>
      </c>
      <c r="C559" s="56" t="s">
        <v>267</v>
      </c>
      <c r="D559" s="84" t="s">
        <v>277</v>
      </c>
      <c r="E559" s="49" t="s">
        <v>173</v>
      </c>
      <c r="F559" s="66">
        <v>44440.614120370403</v>
      </c>
      <c r="G559" s="64">
        <v>44440.678807870398</v>
      </c>
      <c r="H559" s="250"/>
      <c r="I559" s="64">
        <v>44744.591157407398</v>
      </c>
      <c r="J559" s="64">
        <v>44742.6875</v>
      </c>
      <c r="K559" s="92" t="s">
        <v>85</v>
      </c>
      <c r="L559" s="101">
        <v>12000</v>
      </c>
      <c r="M559" s="56" t="s">
        <v>86</v>
      </c>
    </row>
    <row r="560" spans="1:13" x14ac:dyDescent="0.4">
      <c r="A560" s="35">
        <v>546</v>
      </c>
      <c r="B560" s="92" t="s">
        <v>80</v>
      </c>
      <c r="C560" s="56" t="s">
        <v>267</v>
      </c>
      <c r="D560" s="84" t="s">
        <v>278</v>
      </c>
      <c r="E560" s="49" t="s">
        <v>173</v>
      </c>
      <c r="F560" s="66">
        <v>44440.614120370403</v>
      </c>
      <c r="G560" s="64">
        <v>44440.678807870398</v>
      </c>
      <c r="H560" s="250"/>
      <c r="I560" s="66">
        <v>44744.591134259303</v>
      </c>
      <c r="J560" s="64">
        <v>44742.6875</v>
      </c>
      <c r="K560" s="92" t="s">
        <v>85</v>
      </c>
      <c r="L560" s="101">
        <v>12000</v>
      </c>
      <c r="M560" s="56" t="s">
        <v>86</v>
      </c>
    </row>
    <row r="561" spans="1:13" x14ac:dyDescent="0.4">
      <c r="A561" s="35">
        <v>547</v>
      </c>
      <c r="B561" s="92" t="s">
        <v>80</v>
      </c>
      <c r="C561" s="56" t="s">
        <v>267</v>
      </c>
      <c r="D561" s="84" t="s">
        <v>279</v>
      </c>
      <c r="E561" s="49" t="s">
        <v>173</v>
      </c>
      <c r="F561" s="66">
        <v>44440.614120370403</v>
      </c>
      <c r="G561" s="64">
        <v>44440.678807870398</v>
      </c>
      <c r="H561" s="250"/>
      <c r="I561" s="64">
        <v>44744.591134259303</v>
      </c>
      <c r="J561" s="64">
        <v>44742.6875</v>
      </c>
      <c r="K561" s="92" t="s">
        <v>85</v>
      </c>
      <c r="L561" s="101">
        <v>12000</v>
      </c>
      <c r="M561" s="56" t="s">
        <v>86</v>
      </c>
    </row>
    <row r="562" spans="1:13" x14ac:dyDescent="0.4">
      <c r="A562" s="35">
        <v>548</v>
      </c>
      <c r="B562" s="92" t="s">
        <v>80</v>
      </c>
      <c r="C562" s="56" t="s">
        <v>267</v>
      </c>
      <c r="D562" s="84" t="s">
        <v>280</v>
      </c>
      <c r="E562" s="49" t="s">
        <v>173</v>
      </c>
      <c r="F562" s="66">
        <v>44440.614120370403</v>
      </c>
      <c r="G562" s="64">
        <v>44440.678807870398</v>
      </c>
      <c r="H562" s="250"/>
      <c r="I562" s="61">
        <v>44903.743287037003</v>
      </c>
      <c r="J562" s="61">
        <v>44903.746354166702</v>
      </c>
      <c r="K562" s="92" t="s">
        <v>85</v>
      </c>
      <c r="L562" s="101">
        <v>12000</v>
      </c>
      <c r="M562" s="56" t="s">
        <v>86</v>
      </c>
    </row>
    <row r="563" spans="1:13" x14ac:dyDescent="0.4">
      <c r="A563" s="35">
        <v>549</v>
      </c>
      <c r="B563" s="92" t="s">
        <v>80</v>
      </c>
      <c r="C563" s="56" t="s">
        <v>267</v>
      </c>
      <c r="D563" s="84" t="s">
        <v>281</v>
      </c>
      <c r="E563" s="49" t="s">
        <v>173</v>
      </c>
      <c r="F563" s="66">
        <v>44440.614120370403</v>
      </c>
      <c r="G563" s="64">
        <v>44440.678807870398</v>
      </c>
      <c r="H563" s="250"/>
      <c r="I563" s="61">
        <v>44903.743287037003</v>
      </c>
      <c r="J563" s="61">
        <v>44903.746435185203</v>
      </c>
      <c r="K563" s="92" t="s">
        <v>85</v>
      </c>
      <c r="L563" s="101">
        <v>12000</v>
      </c>
      <c r="M563" s="56" t="s">
        <v>86</v>
      </c>
    </row>
    <row r="564" spans="1:13" x14ac:dyDescent="0.4">
      <c r="A564" s="35">
        <v>550</v>
      </c>
      <c r="B564" s="92" t="s">
        <v>80</v>
      </c>
      <c r="C564" s="56" t="s">
        <v>267</v>
      </c>
      <c r="D564" s="84" t="s">
        <v>282</v>
      </c>
      <c r="E564" s="49" t="s">
        <v>173</v>
      </c>
      <c r="F564" s="66">
        <v>44440.614120370403</v>
      </c>
      <c r="G564" s="64">
        <v>44440.678807870398</v>
      </c>
      <c r="H564" s="250"/>
      <c r="I564" s="61">
        <v>44903.743287037003</v>
      </c>
      <c r="J564" s="61">
        <v>44903.746550925898</v>
      </c>
      <c r="K564" s="92" t="s">
        <v>85</v>
      </c>
      <c r="L564" s="101">
        <v>12000</v>
      </c>
      <c r="M564" s="56" t="s">
        <v>86</v>
      </c>
    </row>
    <row r="565" spans="1:13" x14ac:dyDescent="0.4">
      <c r="A565" s="35">
        <v>551</v>
      </c>
      <c r="B565" s="92" t="s">
        <v>80</v>
      </c>
      <c r="C565" s="56" t="s">
        <v>267</v>
      </c>
      <c r="D565" s="84" t="s">
        <v>283</v>
      </c>
      <c r="E565" s="49" t="s">
        <v>173</v>
      </c>
      <c r="F565" s="66">
        <v>44440.614120370403</v>
      </c>
      <c r="G565" s="64">
        <v>44440.678807870398</v>
      </c>
      <c r="H565" s="250"/>
      <c r="I565" s="61">
        <v>44903.743287037003</v>
      </c>
      <c r="J565" s="61">
        <v>44903.746643518498</v>
      </c>
      <c r="K565" s="92" t="s">
        <v>85</v>
      </c>
      <c r="L565" s="101">
        <v>12000</v>
      </c>
      <c r="M565" s="56" t="s">
        <v>86</v>
      </c>
    </row>
    <row r="566" spans="1:13" x14ac:dyDescent="0.4">
      <c r="A566" s="35">
        <v>552</v>
      </c>
      <c r="B566" s="92" t="s">
        <v>80</v>
      </c>
      <c r="C566" s="56" t="s">
        <v>267</v>
      </c>
      <c r="D566" s="84" t="s">
        <v>284</v>
      </c>
      <c r="E566" s="49" t="s">
        <v>173</v>
      </c>
      <c r="F566" s="66">
        <v>44440.614120370403</v>
      </c>
      <c r="G566" s="64">
        <v>44440.678807870398</v>
      </c>
      <c r="H566" s="250"/>
      <c r="I566" s="61">
        <v>44903.743287037003</v>
      </c>
      <c r="J566" s="61">
        <v>44903.746724536999</v>
      </c>
      <c r="K566" s="92" t="s">
        <v>85</v>
      </c>
      <c r="L566" s="101">
        <v>12000</v>
      </c>
      <c r="M566" s="56" t="s">
        <v>86</v>
      </c>
    </row>
    <row r="567" spans="1:13" x14ac:dyDescent="0.4">
      <c r="A567" s="35">
        <v>553</v>
      </c>
      <c r="B567" s="92" t="s">
        <v>80</v>
      </c>
      <c r="C567" s="56" t="s">
        <v>267</v>
      </c>
      <c r="D567" s="84" t="s">
        <v>285</v>
      </c>
      <c r="E567" s="49" t="s">
        <v>173</v>
      </c>
      <c r="F567" s="66">
        <v>44440.614120370403</v>
      </c>
      <c r="G567" s="64">
        <v>44440.678807870398</v>
      </c>
      <c r="H567" s="250"/>
      <c r="I567" s="61">
        <v>44903.743287037003</v>
      </c>
      <c r="J567" s="61">
        <v>44903.746817129599</v>
      </c>
      <c r="K567" s="92" t="s">
        <v>85</v>
      </c>
      <c r="L567" s="101">
        <v>12000</v>
      </c>
      <c r="M567" s="56" t="s">
        <v>86</v>
      </c>
    </row>
    <row r="568" spans="1:13" x14ac:dyDescent="0.4">
      <c r="A568" s="35">
        <v>554</v>
      </c>
      <c r="B568" s="92" t="s">
        <v>80</v>
      </c>
      <c r="C568" s="56" t="s">
        <v>267</v>
      </c>
      <c r="D568" s="84" t="s">
        <v>286</v>
      </c>
      <c r="E568" s="49" t="s">
        <v>173</v>
      </c>
      <c r="F568" s="66">
        <v>44440.614120370403</v>
      </c>
      <c r="G568" s="64">
        <v>44440.678807870398</v>
      </c>
      <c r="H568" s="250"/>
      <c r="I568" s="61">
        <v>44903.743287037003</v>
      </c>
      <c r="J568" s="61">
        <v>44903.746909722198</v>
      </c>
      <c r="K568" s="92" t="s">
        <v>85</v>
      </c>
      <c r="L568" s="101">
        <v>12000</v>
      </c>
      <c r="M568" s="56" t="s">
        <v>86</v>
      </c>
    </row>
    <row r="569" spans="1:13" x14ac:dyDescent="0.4">
      <c r="A569" s="35">
        <v>555</v>
      </c>
      <c r="B569" s="92" t="s">
        <v>80</v>
      </c>
      <c r="C569" s="56" t="s">
        <v>267</v>
      </c>
      <c r="D569" s="84" t="s">
        <v>287</v>
      </c>
      <c r="E569" s="49" t="s">
        <v>173</v>
      </c>
      <c r="F569" s="66">
        <v>44440.614120370403</v>
      </c>
      <c r="G569" s="64">
        <v>44440.678807870398</v>
      </c>
      <c r="H569" s="250"/>
      <c r="I569" s="61">
        <v>44903.7433101852</v>
      </c>
      <c r="J569" s="61">
        <v>44903.746990740699</v>
      </c>
      <c r="K569" s="92" t="s">
        <v>85</v>
      </c>
      <c r="L569" s="101">
        <v>12000</v>
      </c>
      <c r="M569" s="56" t="s">
        <v>86</v>
      </c>
    </row>
    <row r="570" spans="1:13" x14ac:dyDescent="0.4">
      <c r="A570" s="35">
        <v>556</v>
      </c>
      <c r="B570" s="92" t="s">
        <v>80</v>
      </c>
      <c r="C570" s="56" t="s">
        <v>267</v>
      </c>
      <c r="D570" s="84" t="s">
        <v>288</v>
      </c>
      <c r="E570" s="49" t="s">
        <v>173</v>
      </c>
      <c r="F570" s="66">
        <v>44440.614120370403</v>
      </c>
      <c r="G570" s="64">
        <v>44440.678807870398</v>
      </c>
      <c r="H570" s="250"/>
      <c r="I570" s="61">
        <v>44903.750254629602</v>
      </c>
      <c r="J570" s="61">
        <v>44903.747060185196</v>
      </c>
      <c r="K570" s="92" t="s">
        <v>85</v>
      </c>
      <c r="L570" s="101">
        <v>12000</v>
      </c>
      <c r="M570" s="56" t="s">
        <v>86</v>
      </c>
    </row>
    <row r="571" spans="1:13" x14ac:dyDescent="0.4">
      <c r="A571" s="35">
        <v>557</v>
      </c>
      <c r="B571" s="92" t="s">
        <v>80</v>
      </c>
      <c r="C571" s="56" t="s">
        <v>267</v>
      </c>
      <c r="D571" s="84" t="s">
        <v>289</v>
      </c>
      <c r="E571" s="49" t="s">
        <v>173</v>
      </c>
      <c r="F571" s="66">
        <v>44440.614120370403</v>
      </c>
      <c r="G571" s="64">
        <v>44440.678807870398</v>
      </c>
      <c r="H571" s="250"/>
      <c r="I571" s="61">
        <v>44903.750254629602</v>
      </c>
      <c r="J571" s="61">
        <v>44903.747129629599</v>
      </c>
      <c r="K571" s="92" t="s">
        <v>85</v>
      </c>
      <c r="L571" s="101">
        <v>12000</v>
      </c>
      <c r="M571" s="56" t="s">
        <v>86</v>
      </c>
    </row>
    <row r="572" spans="1:13" x14ac:dyDescent="0.4">
      <c r="A572" s="35">
        <v>558</v>
      </c>
      <c r="B572" s="92" t="s">
        <v>80</v>
      </c>
      <c r="C572" s="56" t="s">
        <v>267</v>
      </c>
      <c r="D572" s="84" t="s">
        <v>290</v>
      </c>
      <c r="E572" s="49" t="s">
        <v>173</v>
      </c>
      <c r="F572" s="66">
        <v>44440.614120370403</v>
      </c>
      <c r="G572" s="64">
        <v>44440.678807870398</v>
      </c>
      <c r="H572" s="250"/>
      <c r="I572" s="61">
        <v>44903.750219907401</v>
      </c>
      <c r="J572" s="61">
        <v>44903.747268518498</v>
      </c>
      <c r="K572" s="92" t="s">
        <v>85</v>
      </c>
      <c r="L572" s="101">
        <v>12000</v>
      </c>
      <c r="M572" s="56" t="s">
        <v>86</v>
      </c>
    </row>
    <row r="573" spans="1:13" x14ac:dyDescent="0.4">
      <c r="A573" s="35">
        <v>559</v>
      </c>
      <c r="B573" s="92" t="s">
        <v>80</v>
      </c>
      <c r="C573" s="56" t="s">
        <v>267</v>
      </c>
      <c r="D573" s="84" t="s">
        <v>291</v>
      </c>
      <c r="E573" s="49" t="s">
        <v>173</v>
      </c>
      <c r="F573" s="66">
        <v>44440.614120370403</v>
      </c>
      <c r="G573" s="64">
        <v>44440.678807870398</v>
      </c>
      <c r="H573" s="250"/>
      <c r="I573" s="61">
        <v>44871.743726851899</v>
      </c>
      <c r="J573" s="61">
        <v>44873.424641203703</v>
      </c>
      <c r="K573" s="92" t="s">
        <v>85</v>
      </c>
      <c r="L573" s="101">
        <v>12000</v>
      </c>
      <c r="M573" s="56" t="s">
        <v>86</v>
      </c>
    </row>
    <row r="574" spans="1:13" x14ac:dyDescent="0.4">
      <c r="A574" s="35">
        <v>560</v>
      </c>
      <c r="B574" s="92" t="s">
        <v>80</v>
      </c>
      <c r="C574" s="56" t="s">
        <v>267</v>
      </c>
      <c r="D574" s="84" t="s">
        <v>292</v>
      </c>
      <c r="E574" s="49" t="s">
        <v>173</v>
      </c>
      <c r="F574" s="66">
        <v>44440.614120370403</v>
      </c>
      <c r="G574" s="64">
        <v>44440.678807870398</v>
      </c>
      <c r="H574" s="250"/>
      <c r="I574" s="61">
        <v>44871.743726851899</v>
      </c>
      <c r="J574" s="61">
        <v>44873.424710648098</v>
      </c>
      <c r="K574" s="92" t="s">
        <v>85</v>
      </c>
      <c r="L574" s="101">
        <v>12000</v>
      </c>
      <c r="M574" s="56" t="s">
        <v>86</v>
      </c>
    </row>
    <row r="575" spans="1:13" x14ac:dyDescent="0.4">
      <c r="A575" s="35">
        <v>561</v>
      </c>
      <c r="B575" s="92" t="s">
        <v>80</v>
      </c>
      <c r="C575" s="56" t="s">
        <v>267</v>
      </c>
      <c r="D575" s="84" t="s">
        <v>293</v>
      </c>
      <c r="E575" s="49" t="s">
        <v>173</v>
      </c>
      <c r="F575" s="66">
        <v>44440.614120370403</v>
      </c>
      <c r="G575" s="64">
        <v>44440.678807870398</v>
      </c>
      <c r="H575" s="250"/>
      <c r="I575" s="61">
        <v>44975.604525463001</v>
      </c>
      <c r="J575" s="61">
        <v>44973.721516203703</v>
      </c>
      <c r="K575" s="92" t="s">
        <v>85</v>
      </c>
      <c r="L575" s="101">
        <v>12000</v>
      </c>
      <c r="M575" s="56" t="s">
        <v>86</v>
      </c>
    </row>
    <row r="576" spans="1:13" x14ac:dyDescent="0.4">
      <c r="A576" s="35">
        <v>562</v>
      </c>
      <c r="B576" s="92" t="s">
        <v>80</v>
      </c>
      <c r="C576" s="56" t="s">
        <v>267</v>
      </c>
      <c r="D576" s="84" t="s">
        <v>294</v>
      </c>
      <c r="E576" s="49" t="s">
        <v>173</v>
      </c>
      <c r="F576" s="66">
        <v>44440.614120370403</v>
      </c>
      <c r="G576" s="64">
        <v>44440.678807870398</v>
      </c>
      <c r="H576" s="250"/>
      <c r="I576" s="61">
        <v>44975.604537036997</v>
      </c>
      <c r="J576" s="61">
        <v>44973.721574074101</v>
      </c>
      <c r="K576" s="92" t="s">
        <v>85</v>
      </c>
      <c r="L576" s="101">
        <v>12000</v>
      </c>
      <c r="M576" s="56" t="s">
        <v>86</v>
      </c>
    </row>
    <row r="577" spans="1:13" x14ac:dyDescent="0.4">
      <c r="A577" s="35">
        <v>563</v>
      </c>
      <c r="B577" s="92" t="s">
        <v>80</v>
      </c>
      <c r="C577" s="56" t="s">
        <v>267</v>
      </c>
      <c r="D577" s="84" t="s">
        <v>295</v>
      </c>
      <c r="E577" s="49" t="s">
        <v>173</v>
      </c>
      <c r="F577" s="66">
        <v>44440.614120370403</v>
      </c>
      <c r="G577" s="64">
        <v>44440.678807870398</v>
      </c>
      <c r="H577" s="250"/>
      <c r="I577" s="61">
        <v>44975.611400463</v>
      </c>
      <c r="J577" s="61">
        <v>44973.721608796302</v>
      </c>
      <c r="K577" s="92" t="s">
        <v>85</v>
      </c>
      <c r="L577" s="101">
        <v>12000</v>
      </c>
      <c r="M577" s="56" t="s">
        <v>86</v>
      </c>
    </row>
    <row r="578" spans="1:13" x14ac:dyDescent="0.4">
      <c r="A578" s="35">
        <v>564</v>
      </c>
      <c r="B578" s="92" t="s">
        <v>80</v>
      </c>
      <c r="C578" s="56" t="s">
        <v>267</v>
      </c>
      <c r="D578" s="84" t="s">
        <v>296</v>
      </c>
      <c r="E578" s="49" t="s">
        <v>173</v>
      </c>
      <c r="F578" s="66">
        <v>44440.614120370403</v>
      </c>
      <c r="G578" s="64">
        <v>44440.678807870398</v>
      </c>
      <c r="H578" s="250"/>
      <c r="I578" s="61">
        <v>44975.611400463</v>
      </c>
      <c r="J578" s="61">
        <v>44973.721643518496</v>
      </c>
      <c r="K578" s="92" t="s">
        <v>85</v>
      </c>
      <c r="L578" s="101">
        <v>12000</v>
      </c>
      <c r="M578" s="56" t="s">
        <v>86</v>
      </c>
    </row>
    <row r="579" spans="1:13" x14ac:dyDescent="0.4">
      <c r="A579" s="35">
        <v>565</v>
      </c>
      <c r="B579" s="92" t="s">
        <v>80</v>
      </c>
      <c r="C579" s="56" t="s">
        <v>267</v>
      </c>
      <c r="D579" s="84" t="s">
        <v>297</v>
      </c>
      <c r="E579" s="49" t="s">
        <v>173</v>
      </c>
      <c r="F579" s="66">
        <v>44440.614120370403</v>
      </c>
      <c r="G579" s="64">
        <v>44440.678807870398</v>
      </c>
      <c r="H579" s="250"/>
      <c r="I579" s="61">
        <v>44975.611400463</v>
      </c>
      <c r="J579" s="61">
        <v>44973.721689814804</v>
      </c>
      <c r="K579" s="92" t="s">
        <v>85</v>
      </c>
      <c r="L579" s="101">
        <v>12000</v>
      </c>
      <c r="M579" s="56" t="s">
        <v>86</v>
      </c>
    </row>
    <row r="580" spans="1:13" x14ac:dyDescent="0.4">
      <c r="A580" s="35">
        <v>566</v>
      </c>
      <c r="B580" s="92" t="s">
        <v>80</v>
      </c>
      <c r="C580" s="56" t="s">
        <v>267</v>
      </c>
      <c r="D580" s="84" t="s">
        <v>298</v>
      </c>
      <c r="E580" s="49" t="s">
        <v>173</v>
      </c>
      <c r="F580" s="66">
        <v>44440.614120370403</v>
      </c>
      <c r="G580" s="64">
        <v>44440.678807870398</v>
      </c>
      <c r="H580" s="250"/>
      <c r="I580" s="61">
        <v>44871.743923611102</v>
      </c>
      <c r="J580" s="61">
        <v>44873.424756944398</v>
      </c>
      <c r="K580" s="92" t="s">
        <v>85</v>
      </c>
      <c r="L580" s="101">
        <v>12000</v>
      </c>
      <c r="M580" s="56" t="s">
        <v>86</v>
      </c>
    </row>
    <row r="581" spans="1:13" x14ac:dyDescent="0.4">
      <c r="A581" s="35">
        <v>567</v>
      </c>
      <c r="B581" s="92" t="s">
        <v>80</v>
      </c>
      <c r="C581" s="56" t="s">
        <v>267</v>
      </c>
      <c r="D581" s="84" t="s">
        <v>299</v>
      </c>
      <c r="E581" s="49" t="s">
        <v>173</v>
      </c>
      <c r="F581" s="66">
        <v>44440.614120370403</v>
      </c>
      <c r="G581" s="64">
        <v>44440.678807870398</v>
      </c>
      <c r="H581" s="250"/>
      <c r="I581" s="61">
        <v>44871.743726851899</v>
      </c>
      <c r="J581" s="61">
        <v>44873.424814814804</v>
      </c>
      <c r="K581" s="92" t="s">
        <v>85</v>
      </c>
      <c r="L581" s="101">
        <v>12000</v>
      </c>
      <c r="M581" s="56" t="s">
        <v>86</v>
      </c>
    </row>
    <row r="582" spans="1:13" x14ac:dyDescent="0.4">
      <c r="A582" s="35">
        <v>568</v>
      </c>
      <c r="B582" s="92" t="s">
        <v>80</v>
      </c>
      <c r="C582" s="56" t="s">
        <v>267</v>
      </c>
      <c r="D582" s="84" t="s">
        <v>300</v>
      </c>
      <c r="E582" s="49" t="s">
        <v>173</v>
      </c>
      <c r="F582" s="66">
        <v>44440.614120370403</v>
      </c>
      <c r="G582" s="64">
        <v>44440.678807870398</v>
      </c>
      <c r="H582" s="250"/>
      <c r="I582" s="61">
        <v>44871.743726851899</v>
      </c>
      <c r="J582" s="61">
        <v>44873.424872685202</v>
      </c>
      <c r="K582" s="92" t="s">
        <v>85</v>
      </c>
      <c r="L582" s="101">
        <v>12000</v>
      </c>
      <c r="M582" s="56" t="s">
        <v>86</v>
      </c>
    </row>
    <row r="583" spans="1:13" x14ac:dyDescent="0.4">
      <c r="A583" s="35">
        <v>569</v>
      </c>
      <c r="B583" s="92" t="s">
        <v>80</v>
      </c>
      <c r="C583" s="56" t="s">
        <v>267</v>
      </c>
      <c r="D583" s="84" t="s">
        <v>301</v>
      </c>
      <c r="E583" s="49" t="s">
        <v>173</v>
      </c>
      <c r="F583" s="66">
        <v>44440.614120370403</v>
      </c>
      <c r="G583" s="64">
        <v>44440.678807870398</v>
      </c>
      <c r="H583" s="250"/>
      <c r="I583" s="61">
        <v>44871.743726851899</v>
      </c>
      <c r="J583" s="61">
        <v>44873.424907407403</v>
      </c>
      <c r="K583" s="92" t="s">
        <v>85</v>
      </c>
      <c r="L583" s="101">
        <v>12000</v>
      </c>
      <c r="M583" s="56" t="s">
        <v>86</v>
      </c>
    </row>
    <row r="584" spans="1:13" x14ac:dyDescent="0.4">
      <c r="A584" s="35">
        <v>570</v>
      </c>
      <c r="B584" s="92" t="s">
        <v>80</v>
      </c>
      <c r="C584" s="56" t="s">
        <v>267</v>
      </c>
      <c r="D584" s="84" t="s">
        <v>302</v>
      </c>
      <c r="E584" s="49" t="s">
        <v>173</v>
      </c>
      <c r="F584" s="66">
        <v>44440.614120370403</v>
      </c>
      <c r="G584" s="64">
        <v>44440.678807870398</v>
      </c>
      <c r="H584" s="250"/>
      <c r="I584" s="61">
        <v>44871.743726851899</v>
      </c>
      <c r="J584" s="61">
        <v>44873.425277777802</v>
      </c>
      <c r="K584" s="92" t="s">
        <v>85</v>
      </c>
      <c r="L584" s="101">
        <v>12000</v>
      </c>
      <c r="M584" s="56" t="s">
        <v>86</v>
      </c>
    </row>
    <row r="585" spans="1:13" x14ac:dyDescent="0.4">
      <c r="A585" s="35">
        <v>571</v>
      </c>
      <c r="B585" s="92" t="s">
        <v>80</v>
      </c>
      <c r="C585" s="56" t="s">
        <v>267</v>
      </c>
      <c r="D585" s="84" t="s">
        <v>157</v>
      </c>
      <c r="E585" s="49" t="s">
        <v>173</v>
      </c>
      <c r="F585" s="66">
        <v>44440.614120370403</v>
      </c>
      <c r="G585" s="64">
        <v>44440.678807870398</v>
      </c>
      <c r="H585" s="250"/>
      <c r="I585" s="116">
        <v>44482.729444444398</v>
      </c>
      <c r="J585" s="117">
        <v>44481.454768518503</v>
      </c>
      <c r="K585" s="92" t="s">
        <v>85</v>
      </c>
      <c r="L585" s="101">
        <v>12000</v>
      </c>
      <c r="M585" s="56" t="s">
        <v>86</v>
      </c>
    </row>
    <row r="586" spans="1:13" x14ac:dyDescent="0.4">
      <c r="A586" s="35">
        <v>572</v>
      </c>
      <c r="B586" s="92" t="s">
        <v>80</v>
      </c>
      <c r="C586" s="56" t="s">
        <v>267</v>
      </c>
      <c r="D586" s="84" t="s">
        <v>158</v>
      </c>
      <c r="E586" s="49" t="s">
        <v>173</v>
      </c>
      <c r="F586" s="66">
        <v>44440.614120370403</v>
      </c>
      <c r="G586" s="64">
        <v>44440.678807870398</v>
      </c>
      <c r="H586" s="250"/>
      <c r="I586" s="116">
        <v>44482.729444444398</v>
      </c>
      <c r="J586" s="117">
        <v>44481.454768518503</v>
      </c>
      <c r="K586" s="92" t="s">
        <v>85</v>
      </c>
      <c r="L586" s="101">
        <v>12000</v>
      </c>
      <c r="M586" s="56" t="s">
        <v>86</v>
      </c>
    </row>
    <row r="587" spans="1:13" x14ac:dyDescent="0.4">
      <c r="A587" s="35">
        <v>573</v>
      </c>
      <c r="B587" s="92" t="s">
        <v>80</v>
      </c>
      <c r="C587" s="56" t="s">
        <v>267</v>
      </c>
      <c r="D587" s="84" t="s">
        <v>159</v>
      </c>
      <c r="E587" s="49" t="s">
        <v>173</v>
      </c>
      <c r="F587" s="66">
        <v>44440.614120370403</v>
      </c>
      <c r="G587" s="64">
        <v>44440.678807870398</v>
      </c>
      <c r="H587" s="250"/>
      <c r="I587" s="116">
        <v>44471.618703703702</v>
      </c>
      <c r="J587" s="117">
        <v>44469.650636574101</v>
      </c>
      <c r="K587" s="92" t="s">
        <v>85</v>
      </c>
      <c r="L587" s="101">
        <v>12000</v>
      </c>
      <c r="M587" s="56" t="s">
        <v>86</v>
      </c>
    </row>
    <row r="588" spans="1:13" x14ac:dyDescent="0.4">
      <c r="A588" s="35">
        <v>574</v>
      </c>
      <c r="B588" s="92" t="s">
        <v>80</v>
      </c>
      <c r="C588" s="56" t="s">
        <v>267</v>
      </c>
      <c r="D588" s="84" t="s">
        <v>160</v>
      </c>
      <c r="E588" s="49" t="s">
        <v>173</v>
      </c>
      <c r="F588" s="66">
        <v>44440.614120370403</v>
      </c>
      <c r="G588" s="64">
        <v>44440.678807870398</v>
      </c>
      <c r="H588" s="250"/>
      <c r="I588" s="116">
        <v>44482.729444444398</v>
      </c>
      <c r="J588" s="117">
        <v>44481.454768518503</v>
      </c>
      <c r="K588" s="92" t="s">
        <v>85</v>
      </c>
      <c r="L588" s="101">
        <v>12000</v>
      </c>
      <c r="M588" s="56" t="s">
        <v>86</v>
      </c>
    </row>
    <row r="589" spans="1:13" x14ac:dyDescent="0.4">
      <c r="A589" s="35">
        <v>575</v>
      </c>
      <c r="B589" s="92" t="s">
        <v>80</v>
      </c>
      <c r="C589" s="56" t="s">
        <v>267</v>
      </c>
      <c r="D589" s="84" t="s">
        <v>161</v>
      </c>
      <c r="E589" s="49" t="s">
        <v>173</v>
      </c>
      <c r="F589" s="66">
        <v>44440.614120370403</v>
      </c>
      <c r="G589" s="64">
        <v>44440.678807870398</v>
      </c>
      <c r="H589" s="250"/>
      <c r="I589" s="116">
        <v>44482.729444444398</v>
      </c>
      <c r="J589" s="117">
        <v>44481.454768518503</v>
      </c>
      <c r="K589" s="92" t="s">
        <v>85</v>
      </c>
      <c r="L589" s="101">
        <v>12000</v>
      </c>
      <c r="M589" s="56" t="s">
        <v>86</v>
      </c>
    </row>
    <row r="590" spans="1:13" x14ac:dyDescent="0.4">
      <c r="A590" s="35">
        <v>576</v>
      </c>
      <c r="B590" s="92" t="s">
        <v>80</v>
      </c>
      <c r="C590" s="56" t="s">
        <v>267</v>
      </c>
      <c r="D590" s="84" t="s">
        <v>162</v>
      </c>
      <c r="E590" s="49" t="s">
        <v>173</v>
      </c>
      <c r="F590" s="66">
        <v>44440.614120370403</v>
      </c>
      <c r="G590" s="64">
        <v>44440.678807870398</v>
      </c>
      <c r="H590" s="250"/>
      <c r="I590" s="116">
        <v>44482.729444444398</v>
      </c>
      <c r="J590" s="117">
        <v>44481.454768518503</v>
      </c>
      <c r="K590" s="92" t="s">
        <v>85</v>
      </c>
      <c r="L590" s="101">
        <v>12000</v>
      </c>
      <c r="M590" s="56" t="s">
        <v>86</v>
      </c>
    </row>
    <row r="591" spans="1:13" x14ac:dyDescent="0.4">
      <c r="A591" s="35">
        <v>577</v>
      </c>
      <c r="B591" s="92" t="s">
        <v>80</v>
      </c>
      <c r="C591" s="56" t="s">
        <v>267</v>
      </c>
      <c r="D591" s="84" t="s">
        <v>163</v>
      </c>
      <c r="E591" s="49" t="s">
        <v>173</v>
      </c>
      <c r="F591" s="66">
        <v>44440.614120370403</v>
      </c>
      <c r="G591" s="64">
        <v>44440.678807870398</v>
      </c>
      <c r="H591" s="250"/>
      <c r="I591" s="52"/>
      <c r="J591" s="53"/>
      <c r="K591" s="92" t="s">
        <v>85</v>
      </c>
      <c r="L591" s="101">
        <v>12000</v>
      </c>
      <c r="M591" s="56" t="s">
        <v>86</v>
      </c>
    </row>
    <row r="592" spans="1:13" x14ac:dyDescent="0.4">
      <c r="A592" s="35">
        <v>578</v>
      </c>
      <c r="B592" s="92" t="s">
        <v>80</v>
      </c>
      <c r="C592" s="56" t="s">
        <v>267</v>
      </c>
      <c r="D592" s="84" t="s">
        <v>164</v>
      </c>
      <c r="E592" s="49" t="s">
        <v>173</v>
      </c>
      <c r="F592" s="66">
        <v>44440.614120370403</v>
      </c>
      <c r="G592" s="64">
        <v>44440.678807870398</v>
      </c>
      <c r="H592" s="250"/>
      <c r="I592" s="116">
        <v>44471.423796296302</v>
      </c>
      <c r="J592" s="117">
        <v>44469.650856481501</v>
      </c>
      <c r="K592" s="92" t="s">
        <v>85</v>
      </c>
      <c r="L592" s="101">
        <v>12000</v>
      </c>
      <c r="M592" s="56" t="s">
        <v>86</v>
      </c>
    </row>
    <row r="593" spans="1:13" x14ac:dyDescent="0.4">
      <c r="A593" s="35">
        <v>579</v>
      </c>
      <c r="B593" s="92" t="s">
        <v>80</v>
      </c>
      <c r="C593" s="56" t="s">
        <v>267</v>
      </c>
      <c r="D593" s="84" t="s">
        <v>165</v>
      </c>
      <c r="E593" s="49" t="s">
        <v>173</v>
      </c>
      <c r="F593" s="66">
        <v>44440.614120370403</v>
      </c>
      <c r="G593" s="64">
        <v>44440.678807870398</v>
      </c>
      <c r="H593" s="250"/>
      <c r="I593" s="116">
        <v>44471.423796296302</v>
      </c>
      <c r="J593" s="117">
        <v>44469.650856481501</v>
      </c>
      <c r="K593" s="92" t="s">
        <v>85</v>
      </c>
      <c r="L593" s="101">
        <v>12000</v>
      </c>
      <c r="M593" s="56" t="s">
        <v>86</v>
      </c>
    </row>
    <row r="594" spans="1:13" x14ac:dyDescent="0.4">
      <c r="A594" s="35">
        <v>580</v>
      </c>
      <c r="B594" s="92" t="s">
        <v>80</v>
      </c>
      <c r="C594" s="56" t="s">
        <v>267</v>
      </c>
      <c r="D594" s="84" t="s">
        <v>166</v>
      </c>
      <c r="E594" s="49" t="s">
        <v>173</v>
      </c>
      <c r="F594" s="66">
        <v>44440.614120370403</v>
      </c>
      <c r="G594" s="64">
        <v>44440.678807870398</v>
      </c>
      <c r="H594" s="250"/>
      <c r="I594" s="116">
        <v>44471.423796296302</v>
      </c>
      <c r="J594" s="117">
        <v>44469.650856481501</v>
      </c>
      <c r="K594" s="92" t="s">
        <v>85</v>
      </c>
      <c r="L594" s="101">
        <v>12000</v>
      </c>
      <c r="M594" s="56" t="s">
        <v>86</v>
      </c>
    </row>
    <row r="595" spans="1:13" x14ac:dyDescent="0.4">
      <c r="A595" s="35">
        <v>581</v>
      </c>
      <c r="B595" s="92" t="s">
        <v>80</v>
      </c>
      <c r="C595" s="56" t="s">
        <v>267</v>
      </c>
      <c r="D595" s="84" t="s">
        <v>167</v>
      </c>
      <c r="E595" s="49" t="s">
        <v>173</v>
      </c>
      <c r="F595" s="66">
        <v>44440.614120370403</v>
      </c>
      <c r="G595" s="64">
        <v>44440.678807870398</v>
      </c>
      <c r="H595" s="250"/>
      <c r="I595" s="116">
        <v>44479.451539351903</v>
      </c>
      <c r="J595" s="117">
        <v>44477.620266203703</v>
      </c>
      <c r="K595" s="92" t="s">
        <v>85</v>
      </c>
      <c r="L595" s="101">
        <v>12000</v>
      </c>
      <c r="M595" s="56" t="s">
        <v>86</v>
      </c>
    </row>
    <row r="596" spans="1:13" x14ac:dyDescent="0.4">
      <c r="A596" s="35">
        <v>582</v>
      </c>
      <c r="B596" s="92" t="s">
        <v>80</v>
      </c>
      <c r="C596" s="56" t="s">
        <v>267</v>
      </c>
      <c r="D596" s="84" t="s">
        <v>168</v>
      </c>
      <c r="E596" s="49" t="s">
        <v>173</v>
      </c>
      <c r="F596" s="66">
        <v>44440.614120370403</v>
      </c>
      <c r="G596" s="64">
        <v>44440.678807870398</v>
      </c>
      <c r="H596" s="250"/>
      <c r="I596" s="116">
        <v>44479.451539351903</v>
      </c>
      <c r="J596" s="117">
        <v>44477.620266203703</v>
      </c>
      <c r="K596" s="92" t="s">
        <v>85</v>
      </c>
      <c r="L596" s="101">
        <v>12000</v>
      </c>
      <c r="M596" s="56" t="s">
        <v>86</v>
      </c>
    </row>
    <row r="597" spans="1:13" x14ac:dyDescent="0.4">
      <c r="A597" s="35">
        <v>583</v>
      </c>
      <c r="B597" s="92" t="s">
        <v>80</v>
      </c>
      <c r="C597" s="56" t="s">
        <v>267</v>
      </c>
      <c r="D597" s="84" t="s">
        <v>169</v>
      </c>
      <c r="E597" s="49" t="s">
        <v>173</v>
      </c>
      <c r="F597" s="66">
        <v>44440.614120370403</v>
      </c>
      <c r="G597" s="64">
        <v>44440.678807870398</v>
      </c>
      <c r="H597" s="250"/>
      <c r="I597" s="52"/>
      <c r="J597" s="53"/>
      <c r="K597" s="92" t="s">
        <v>85</v>
      </c>
      <c r="L597" s="101">
        <v>12000</v>
      </c>
      <c r="M597" s="56" t="s">
        <v>86</v>
      </c>
    </row>
    <row r="598" spans="1:13" x14ac:dyDescent="0.4">
      <c r="A598" s="35">
        <v>584</v>
      </c>
      <c r="B598" s="92" t="s">
        <v>80</v>
      </c>
      <c r="C598" s="56" t="s">
        <v>267</v>
      </c>
      <c r="D598" s="84" t="s">
        <v>170</v>
      </c>
      <c r="E598" s="49" t="s">
        <v>173</v>
      </c>
      <c r="F598" s="66">
        <v>44440.614120370403</v>
      </c>
      <c r="G598" s="64">
        <v>44440.678807870398</v>
      </c>
      <c r="H598" s="250"/>
      <c r="I598" s="52"/>
      <c r="J598" s="53"/>
      <c r="K598" s="92" t="s">
        <v>85</v>
      </c>
      <c r="L598" s="101">
        <v>12000</v>
      </c>
      <c r="M598" s="56" t="s">
        <v>86</v>
      </c>
    </row>
    <row r="599" spans="1:13" x14ac:dyDescent="0.4">
      <c r="A599" s="35">
        <v>585</v>
      </c>
      <c r="B599" s="92" t="s">
        <v>80</v>
      </c>
      <c r="C599" s="56" t="s">
        <v>81</v>
      </c>
      <c r="D599" s="84" t="s">
        <v>277</v>
      </c>
      <c r="E599" s="49" t="s">
        <v>173</v>
      </c>
      <c r="F599" s="66">
        <v>44440.614120370403</v>
      </c>
      <c r="G599" s="64">
        <v>44440.678807870398</v>
      </c>
      <c r="H599" s="250"/>
      <c r="I599" s="61">
        <v>44874.493842592601</v>
      </c>
      <c r="J599" s="61">
        <v>44873.425393518497</v>
      </c>
      <c r="K599" s="92" t="s">
        <v>85</v>
      </c>
      <c r="L599" s="101">
        <v>12000</v>
      </c>
      <c r="M599" s="56" t="s">
        <v>86</v>
      </c>
    </row>
    <row r="600" spans="1:13" x14ac:dyDescent="0.4">
      <c r="A600" s="35">
        <v>586</v>
      </c>
      <c r="B600" s="92" t="s">
        <v>80</v>
      </c>
      <c r="C600" s="56" t="s">
        <v>81</v>
      </c>
      <c r="D600" s="84" t="s">
        <v>278</v>
      </c>
      <c r="E600" s="49" t="s">
        <v>173</v>
      </c>
      <c r="F600" s="66">
        <v>44440.614120370403</v>
      </c>
      <c r="G600" s="64">
        <v>44440.678807870398</v>
      </c>
      <c r="H600" s="250"/>
      <c r="I600" s="61">
        <v>44874.493842592601</v>
      </c>
      <c r="J600" s="61">
        <v>44873.425439814797</v>
      </c>
      <c r="K600" s="92" t="s">
        <v>85</v>
      </c>
      <c r="L600" s="101">
        <v>12000</v>
      </c>
      <c r="M600" s="56" t="s">
        <v>86</v>
      </c>
    </row>
    <row r="601" spans="1:13" x14ac:dyDescent="0.4">
      <c r="A601" s="35">
        <v>587</v>
      </c>
      <c r="B601" s="92" t="s">
        <v>80</v>
      </c>
      <c r="C601" s="56" t="s">
        <v>81</v>
      </c>
      <c r="D601" s="84" t="s">
        <v>279</v>
      </c>
      <c r="E601" s="49" t="s">
        <v>173</v>
      </c>
      <c r="F601" s="66">
        <v>44440.614120370403</v>
      </c>
      <c r="G601" s="64">
        <v>44440.678807870398</v>
      </c>
      <c r="H601" s="250"/>
      <c r="I601" s="61">
        <v>44874.493842592601</v>
      </c>
      <c r="J601" s="61">
        <v>44873.425474536998</v>
      </c>
      <c r="K601" s="92" t="s">
        <v>85</v>
      </c>
      <c r="L601" s="101">
        <v>12000</v>
      </c>
      <c r="M601" s="56" t="s">
        <v>86</v>
      </c>
    </row>
    <row r="602" spans="1:13" x14ac:dyDescent="0.4">
      <c r="A602" s="35">
        <v>588</v>
      </c>
      <c r="B602" s="92" t="s">
        <v>80</v>
      </c>
      <c r="C602" s="56" t="s">
        <v>81</v>
      </c>
      <c r="D602" s="84" t="s">
        <v>280</v>
      </c>
      <c r="E602" s="49" t="s">
        <v>173</v>
      </c>
      <c r="F602" s="66">
        <v>44440.614120370403</v>
      </c>
      <c r="G602" s="64">
        <v>44440.678807870398</v>
      </c>
      <c r="H602" s="250"/>
      <c r="I602" s="61">
        <v>44874.500370370399</v>
      </c>
      <c r="J602" s="61">
        <v>44873.425509259301</v>
      </c>
      <c r="K602" s="92" t="s">
        <v>85</v>
      </c>
      <c r="L602" s="101">
        <v>12000</v>
      </c>
      <c r="M602" s="56" t="s">
        <v>86</v>
      </c>
    </row>
    <row r="603" spans="1:13" x14ac:dyDescent="0.4">
      <c r="A603" s="35">
        <v>589</v>
      </c>
      <c r="B603" s="92" t="s">
        <v>80</v>
      </c>
      <c r="C603" s="56" t="s">
        <v>81</v>
      </c>
      <c r="D603" s="84" t="s">
        <v>281</v>
      </c>
      <c r="E603" s="49" t="s">
        <v>173</v>
      </c>
      <c r="F603" s="66">
        <v>44440.614120370403</v>
      </c>
      <c r="G603" s="64">
        <v>44440.678807870398</v>
      </c>
      <c r="H603" s="250"/>
      <c r="I603" s="61">
        <v>44874.500370370399</v>
      </c>
      <c r="J603" s="61">
        <v>44873.425555555601</v>
      </c>
      <c r="K603" s="92" t="s">
        <v>85</v>
      </c>
      <c r="L603" s="101">
        <v>12000</v>
      </c>
      <c r="M603" s="56" t="s">
        <v>86</v>
      </c>
    </row>
    <row r="604" spans="1:13" x14ac:dyDescent="0.4">
      <c r="A604" s="35">
        <v>590</v>
      </c>
      <c r="B604" s="92" t="s">
        <v>80</v>
      </c>
      <c r="C604" s="56" t="s">
        <v>81</v>
      </c>
      <c r="D604" s="84" t="s">
        <v>282</v>
      </c>
      <c r="E604" s="49" t="s">
        <v>173</v>
      </c>
      <c r="F604" s="66">
        <v>44440.614120370403</v>
      </c>
      <c r="G604" s="64">
        <v>44440.678807870398</v>
      </c>
      <c r="H604" s="250"/>
      <c r="I604" s="61">
        <v>44874.500370370399</v>
      </c>
      <c r="J604" s="61">
        <v>44873.425601851799</v>
      </c>
      <c r="K604" s="92" t="s">
        <v>85</v>
      </c>
      <c r="L604" s="101">
        <v>12000</v>
      </c>
      <c r="M604" s="56" t="s">
        <v>86</v>
      </c>
    </row>
    <row r="605" spans="1:13" x14ac:dyDescent="0.4">
      <c r="A605" s="35">
        <v>591</v>
      </c>
      <c r="B605" s="92" t="s">
        <v>80</v>
      </c>
      <c r="C605" s="56" t="s">
        <v>81</v>
      </c>
      <c r="D605" s="84" t="s">
        <v>283</v>
      </c>
      <c r="E605" s="49" t="s">
        <v>173</v>
      </c>
      <c r="F605" s="66">
        <v>44440.614120370403</v>
      </c>
      <c r="G605" s="64">
        <v>44440.678807870398</v>
      </c>
      <c r="H605" s="250"/>
      <c r="I605" s="61">
        <v>44874.500370370399</v>
      </c>
      <c r="J605" s="61">
        <v>44873.425636574102</v>
      </c>
      <c r="K605" s="92" t="s">
        <v>85</v>
      </c>
      <c r="L605" s="101">
        <v>12000</v>
      </c>
      <c r="M605" s="56" t="s">
        <v>86</v>
      </c>
    </row>
    <row r="606" spans="1:13" x14ac:dyDescent="0.4">
      <c r="A606" s="35">
        <v>592</v>
      </c>
      <c r="B606" s="92" t="s">
        <v>80</v>
      </c>
      <c r="C606" s="56" t="s">
        <v>81</v>
      </c>
      <c r="D606" s="84" t="s">
        <v>284</v>
      </c>
      <c r="E606" s="49" t="s">
        <v>173</v>
      </c>
      <c r="F606" s="66">
        <v>44440.614120370403</v>
      </c>
      <c r="G606" s="64">
        <v>44440.678807870398</v>
      </c>
      <c r="H606" s="250"/>
      <c r="I606" s="61">
        <v>44874.507291666698</v>
      </c>
      <c r="J606" s="61">
        <v>44873.425682870402</v>
      </c>
      <c r="K606" s="92" t="s">
        <v>85</v>
      </c>
      <c r="L606" s="101">
        <v>12000</v>
      </c>
      <c r="M606" s="56" t="s">
        <v>86</v>
      </c>
    </row>
    <row r="607" spans="1:13" x14ac:dyDescent="0.4">
      <c r="A607" s="35">
        <v>593</v>
      </c>
      <c r="B607" s="92" t="s">
        <v>80</v>
      </c>
      <c r="C607" s="56" t="s">
        <v>81</v>
      </c>
      <c r="D607" s="84" t="s">
        <v>285</v>
      </c>
      <c r="E607" s="49" t="s">
        <v>173</v>
      </c>
      <c r="F607" s="66">
        <v>44440.614120370403</v>
      </c>
      <c r="G607" s="64">
        <v>44440.678807870398</v>
      </c>
      <c r="H607" s="250"/>
      <c r="I607" s="61">
        <v>44874.507280092599</v>
      </c>
      <c r="J607" s="61">
        <v>44873.425717592603</v>
      </c>
      <c r="K607" s="92" t="s">
        <v>85</v>
      </c>
      <c r="L607" s="101">
        <v>12000</v>
      </c>
      <c r="M607" s="56" t="s">
        <v>86</v>
      </c>
    </row>
    <row r="608" spans="1:13" x14ac:dyDescent="0.4">
      <c r="A608" s="35">
        <v>594</v>
      </c>
      <c r="B608" s="92" t="s">
        <v>80</v>
      </c>
      <c r="C608" s="56" t="s">
        <v>81</v>
      </c>
      <c r="D608" s="84" t="s">
        <v>286</v>
      </c>
      <c r="E608" s="49" t="s">
        <v>173</v>
      </c>
      <c r="F608" s="66">
        <v>44440.614120370403</v>
      </c>
      <c r="G608" s="64">
        <v>44440.678807870398</v>
      </c>
      <c r="H608" s="250"/>
      <c r="I608" s="61">
        <v>44874.507280092599</v>
      </c>
      <c r="J608" s="61">
        <v>44873.425752314797</v>
      </c>
      <c r="K608" s="92" t="s">
        <v>85</v>
      </c>
      <c r="L608" s="101">
        <v>12000</v>
      </c>
      <c r="M608" s="56" t="s">
        <v>86</v>
      </c>
    </row>
    <row r="609" spans="1:13" x14ac:dyDescent="0.4">
      <c r="A609" s="35">
        <v>595</v>
      </c>
      <c r="B609" s="92" t="s">
        <v>80</v>
      </c>
      <c r="C609" s="56" t="s">
        <v>81</v>
      </c>
      <c r="D609" s="84" t="s">
        <v>287</v>
      </c>
      <c r="E609" s="49" t="s">
        <v>173</v>
      </c>
      <c r="F609" s="66">
        <v>44440.614120370403</v>
      </c>
      <c r="G609" s="64">
        <v>44440.678807870398</v>
      </c>
      <c r="H609" s="250"/>
      <c r="I609" s="61">
        <v>44874.514282407399</v>
      </c>
      <c r="J609" s="61">
        <v>44873.427037037</v>
      </c>
      <c r="K609" s="92" t="s">
        <v>85</v>
      </c>
      <c r="L609" s="101">
        <v>12000</v>
      </c>
      <c r="M609" s="56" t="s">
        <v>86</v>
      </c>
    </row>
    <row r="610" spans="1:13" x14ac:dyDescent="0.4">
      <c r="A610" s="35">
        <v>596</v>
      </c>
      <c r="B610" s="92" t="s">
        <v>80</v>
      </c>
      <c r="C610" s="56" t="s">
        <v>81</v>
      </c>
      <c r="D610" s="84" t="s">
        <v>288</v>
      </c>
      <c r="E610" s="49" t="s">
        <v>173</v>
      </c>
      <c r="F610" s="66">
        <v>44440.614120370403</v>
      </c>
      <c r="G610" s="64">
        <v>44440.678807870398</v>
      </c>
      <c r="H610" s="250"/>
      <c r="I610" s="61">
        <v>44874.618680555599</v>
      </c>
      <c r="J610" s="61">
        <v>44873.427094907398</v>
      </c>
      <c r="K610" s="92" t="s">
        <v>85</v>
      </c>
      <c r="L610" s="101">
        <v>12000</v>
      </c>
      <c r="M610" s="56" t="s">
        <v>86</v>
      </c>
    </row>
    <row r="611" spans="1:13" x14ac:dyDescent="0.4">
      <c r="A611" s="35">
        <v>597</v>
      </c>
      <c r="B611" s="92" t="s">
        <v>80</v>
      </c>
      <c r="C611" s="56" t="s">
        <v>81</v>
      </c>
      <c r="D611" s="84" t="s">
        <v>289</v>
      </c>
      <c r="E611" s="49" t="s">
        <v>173</v>
      </c>
      <c r="F611" s="66">
        <v>44440.614120370403</v>
      </c>
      <c r="G611" s="64">
        <v>44440.678807870398</v>
      </c>
      <c r="H611" s="250"/>
      <c r="I611" s="61">
        <v>44874.625972222202</v>
      </c>
      <c r="J611" s="61">
        <v>44873.427141203698</v>
      </c>
      <c r="K611" s="92" t="s">
        <v>85</v>
      </c>
      <c r="L611" s="101">
        <v>12000</v>
      </c>
      <c r="M611" s="56" t="s">
        <v>86</v>
      </c>
    </row>
    <row r="612" spans="1:13" x14ac:dyDescent="0.4">
      <c r="A612" s="35">
        <v>598</v>
      </c>
      <c r="B612" s="92" t="s">
        <v>80</v>
      </c>
      <c r="C612" s="56" t="s">
        <v>81</v>
      </c>
      <c r="D612" s="84" t="s">
        <v>290</v>
      </c>
      <c r="E612" s="49" t="s">
        <v>173</v>
      </c>
      <c r="F612" s="66">
        <v>44440.614120370403</v>
      </c>
      <c r="G612" s="64">
        <v>44440.678807870398</v>
      </c>
      <c r="H612" s="250"/>
      <c r="I612" s="61">
        <v>44905.722453703696</v>
      </c>
      <c r="J612" s="61">
        <v>44903.748506944401</v>
      </c>
      <c r="K612" s="92" t="s">
        <v>85</v>
      </c>
      <c r="L612" s="101">
        <v>12000</v>
      </c>
      <c r="M612" s="56" t="s">
        <v>86</v>
      </c>
    </row>
    <row r="613" spans="1:13" x14ac:dyDescent="0.4">
      <c r="A613" s="35">
        <v>599</v>
      </c>
      <c r="B613" s="92" t="s">
        <v>80</v>
      </c>
      <c r="C613" s="56" t="s">
        <v>81</v>
      </c>
      <c r="D613" s="84" t="s">
        <v>291</v>
      </c>
      <c r="E613" s="49" t="s">
        <v>173</v>
      </c>
      <c r="F613" s="66">
        <v>44440.614120370403</v>
      </c>
      <c r="G613" s="64">
        <v>44440.678807870398</v>
      </c>
      <c r="H613" s="250"/>
      <c r="I613" s="61">
        <v>44905.715509259302</v>
      </c>
      <c r="J613" s="61">
        <v>44903.748553240701</v>
      </c>
      <c r="K613" s="92" t="s">
        <v>85</v>
      </c>
      <c r="L613" s="101">
        <v>12000</v>
      </c>
      <c r="M613" s="56" t="s">
        <v>86</v>
      </c>
    </row>
    <row r="614" spans="1:13" x14ac:dyDescent="0.4">
      <c r="A614" s="35">
        <v>600</v>
      </c>
      <c r="B614" s="92" t="s">
        <v>80</v>
      </c>
      <c r="C614" s="56" t="s">
        <v>81</v>
      </c>
      <c r="D614" s="84" t="s">
        <v>292</v>
      </c>
      <c r="E614" s="49" t="s">
        <v>173</v>
      </c>
      <c r="F614" s="66">
        <v>44440.614120370403</v>
      </c>
      <c r="G614" s="64">
        <v>44440.678807870398</v>
      </c>
      <c r="H614" s="250"/>
      <c r="I614" s="61">
        <v>44905.722453703696</v>
      </c>
      <c r="J614" s="61">
        <v>44903.748587962997</v>
      </c>
      <c r="K614" s="92" t="s">
        <v>85</v>
      </c>
      <c r="L614" s="101">
        <v>12000</v>
      </c>
      <c r="M614" s="56" t="s">
        <v>86</v>
      </c>
    </row>
    <row r="615" spans="1:13" x14ac:dyDescent="0.4">
      <c r="A615" s="35">
        <v>601</v>
      </c>
      <c r="B615" s="92" t="s">
        <v>80</v>
      </c>
      <c r="C615" s="56" t="s">
        <v>81</v>
      </c>
      <c r="D615" s="84" t="s">
        <v>293</v>
      </c>
      <c r="E615" s="49" t="s">
        <v>173</v>
      </c>
      <c r="F615" s="66">
        <v>44440.614120370403</v>
      </c>
      <c r="G615" s="64">
        <v>44440.678807870398</v>
      </c>
      <c r="H615" s="250"/>
      <c r="I615" s="61">
        <v>44890.695</v>
      </c>
      <c r="J615" s="61">
        <v>44890.708888888897</v>
      </c>
      <c r="K615" s="92" t="s">
        <v>85</v>
      </c>
      <c r="L615" s="101">
        <v>12000</v>
      </c>
      <c r="M615" s="56" t="s">
        <v>86</v>
      </c>
    </row>
    <row r="616" spans="1:13" x14ac:dyDescent="0.4">
      <c r="A616" s="35">
        <v>602</v>
      </c>
      <c r="B616" s="92" t="s">
        <v>80</v>
      </c>
      <c r="C616" s="56" t="s">
        <v>81</v>
      </c>
      <c r="D616" s="84" t="s">
        <v>294</v>
      </c>
      <c r="E616" s="49" t="s">
        <v>173</v>
      </c>
      <c r="F616" s="66">
        <v>44440.614120370403</v>
      </c>
      <c r="G616" s="64">
        <v>44440.678807870398</v>
      </c>
      <c r="H616" s="250"/>
      <c r="I616" s="61">
        <v>44905.722453703696</v>
      </c>
      <c r="J616" s="61">
        <v>44903.748622685198</v>
      </c>
      <c r="K616" s="92" t="s">
        <v>85</v>
      </c>
      <c r="L616" s="101">
        <v>12000</v>
      </c>
      <c r="M616" s="56" t="s">
        <v>86</v>
      </c>
    </row>
    <row r="617" spans="1:13" x14ac:dyDescent="0.4">
      <c r="A617" s="35">
        <v>603</v>
      </c>
      <c r="B617" s="92" t="s">
        <v>80</v>
      </c>
      <c r="C617" s="56" t="s">
        <v>81</v>
      </c>
      <c r="D617" s="84" t="s">
        <v>295</v>
      </c>
      <c r="E617" s="49" t="s">
        <v>173</v>
      </c>
      <c r="F617" s="66">
        <v>44440.614120370403</v>
      </c>
      <c r="G617" s="64">
        <v>44440.678807870398</v>
      </c>
      <c r="H617" s="250"/>
      <c r="I617" s="61">
        <v>44906.5002662037</v>
      </c>
      <c r="J617" s="61">
        <v>44904.5541898148</v>
      </c>
      <c r="K617" s="92" t="s">
        <v>85</v>
      </c>
      <c r="L617" s="101">
        <v>12000</v>
      </c>
      <c r="M617" s="56" t="s">
        <v>86</v>
      </c>
    </row>
    <row r="618" spans="1:13" x14ac:dyDescent="0.4">
      <c r="A618" s="35">
        <v>604</v>
      </c>
      <c r="B618" s="92" t="s">
        <v>80</v>
      </c>
      <c r="C618" s="56" t="s">
        <v>81</v>
      </c>
      <c r="D618" s="84" t="s">
        <v>296</v>
      </c>
      <c r="E618" s="49" t="s">
        <v>173</v>
      </c>
      <c r="F618" s="66">
        <v>44440.614120370403</v>
      </c>
      <c r="G618" s="64">
        <v>44440.678807870398</v>
      </c>
      <c r="H618" s="250"/>
      <c r="I618" s="61">
        <v>44906.472523148099</v>
      </c>
      <c r="J618" s="61">
        <v>44904.554259259297</v>
      </c>
      <c r="K618" s="92" t="s">
        <v>85</v>
      </c>
      <c r="L618" s="101">
        <v>12000</v>
      </c>
      <c r="M618" s="56" t="s">
        <v>86</v>
      </c>
    </row>
    <row r="619" spans="1:13" x14ac:dyDescent="0.4">
      <c r="A619" s="35">
        <v>605</v>
      </c>
      <c r="B619" s="92" t="s">
        <v>80</v>
      </c>
      <c r="C619" s="56" t="s">
        <v>81</v>
      </c>
      <c r="D619" s="84" t="s">
        <v>297</v>
      </c>
      <c r="E619" s="49" t="s">
        <v>173</v>
      </c>
      <c r="F619" s="66">
        <v>44440.614120370403</v>
      </c>
      <c r="G619" s="64">
        <v>44440.678807870398</v>
      </c>
      <c r="H619" s="250"/>
      <c r="I619" s="61">
        <v>44906.4793055556</v>
      </c>
      <c r="J619" s="61">
        <v>44904.554293981499</v>
      </c>
      <c r="K619" s="92" t="s">
        <v>85</v>
      </c>
      <c r="L619" s="101">
        <v>12000</v>
      </c>
      <c r="M619" s="56" t="s">
        <v>86</v>
      </c>
    </row>
    <row r="620" spans="1:13" x14ac:dyDescent="0.4">
      <c r="A620" s="35">
        <v>606</v>
      </c>
      <c r="B620" s="92" t="s">
        <v>80</v>
      </c>
      <c r="C620" s="56" t="s">
        <v>81</v>
      </c>
      <c r="D620" s="84" t="s">
        <v>298</v>
      </c>
      <c r="E620" s="49" t="s">
        <v>173</v>
      </c>
      <c r="F620" s="66">
        <v>44440.614120370403</v>
      </c>
      <c r="G620" s="64">
        <v>44440.678807870398</v>
      </c>
      <c r="H620" s="250"/>
      <c r="I620" s="61">
        <v>44906.493229166699</v>
      </c>
      <c r="J620" s="61">
        <v>44904.5543287037</v>
      </c>
      <c r="K620" s="92" t="s">
        <v>85</v>
      </c>
      <c r="L620" s="101">
        <v>12000</v>
      </c>
      <c r="M620" s="56" t="s">
        <v>86</v>
      </c>
    </row>
    <row r="621" spans="1:13" x14ac:dyDescent="0.4">
      <c r="A621" s="35">
        <v>607</v>
      </c>
      <c r="B621" s="92" t="s">
        <v>80</v>
      </c>
      <c r="C621" s="56" t="s">
        <v>81</v>
      </c>
      <c r="D621" s="84" t="s">
        <v>299</v>
      </c>
      <c r="E621" s="49" t="s">
        <v>173</v>
      </c>
      <c r="F621" s="66">
        <v>44440.614120370403</v>
      </c>
      <c r="G621" s="64">
        <v>44440.678807870398</v>
      </c>
      <c r="H621" s="250"/>
      <c r="I621" s="61">
        <v>44906.493229166699</v>
      </c>
      <c r="J621" s="61">
        <v>44904.554375</v>
      </c>
      <c r="K621" s="92" t="s">
        <v>85</v>
      </c>
      <c r="L621" s="101">
        <v>12000</v>
      </c>
      <c r="M621" s="56" t="s">
        <v>86</v>
      </c>
    </row>
    <row r="622" spans="1:13" x14ac:dyDescent="0.4">
      <c r="A622" s="35">
        <v>608</v>
      </c>
      <c r="B622" s="92" t="s">
        <v>80</v>
      </c>
      <c r="C622" s="56" t="s">
        <v>81</v>
      </c>
      <c r="D622" s="84" t="s">
        <v>300</v>
      </c>
      <c r="E622" s="49" t="s">
        <v>173</v>
      </c>
      <c r="F622" s="66">
        <v>44440.614120370403</v>
      </c>
      <c r="G622" s="64">
        <v>44440.678807870398</v>
      </c>
      <c r="H622" s="250"/>
      <c r="I622" s="61">
        <v>44906.493229166699</v>
      </c>
      <c r="J622" s="61">
        <v>44904.554409722201</v>
      </c>
      <c r="K622" s="92" t="s">
        <v>85</v>
      </c>
      <c r="L622" s="101">
        <v>12000</v>
      </c>
      <c r="M622" s="56" t="s">
        <v>86</v>
      </c>
    </row>
    <row r="623" spans="1:13" x14ac:dyDescent="0.4">
      <c r="A623" s="35">
        <v>609</v>
      </c>
      <c r="B623" s="92" t="s">
        <v>80</v>
      </c>
      <c r="C623" s="56" t="s">
        <v>81</v>
      </c>
      <c r="D623" s="84" t="s">
        <v>301</v>
      </c>
      <c r="E623" s="49" t="s">
        <v>173</v>
      </c>
      <c r="F623" s="66">
        <v>44440.614120370403</v>
      </c>
      <c r="G623" s="64">
        <v>44440.678807870398</v>
      </c>
      <c r="H623" s="250"/>
      <c r="I623" s="61">
        <v>44906.493229166699</v>
      </c>
      <c r="J623" s="61">
        <v>44904.554560185199</v>
      </c>
      <c r="K623" s="92" t="s">
        <v>85</v>
      </c>
      <c r="L623" s="101">
        <v>12000</v>
      </c>
      <c r="M623" s="56" t="s">
        <v>86</v>
      </c>
    </row>
    <row r="624" spans="1:13" x14ac:dyDescent="0.4">
      <c r="A624" s="35">
        <v>610</v>
      </c>
      <c r="B624" s="92" t="s">
        <v>80</v>
      </c>
      <c r="C624" s="56" t="s">
        <v>81</v>
      </c>
      <c r="D624" s="84" t="s">
        <v>302</v>
      </c>
      <c r="E624" s="49" t="s">
        <v>173</v>
      </c>
      <c r="F624" s="66">
        <v>44440.614120370403</v>
      </c>
      <c r="G624" s="64">
        <v>44440.678807870398</v>
      </c>
      <c r="H624" s="250"/>
      <c r="I624" s="61">
        <v>44906.493229166699</v>
      </c>
      <c r="J624" s="61">
        <v>44904.554606481499</v>
      </c>
      <c r="K624" s="92" t="s">
        <v>85</v>
      </c>
      <c r="L624" s="101">
        <v>12000</v>
      </c>
      <c r="M624" s="56" t="s">
        <v>86</v>
      </c>
    </row>
    <row r="625" spans="1:13" x14ac:dyDescent="0.4">
      <c r="A625" s="35">
        <v>611</v>
      </c>
      <c r="B625" s="92" t="s">
        <v>80</v>
      </c>
      <c r="C625" s="56" t="s">
        <v>81</v>
      </c>
      <c r="D625" s="84" t="s">
        <v>303</v>
      </c>
      <c r="E625" s="49" t="s">
        <v>173</v>
      </c>
      <c r="F625" s="66">
        <v>44440.614120370403</v>
      </c>
      <c r="G625" s="64">
        <v>44440.678807870398</v>
      </c>
      <c r="H625" s="250"/>
      <c r="I625" s="61">
        <v>44912.500196759298</v>
      </c>
      <c r="J625" s="61">
        <v>44910.538981481499</v>
      </c>
      <c r="K625" s="92" t="s">
        <v>85</v>
      </c>
      <c r="L625" s="101">
        <v>12000</v>
      </c>
      <c r="M625" s="56" t="s">
        <v>86</v>
      </c>
    </row>
    <row r="626" spans="1:13" x14ac:dyDescent="0.4">
      <c r="A626" s="35">
        <v>612</v>
      </c>
      <c r="B626" s="92" t="s">
        <v>80</v>
      </c>
      <c r="C626" s="56" t="s">
        <v>81</v>
      </c>
      <c r="D626" s="84" t="s">
        <v>304</v>
      </c>
      <c r="E626" s="49" t="s">
        <v>173</v>
      </c>
      <c r="F626" s="66">
        <v>44440.614120370403</v>
      </c>
      <c r="G626" s="64">
        <v>44440.678807870398</v>
      </c>
      <c r="H626" s="250"/>
      <c r="I626" s="61">
        <v>44912.639085648101</v>
      </c>
      <c r="J626" s="61">
        <v>44914.4355671296</v>
      </c>
      <c r="K626" s="92" t="s">
        <v>85</v>
      </c>
      <c r="L626" s="101">
        <v>12000</v>
      </c>
      <c r="M626" s="56" t="s">
        <v>86</v>
      </c>
    </row>
    <row r="627" spans="1:13" x14ac:dyDescent="0.4">
      <c r="A627" s="35">
        <v>613</v>
      </c>
      <c r="B627" s="92" t="s">
        <v>80</v>
      </c>
      <c r="C627" s="56" t="s">
        <v>81</v>
      </c>
      <c r="D627" s="84" t="s">
        <v>305</v>
      </c>
      <c r="E627" s="49" t="s">
        <v>173</v>
      </c>
      <c r="F627" s="66">
        <v>44440.614120370403</v>
      </c>
      <c r="G627" s="64">
        <v>44440.678807870398</v>
      </c>
      <c r="H627" s="250"/>
      <c r="I627" s="61">
        <v>44874.625972222202</v>
      </c>
      <c r="J627" s="61">
        <v>44873.427187499998</v>
      </c>
      <c r="K627" s="92" t="s">
        <v>85</v>
      </c>
      <c r="L627" s="101">
        <v>12000</v>
      </c>
      <c r="M627" s="56" t="s">
        <v>86</v>
      </c>
    </row>
    <row r="628" spans="1:13" x14ac:dyDescent="0.4">
      <c r="A628" s="35">
        <v>614</v>
      </c>
      <c r="B628" s="92" t="s">
        <v>80</v>
      </c>
      <c r="C628" s="56" t="s">
        <v>81</v>
      </c>
      <c r="D628" s="84" t="s">
        <v>306</v>
      </c>
      <c r="E628" s="49" t="s">
        <v>173</v>
      </c>
      <c r="F628" s="66">
        <v>44440.614120370403</v>
      </c>
      <c r="G628" s="64">
        <v>44440.678807870398</v>
      </c>
      <c r="H628" s="250"/>
      <c r="I628" s="61">
        <v>44874.625972222202</v>
      </c>
      <c r="J628" s="61">
        <v>44873.427245370403</v>
      </c>
      <c r="K628" s="92" t="s">
        <v>85</v>
      </c>
      <c r="L628" s="101">
        <v>12000</v>
      </c>
      <c r="M628" s="56" t="s">
        <v>86</v>
      </c>
    </row>
    <row r="629" spans="1:13" x14ac:dyDescent="0.4">
      <c r="A629" s="35">
        <v>615</v>
      </c>
      <c r="B629" s="92" t="s">
        <v>80</v>
      </c>
      <c r="C629" s="56" t="s">
        <v>267</v>
      </c>
      <c r="D629" s="84" t="s">
        <v>139</v>
      </c>
      <c r="E629" s="49" t="s">
        <v>173</v>
      </c>
      <c r="F629" s="64">
        <v>44441.689594907402</v>
      </c>
      <c r="G629" s="64">
        <v>44441.722442129598</v>
      </c>
      <c r="H629" s="250"/>
      <c r="I629" s="117">
        <v>44482.722442129598</v>
      </c>
      <c r="J629" s="117">
        <v>44481.447280092601</v>
      </c>
      <c r="K629" s="92" t="s">
        <v>85</v>
      </c>
      <c r="L629" s="101">
        <v>12000</v>
      </c>
      <c r="M629" s="56" t="s">
        <v>86</v>
      </c>
    </row>
    <row r="630" spans="1:13" x14ac:dyDescent="0.4">
      <c r="A630" s="35">
        <v>616</v>
      </c>
      <c r="B630" s="92" t="s">
        <v>80</v>
      </c>
      <c r="C630" s="56" t="s">
        <v>267</v>
      </c>
      <c r="D630" s="84" t="s">
        <v>140</v>
      </c>
      <c r="E630" s="49" t="s">
        <v>173</v>
      </c>
      <c r="F630" s="64">
        <v>44441.689594907402</v>
      </c>
      <c r="G630" s="64">
        <v>44441.722442129598</v>
      </c>
      <c r="H630" s="250"/>
      <c r="I630" s="117">
        <v>44482.722442129598</v>
      </c>
      <c r="J630" s="117">
        <v>44481.447280092601</v>
      </c>
      <c r="K630" s="92" t="s">
        <v>85</v>
      </c>
      <c r="L630" s="101">
        <v>12000</v>
      </c>
      <c r="M630" s="56" t="s">
        <v>86</v>
      </c>
    </row>
    <row r="631" spans="1:13" x14ac:dyDescent="0.4">
      <c r="A631" s="35">
        <v>617</v>
      </c>
      <c r="B631" s="92" t="s">
        <v>80</v>
      </c>
      <c r="C631" s="56" t="s">
        <v>267</v>
      </c>
      <c r="D631" s="84" t="s">
        <v>141</v>
      </c>
      <c r="E631" s="49" t="s">
        <v>173</v>
      </c>
      <c r="F631" s="64">
        <v>44441.689594907402</v>
      </c>
      <c r="G631" s="64">
        <v>44441.722442129598</v>
      </c>
      <c r="H631" s="250"/>
      <c r="I631" s="117">
        <v>44471.618483796301</v>
      </c>
      <c r="J631" s="117">
        <v>44469.650243055599</v>
      </c>
      <c r="K631" s="92" t="s">
        <v>85</v>
      </c>
      <c r="L631" s="101">
        <v>12000</v>
      </c>
      <c r="M631" s="56" t="s">
        <v>86</v>
      </c>
    </row>
    <row r="632" spans="1:13" x14ac:dyDescent="0.4">
      <c r="A632" s="35">
        <v>618</v>
      </c>
      <c r="B632" s="92" t="s">
        <v>80</v>
      </c>
      <c r="C632" s="56" t="s">
        <v>267</v>
      </c>
      <c r="D632" s="84" t="s">
        <v>142</v>
      </c>
      <c r="E632" s="49" t="s">
        <v>173</v>
      </c>
      <c r="F632" s="64">
        <v>44441.689594907402</v>
      </c>
      <c r="G632" s="64">
        <v>44441.722442129598</v>
      </c>
      <c r="H632" s="250"/>
      <c r="I632" s="117">
        <v>44471.618483796301</v>
      </c>
      <c r="J632" s="117">
        <v>44469.650243055599</v>
      </c>
      <c r="K632" s="92" t="s">
        <v>85</v>
      </c>
      <c r="L632" s="101">
        <v>12000</v>
      </c>
      <c r="M632" s="56" t="s">
        <v>86</v>
      </c>
    </row>
    <row r="633" spans="1:13" x14ac:dyDescent="0.4">
      <c r="A633" s="35">
        <v>619</v>
      </c>
      <c r="B633" s="92" t="s">
        <v>80</v>
      </c>
      <c r="C633" s="56" t="s">
        <v>267</v>
      </c>
      <c r="D633" s="84" t="s">
        <v>143</v>
      </c>
      <c r="E633" s="49" t="s">
        <v>173</v>
      </c>
      <c r="F633" s="64">
        <v>44441.689594907402</v>
      </c>
      <c r="G633" s="64">
        <v>44441.722442129598</v>
      </c>
      <c r="H633" s="250"/>
      <c r="I633" s="117">
        <v>44471.618483796301</v>
      </c>
      <c r="J633" s="117">
        <v>44469.650243055599</v>
      </c>
      <c r="K633" s="92" t="s">
        <v>85</v>
      </c>
      <c r="L633" s="101">
        <v>12000</v>
      </c>
      <c r="M633" s="56" t="s">
        <v>86</v>
      </c>
    </row>
    <row r="634" spans="1:13" x14ac:dyDescent="0.4">
      <c r="A634" s="35">
        <v>620</v>
      </c>
      <c r="B634" s="92" t="s">
        <v>80</v>
      </c>
      <c r="C634" s="56" t="s">
        <v>267</v>
      </c>
      <c r="D634" s="84" t="s">
        <v>144</v>
      </c>
      <c r="E634" s="49" t="s">
        <v>173</v>
      </c>
      <c r="F634" s="64">
        <v>44441.689594907402</v>
      </c>
      <c r="G634" s="64">
        <v>44441.722442129598</v>
      </c>
      <c r="H634" s="250"/>
      <c r="I634" s="117">
        <v>44482.708587963003</v>
      </c>
      <c r="J634" s="117">
        <v>44481.446712962999</v>
      </c>
      <c r="K634" s="92" t="s">
        <v>85</v>
      </c>
      <c r="L634" s="101">
        <v>12000</v>
      </c>
      <c r="M634" s="56" t="s">
        <v>86</v>
      </c>
    </row>
    <row r="635" spans="1:13" x14ac:dyDescent="0.4">
      <c r="A635" s="35">
        <v>621</v>
      </c>
      <c r="B635" s="92" t="s">
        <v>80</v>
      </c>
      <c r="C635" s="56" t="s">
        <v>267</v>
      </c>
      <c r="D635" s="84" t="s">
        <v>145</v>
      </c>
      <c r="E635" s="49" t="s">
        <v>173</v>
      </c>
      <c r="F635" s="64">
        <v>44441.689594907402</v>
      </c>
      <c r="G635" s="64">
        <v>44441.722442129598</v>
      </c>
      <c r="H635" s="250"/>
      <c r="I635" s="117">
        <v>44471.618483796301</v>
      </c>
      <c r="J635" s="117">
        <v>44469.650243055599</v>
      </c>
      <c r="K635" s="92" t="s">
        <v>85</v>
      </c>
      <c r="L635" s="101">
        <v>12000</v>
      </c>
      <c r="M635" s="56" t="s">
        <v>86</v>
      </c>
    </row>
    <row r="636" spans="1:13" x14ac:dyDescent="0.4">
      <c r="A636" s="35">
        <v>622</v>
      </c>
      <c r="B636" s="92" t="s">
        <v>80</v>
      </c>
      <c r="C636" s="56" t="s">
        <v>267</v>
      </c>
      <c r="D636" s="84" t="s">
        <v>146</v>
      </c>
      <c r="E636" s="49" t="s">
        <v>173</v>
      </c>
      <c r="F636" s="64">
        <v>44441.689594907402</v>
      </c>
      <c r="G636" s="64">
        <v>44441.722442129598</v>
      </c>
      <c r="H636" s="250"/>
      <c r="I636" s="117">
        <v>44482.708587963003</v>
      </c>
      <c r="J636" s="117">
        <v>44481.446712962999</v>
      </c>
      <c r="K636" s="92" t="s">
        <v>85</v>
      </c>
      <c r="L636" s="101">
        <v>12000</v>
      </c>
      <c r="M636" s="56" t="s">
        <v>86</v>
      </c>
    </row>
    <row r="637" spans="1:13" x14ac:dyDescent="0.4">
      <c r="A637" s="35">
        <v>623</v>
      </c>
      <c r="B637" s="92" t="s">
        <v>80</v>
      </c>
      <c r="C637" s="56" t="s">
        <v>267</v>
      </c>
      <c r="D637" s="84" t="s">
        <v>147</v>
      </c>
      <c r="E637" s="49" t="s">
        <v>173</v>
      </c>
      <c r="F637" s="64">
        <v>44441.689594907402</v>
      </c>
      <c r="G637" s="64">
        <v>44441.722442129598</v>
      </c>
      <c r="H637" s="250"/>
      <c r="I637" s="117">
        <v>44482.708587963003</v>
      </c>
      <c r="J637" s="117">
        <v>44481.446712962999</v>
      </c>
      <c r="K637" s="92" t="s">
        <v>85</v>
      </c>
      <c r="L637" s="101">
        <v>12000</v>
      </c>
      <c r="M637" s="56" t="s">
        <v>86</v>
      </c>
    </row>
    <row r="638" spans="1:13" x14ac:dyDescent="0.4">
      <c r="A638" s="35">
        <v>624</v>
      </c>
      <c r="B638" s="92" t="s">
        <v>80</v>
      </c>
      <c r="C638" s="56" t="s">
        <v>267</v>
      </c>
      <c r="D638" s="84" t="s">
        <v>148</v>
      </c>
      <c r="E638" s="49" t="s">
        <v>173</v>
      </c>
      <c r="F638" s="64">
        <v>44441.689594907402</v>
      </c>
      <c r="G638" s="64">
        <v>44441.722442129598</v>
      </c>
      <c r="H638" s="250"/>
      <c r="I638" s="117">
        <v>44482.708587963003</v>
      </c>
      <c r="J638" s="117">
        <v>44481.446712962999</v>
      </c>
      <c r="K638" s="92" t="s">
        <v>85</v>
      </c>
      <c r="L638" s="101">
        <v>12000</v>
      </c>
      <c r="M638" s="56" t="s">
        <v>86</v>
      </c>
    </row>
    <row r="639" spans="1:13" x14ac:dyDescent="0.4">
      <c r="A639" s="35">
        <v>625</v>
      </c>
      <c r="B639" s="92" t="s">
        <v>80</v>
      </c>
      <c r="C639" s="56" t="s">
        <v>267</v>
      </c>
      <c r="D639" s="84" t="s">
        <v>149</v>
      </c>
      <c r="E639" s="49" t="s">
        <v>173</v>
      </c>
      <c r="F639" s="64">
        <v>44441.689594907402</v>
      </c>
      <c r="G639" s="64">
        <v>44441.722442129598</v>
      </c>
      <c r="H639" s="250"/>
      <c r="I639" s="117">
        <v>44471.618680555599</v>
      </c>
      <c r="J639" s="117">
        <v>44469.650439814803</v>
      </c>
      <c r="K639" s="92" t="s">
        <v>85</v>
      </c>
      <c r="L639" s="101">
        <v>12000</v>
      </c>
      <c r="M639" s="56" t="s">
        <v>86</v>
      </c>
    </row>
    <row r="640" spans="1:13" x14ac:dyDescent="0.4">
      <c r="A640" s="35">
        <v>626</v>
      </c>
      <c r="B640" s="92" t="s">
        <v>80</v>
      </c>
      <c r="C640" s="56" t="s">
        <v>267</v>
      </c>
      <c r="D640" s="84" t="s">
        <v>150</v>
      </c>
      <c r="E640" s="49" t="s">
        <v>173</v>
      </c>
      <c r="F640" s="64">
        <v>44441.689594907402</v>
      </c>
      <c r="G640" s="64">
        <v>44441.722442129598</v>
      </c>
      <c r="H640" s="250"/>
      <c r="I640" s="117">
        <v>44482.722442129598</v>
      </c>
      <c r="J640" s="117">
        <v>44481.447222222203</v>
      </c>
      <c r="K640" s="92" t="s">
        <v>85</v>
      </c>
      <c r="L640" s="101">
        <v>12000</v>
      </c>
      <c r="M640" s="56" t="s">
        <v>86</v>
      </c>
    </row>
    <row r="641" spans="1:13" x14ac:dyDescent="0.4">
      <c r="A641" s="35">
        <v>627</v>
      </c>
      <c r="B641" s="92" t="s">
        <v>80</v>
      </c>
      <c r="C641" s="56" t="s">
        <v>267</v>
      </c>
      <c r="D641" s="84" t="s">
        <v>151</v>
      </c>
      <c r="E641" s="49" t="s">
        <v>173</v>
      </c>
      <c r="F641" s="64">
        <v>44441.689594907402</v>
      </c>
      <c r="G641" s="64">
        <v>44441.722442129598</v>
      </c>
      <c r="H641" s="250"/>
      <c r="I641" s="117">
        <v>44471.618680555599</v>
      </c>
      <c r="J641" s="117">
        <v>44469.650439814803</v>
      </c>
      <c r="K641" s="92" t="s">
        <v>85</v>
      </c>
      <c r="L641" s="101">
        <v>12000</v>
      </c>
      <c r="M641" s="56" t="s">
        <v>86</v>
      </c>
    </row>
    <row r="642" spans="1:13" x14ac:dyDescent="0.4">
      <c r="A642" s="35">
        <v>628</v>
      </c>
      <c r="B642" s="92" t="s">
        <v>80</v>
      </c>
      <c r="C642" s="56" t="s">
        <v>267</v>
      </c>
      <c r="D642" s="84" t="s">
        <v>152</v>
      </c>
      <c r="E642" s="49" t="s">
        <v>173</v>
      </c>
      <c r="F642" s="64">
        <v>44441.689594907402</v>
      </c>
      <c r="G642" s="64">
        <v>44441.722442129598</v>
      </c>
      <c r="H642" s="250"/>
      <c r="I642" s="117">
        <v>44482.722442129598</v>
      </c>
      <c r="J642" s="117">
        <v>44481.447222222203</v>
      </c>
      <c r="K642" s="92" t="s">
        <v>85</v>
      </c>
      <c r="L642" s="101">
        <v>12000</v>
      </c>
      <c r="M642" s="56" t="s">
        <v>86</v>
      </c>
    </row>
    <row r="643" spans="1:13" x14ac:dyDescent="0.4">
      <c r="A643" s="35">
        <v>629</v>
      </c>
      <c r="B643" s="92" t="s">
        <v>80</v>
      </c>
      <c r="C643" s="56" t="s">
        <v>267</v>
      </c>
      <c r="D643" s="84" t="s">
        <v>153</v>
      </c>
      <c r="E643" s="49" t="s">
        <v>173</v>
      </c>
      <c r="F643" s="64">
        <v>44441.689594907402</v>
      </c>
      <c r="G643" s="64">
        <v>44441.722442129598</v>
      </c>
      <c r="H643" s="250"/>
      <c r="I643" s="117">
        <v>44471.618680555599</v>
      </c>
      <c r="J643" s="117">
        <v>44469.650439814803</v>
      </c>
      <c r="K643" s="92" t="s">
        <v>85</v>
      </c>
      <c r="L643" s="101">
        <v>12000</v>
      </c>
      <c r="M643" s="56" t="s">
        <v>86</v>
      </c>
    </row>
    <row r="644" spans="1:13" x14ac:dyDescent="0.4">
      <c r="A644" s="35">
        <v>630</v>
      </c>
      <c r="B644" s="92" t="s">
        <v>80</v>
      </c>
      <c r="C644" s="56" t="s">
        <v>267</v>
      </c>
      <c r="D644" s="84" t="s">
        <v>154</v>
      </c>
      <c r="E644" s="49" t="s">
        <v>173</v>
      </c>
      <c r="F644" s="64">
        <v>44441.689594907402</v>
      </c>
      <c r="G644" s="64">
        <v>44441.722442129598</v>
      </c>
      <c r="H644" s="250"/>
      <c r="I644" s="117">
        <v>44482.722442129598</v>
      </c>
      <c r="J644" s="117">
        <v>44481.447280092601</v>
      </c>
      <c r="K644" s="92" t="s">
        <v>85</v>
      </c>
      <c r="L644" s="101">
        <v>12000</v>
      </c>
      <c r="M644" s="56" t="s">
        <v>86</v>
      </c>
    </row>
    <row r="645" spans="1:13" x14ac:dyDescent="0.4">
      <c r="A645" s="35">
        <v>631</v>
      </c>
      <c r="B645" s="92" t="s">
        <v>80</v>
      </c>
      <c r="C645" s="56" t="s">
        <v>267</v>
      </c>
      <c r="D645" s="84" t="s">
        <v>275</v>
      </c>
      <c r="E645" s="49" t="s">
        <v>173</v>
      </c>
      <c r="F645" s="64">
        <v>44441.689594907402</v>
      </c>
      <c r="G645" s="64">
        <v>44441.722442129598</v>
      </c>
      <c r="H645" s="250"/>
      <c r="I645" s="53"/>
      <c r="J645" s="53"/>
      <c r="K645" s="92" t="s">
        <v>85</v>
      </c>
      <c r="L645" s="101">
        <v>12000</v>
      </c>
      <c r="M645" s="56" t="s">
        <v>86</v>
      </c>
    </row>
    <row r="646" spans="1:13" x14ac:dyDescent="0.4">
      <c r="A646" s="35">
        <v>632</v>
      </c>
      <c r="B646" s="92" t="s">
        <v>80</v>
      </c>
      <c r="C646" s="56" t="s">
        <v>267</v>
      </c>
      <c r="D646" s="84" t="s">
        <v>276</v>
      </c>
      <c r="E646" s="49" t="s">
        <v>173</v>
      </c>
      <c r="F646" s="64">
        <v>44441.689594907402</v>
      </c>
      <c r="G646" s="64">
        <v>44441.722442129598</v>
      </c>
      <c r="H646" s="250"/>
      <c r="I646" s="64">
        <v>44744.591122685197</v>
      </c>
      <c r="J646" s="64">
        <v>44742.6875</v>
      </c>
      <c r="K646" s="92" t="s">
        <v>85</v>
      </c>
      <c r="L646" s="101">
        <v>12000</v>
      </c>
      <c r="M646" s="56" t="s">
        <v>86</v>
      </c>
    </row>
    <row r="647" spans="1:13" x14ac:dyDescent="0.4">
      <c r="A647" s="35">
        <v>633</v>
      </c>
      <c r="B647" s="92" t="s">
        <v>80</v>
      </c>
      <c r="C647" s="56" t="s">
        <v>267</v>
      </c>
      <c r="D647" s="84" t="s">
        <v>303</v>
      </c>
      <c r="E647" s="49" t="s">
        <v>173</v>
      </c>
      <c r="F647" s="64">
        <v>44441.689594907402</v>
      </c>
      <c r="G647" s="64">
        <v>44441.722442129598</v>
      </c>
      <c r="H647" s="250"/>
      <c r="I647" s="61">
        <v>44975.611400463</v>
      </c>
      <c r="J647" s="61">
        <v>44973.721747685202</v>
      </c>
      <c r="K647" s="92" t="s">
        <v>85</v>
      </c>
      <c r="L647" s="101">
        <v>12000</v>
      </c>
      <c r="M647" s="56" t="s">
        <v>86</v>
      </c>
    </row>
    <row r="648" spans="1:13" x14ac:dyDescent="0.4">
      <c r="A648" s="35">
        <v>634</v>
      </c>
      <c r="B648" s="92" t="s">
        <v>80</v>
      </c>
      <c r="C648" s="56" t="s">
        <v>267</v>
      </c>
      <c r="D648" s="84" t="s">
        <v>304</v>
      </c>
      <c r="E648" s="49" t="s">
        <v>173</v>
      </c>
      <c r="F648" s="64">
        <v>44441.689594907402</v>
      </c>
      <c r="G648" s="64">
        <v>44441.722442129598</v>
      </c>
      <c r="H648" s="250"/>
      <c r="I648" s="61">
        <v>44975.625370370399</v>
      </c>
      <c r="J648" s="61">
        <v>44973.721782407403</v>
      </c>
      <c r="K648" s="92" t="s">
        <v>85</v>
      </c>
      <c r="L648" s="101">
        <v>12000</v>
      </c>
      <c r="M648" s="56" t="s">
        <v>86</v>
      </c>
    </row>
    <row r="649" spans="1:13" x14ac:dyDescent="0.4">
      <c r="A649" s="35">
        <v>635</v>
      </c>
      <c r="B649" s="92" t="s">
        <v>80</v>
      </c>
      <c r="C649" s="56" t="s">
        <v>267</v>
      </c>
      <c r="D649" s="84" t="s">
        <v>305</v>
      </c>
      <c r="E649" s="49" t="s">
        <v>173</v>
      </c>
      <c r="F649" s="64">
        <v>44441.689594907402</v>
      </c>
      <c r="G649" s="64">
        <v>44441.722442129598</v>
      </c>
      <c r="H649" s="250"/>
      <c r="I649" s="61">
        <v>44975.6253125</v>
      </c>
      <c r="J649" s="61">
        <v>44973.721828703703</v>
      </c>
      <c r="K649" s="92" t="s">
        <v>85</v>
      </c>
      <c r="L649" s="101">
        <v>12000</v>
      </c>
      <c r="M649" s="56" t="s">
        <v>86</v>
      </c>
    </row>
    <row r="650" spans="1:13" x14ac:dyDescent="0.4">
      <c r="A650" s="35">
        <v>636</v>
      </c>
      <c r="B650" s="92" t="s">
        <v>80</v>
      </c>
      <c r="C650" s="56" t="s">
        <v>267</v>
      </c>
      <c r="D650" s="84" t="s">
        <v>306</v>
      </c>
      <c r="E650" s="49" t="s">
        <v>173</v>
      </c>
      <c r="F650" s="64">
        <v>44441.689594907402</v>
      </c>
      <c r="G650" s="64">
        <v>44441.722442129598</v>
      </c>
      <c r="H650" s="250"/>
      <c r="I650" s="61">
        <v>44975.618368055599</v>
      </c>
      <c r="J650" s="61">
        <v>44973.721863425897</v>
      </c>
      <c r="K650" s="92" t="s">
        <v>85</v>
      </c>
      <c r="L650" s="101">
        <v>12000</v>
      </c>
      <c r="M650" s="56" t="s">
        <v>86</v>
      </c>
    </row>
    <row r="651" spans="1:13" x14ac:dyDescent="0.4">
      <c r="A651" s="35">
        <v>637</v>
      </c>
      <c r="B651" s="92" t="s">
        <v>80</v>
      </c>
      <c r="C651" s="56" t="s">
        <v>267</v>
      </c>
      <c r="D651" s="84" t="s">
        <v>307</v>
      </c>
      <c r="E651" s="49" t="s">
        <v>173</v>
      </c>
      <c r="F651" s="64">
        <v>44441.689594907402</v>
      </c>
      <c r="G651" s="64">
        <v>44441.722442129598</v>
      </c>
      <c r="H651" s="250"/>
      <c r="I651" s="61">
        <v>44975.6253125</v>
      </c>
      <c r="J651" s="61">
        <v>44973.721956018497</v>
      </c>
      <c r="K651" s="92" t="s">
        <v>85</v>
      </c>
      <c r="L651" s="101">
        <v>12000</v>
      </c>
      <c r="M651" s="56" t="s">
        <v>86</v>
      </c>
    </row>
    <row r="652" spans="1:13" x14ac:dyDescent="0.4">
      <c r="A652" s="35">
        <v>638</v>
      </c>
      <c r="B652" s="92" t="s">
        <v>80</v>
      </c>
      <c r="C652" s="56" t="s">
        <v>267</v>
      </c>
      <c r="D652" s="84" t="s">
        <v>308</v>
      </c>
      <c r="E652" s="49" t="s">
        <v>173</v>
      </c>
      <c r="F652" s="64">
        <v>44441.689594907402</v>
      </c>
      <c r="G652" s="64">
        <v>44441.722442129598</v>
      </c>
      <c r="H652" s="250"/>
      <c r="I652" s="61">
        <v>44975.625347222202</v>
      </c>
      <c r="J652" s="61">
        <v>44973.722002314797</v>
      </c>
      <c r="K652" s="92" t="s">
        <v>85</v>
      </c>
      <c r="L652" s="101">
        <v>12000</v>
      </c>
      <c r="M652" s="56" t="s">
        <v>86</v>
      </c>
    </row>
    <row r="653" spans="1:13" x14ac:dyDescent="0.4">
      <c r="A653" s="35">
        <v>639</v>
      </c>
      <c r="B653" s="92" t="s">
        <v>80</v>
      </c>
      <c r="C653" s="56" t="s">
        <v>267</v>
      </c>
      <c r="D653" s="84" t="s">
        <v>309</v>
      </c>
      <c r="E653" s="49" t="s">
        <v>173</v>
      </c>
      <c r="F653" s="64">
        <v>44441.689594907402</v>
      </c>
      <c r="G653" s="64">
        <v>44441.722442129598</v>
      </c>
      <c r="H653" s="250"/>
      <c r="I653" s="61">
        <v>44975.6253125</v>
      </c>
      <c r="J653" s="61">
        <v>44973.722048611096</v>
      </c>
      <c r="K653" s="92" t="s">
        <v>85</v>
      </c>
      <c r="L653" s="101">
        <v>12000</v>
      </c>
      <c r="M653" s="56" t="s">
        <v>86</v>
      </c>
    </row>
    <row r="654" spans="1:13" x14ac:dyDescent="0.4">
      <c r="A654" s="35">
        <v>640</v>
      </c>
      <c r="B654" s="92" t="s">
        <v>80</v>
      </c>
      <c r="C654" s="56" t="s">
        <v>267</v>
      </c>
      <c r="D654" s="84" t="s">
        <v>310</v>
      </c>
      <c r="E654" s="49" t="s">
        <v>173</v>
      </c>
      <c r="F654" s="64">
        <v>44441.689594907402</v>
      </c>
      <c r="G654" s="64">
        <v>44441.722442129598</v>
      </c>
      <c r="H654" s="250"/>
      <c r="I654" s="61">
        <v>44975.6253125</v>
      </c>
      <c r="J654" s="61">
        <v>44973.722175925897</v>
      </c>
      <c r="K654" s="92" t="s">
        <v>85</v>
      </c>
      <c r="L654" s="101">
        <v>12000</v>
      </c>
      <c r="M654" s="56" t="s">
        <v>86</v>
      </c>
    </row>
    <row r="655" spans="1:13" x14ac:dyDescent="0.4">
      <c r="A655" s="35">
        <v>641</v>
      </c>
      <c r="B655" s="92" t="s">
        <v>80</v>
      </c>
      <c r="C655" s="56" t="s">
        <v>267</v>
      </c>
      <c r="D655" s="84" t="s">
        <v>311</v>
      </c>
      <c r="E655" s="49" t="s">
        <v>173</v>
      </c>
      <c r="F655" s="64">
        <v>44441.689594907402</v>
      </c>
      <c r="G655" s="64">
        <v>44441.722442129598</v>
      </c>
      <c r="H655" s="250"/>
      <c r="I655" s="61">
        <v>44975.6253125</v>
      </c>
      <c r="J655" s="61">
        <v>44973.722303240698</v>
      </c>
      <c r="K655" s="92" t="s">
        <v>85</v>
      </c>
      <c r="L655" s="101">
        <v>12000</v>
      </c>
      <c r="M655" s="56" t="s">
        <v>86</v>
      </c>
    </row>
    <row r="656" spans="1:13" x14ac:dyDescent="0.4">
      <c r="A656" s="35">
        <v>642</v>
      </c>
      <c r="B656" s="92" t="s">
        <v>80</v>
      </c>
      <c r="C656" s="56" t="s">
        <v>267</v>
      </c>
      <c r="D656" s="84" t="s">
        <v>312</v>
      </c>
      <c r="E656" s="49" t="s">
        <v>173</v>
      </c>
      <c r="F656" s="64">
        <v>44441.689594907402</v>
      </c>
      <c r="G656" s="64">
        <v>44441.722442129598</v>
      </c>
      <c r="H656" s="250"/>
      <c r="I656" s="61">
        <v>44975.632280092599</v>
      </c>
      <c r="J656" s="61">
        <v>44973.722361111097</v>
      </c>
      <c r="K656" s="92" t="s">
        <v>85</v>
      </c>
      <c r="L656" s="101">
        <v>12000</v>
      </c>
      <c r="M656" s="56" t="s">
        <v>86</v>
      </c>
    </row>
    <row r="657" spans="1:13" x14ac:dyDescent="0.4">
      <c r="A657" s="35">
        <v>643</v>
      </c>
      <c r="B657" s="92" t="s">
        <v>80</v>
      </c>
      <c r="C657" s="56" t="s">
        <v>267</v>
      </c>
      <c r="D657" s="84" t="s">
        <v>313</v>
      </c>
      <c r="E657" s="49" t="s">
        <v>173</v>
      </c>
      <c r="F657" s="64">
        <v>44441.689594907402</v>
      </c>
      <c r="G657" s="64">
        <v>44441.722442129598</v>
      </c>
      <c r="H657" s="250"/>
      <c r="I657" s="61">
        <v>44975.632280092599</v>
      </c>
      <c r="J657" s="61">
        <v>44973.723275463002</v>
      </c>
      <c r="K657" s="92" t="s">
        <v>85</v>
      </c>
      <c r="L657" s="101">
        <v>12000</v>
      </c>
      <c r="M657" s="56" t="s">
        <v>86</v>
      </c>
    </row>
    <row r="658" spans="1:13" x14ac:dyDescent="0.4">
      <c r="A658" s="35">
        <v>644</v>
      </c>
      <c r="B658" s="92" t="s">
        <v>80</v>
      </c>
      <c r="C658" s="56" t="s">
        <v>267</v>
      </c>
      <c r="D658" s="84" t="s">
        <v>314</v>
      </c>
      <c r="E658" s="49" t="s">
        <v>173</v>
      </c>
      <c r="F658" s="64">
        <v>44441.689594907402</v>
      </c>
      <c r="G658" s="64">
        <v>44441.722442129598</v>
      </c>
      <c r="H658" s="250"/>
      <c r="I658" s="61">
        <v>44975.632418981499</v>
      </c>
      <c r="J658" s="61">
        <v>44973.723321759302</v>
      </c>
      <c r="K658" s="92" t="s">
        <v>85</v>
      </c>
      <c r="L658" s="101">
        <v>12000</v>
      </c>
      <c r="M658" s="56" t="s">
        <v>86</v>
      </c>
    </row>
    <row r="659" spans="1:13" x14ac:dyDescent="0.4">
      <c r="A659" s="35">
        <v>645</v>
      </c>
      <c r="B659" s="92" t="s">
        <v>80</v>
      </c>
      <c r="C659" s="56" t="s">
        <v>267</v>
      </c>
      <c r="D659" s="84" t="s">
        <v>315</v>
      </c>
      <c r="E659" s="49" t="s">
        <v>173</v>
      </c>
      <c r="F659" s="64">
        <v>44441.689594907402</v>
      </c>
      <c r="G659" s="64">
        <v>44441.722442129598</v>
      </c>
      <c r="H659" s="250"/>
      <c r="I659" s="61">
        <v>44975.646111111098</v>
      </c>
      <c r="J659" s="61">
        <v>44973.723402777803</v>
      </c>
      <c r="K659" s="92" t="s">
        <v>85</v>
      </c>
      <c r="L659" s="101">
        <v>12000</v>
      </c>
      <c r="M659" s="56" t="s">
        <v>86</v>
      </c>
    </row>
    <row r="660" spans="1:13" x14ac:dyDescent="0.4">
      <c r="A660" s="35">
        <v>646</v>
      </c>
      <c r="B660" s="92" t="s">
        <v>80</v>
      </c>
      <c r="C660" s="56" t="s">
        <v>267</v>
      </c>
      <c r="D660" s="84" t="s">
        <v>316</v>
      </c>
      <c r="E660" s="49" t="s">
        <v>173</v>
      </c>
      <c r="F660" s="64">
        <v>44441.689594907402</v>
      </c>
      <c r="G660" s="64">
        <v>44441.722442129598</v>
      </c>
      <c r="H660" s="250"/>
      <c r="I660" s="61">
        <v>44975.646111111098</v>
      </c>
      <c r="J660" s="61">
        <v>44973.723437499997</v>
      </c>
      <c r="K660" s="92" t="s">
        <v>85</v>
      </c>
      <c r="L660" s="101">
        <v>12000</v>
      </c>
      <c r="M660" s="56" t="s">
        <v>86</v>
      </c>
    </row>
    <row r="661" spans="1:13" x14ac:dyDescent="0.4">
      <c r="A661" s="35">
        <v>647</v>
      </c>
      <c r="B661" s="92" t="s">
        <v>80</v>
      </c>
      <c r="C661" s="56" t="s">
        <v>267</v>
      </c>
      <c r="D661" s="84" t="s">
        <v>317</v>
      </c>
      <c r="E661" s="49" t="s">
        <v>173</v>
      </c>
      <c r="F661" s="64">
        <v>44441.689594907402</v>
      </c>
      <c r="G661" s="64">
        <v>44441.722442129598</v>
      </c>
      <c r="H661" s="250"/>
      <c r="I661" s="61">
        <v>44983.465868055602</v>
      </c>
      <c r="J661" s="61">
        <v>44984.420509259297</v>
      </c>
      <c r="K661" s="92" t="s">
        <v>85</v>
      </c>
      <c r="L661" s="101">
        <v>12000</v>
      </c>
      <c r="M661" s="56" t="s">
        <v>86</v>
      </c>
    </row>
    <row r="662" spans="1:13" x14ac:dyDescent="0.4">
      <c r="A662" s="35">
        <v>648</v>
      </c>
      <c r="B662" s="92" t="s">
        <v>80</v>
      </c>
      <c r="C662" s="56" t="s">
        <v>267</v>
      </c>
      <c r="D662" s="84" t="s">
        <v>318</v>
      </c>
      <c r="E662" s="49" t="s">
        <v>173</v>
      </c>
      <c r="F662" s="64">
        <v>44441.689594907402</v>
      </c>
      <c r="G662" s="64">
        <v>44441.722442129598</v>
      </c>
      <c r="H662" s="250"/>
      <c r="I662" s="61">
        <v>44975.646111111098</v>
      </c>
      <c r="J662" s="61">
        <v>44973.723472222198</v>
      </c>
      <c r="K662" s="92" t="s">
        <v>85</v>
      </c>
      <c r="L662" s="101">
        <v>12000</v>
      </c>
      <c r="M662" s="56" t="s">
        <v>86</v>
      </c>
    </row>
    <row r="663" spans="1:13" x14ac:dyDescent="0.4">
      <c r="A663" s="35">
        <v>649</v>
      </c>
      <c r="B663" s="92" t="s">
        <v>80</v>
      </c>
      <c r="C663" s="56" t="s">
        <v>81</v>
      </c>
      <c r="D663" s="84" t="s">
        <v>275</v>
      </c>
      <c r="E663" s="49" t="s">
        <v>173</v>
      </c>
      <c r="F663" s="64">
        <v>44441.689594907402</v>
      </c>
      <c r="G663" s="64">
        <v>44441.722442129598</v>
      </c>
      <c r="H663" s="250"/>
      <c r="I663" s="61">
        <v>44874.493831018503</v>
      </c>
      <c r="J663" s="61">
        <v>44873.425324074102</v>
      </c>
      <c r="K663" s="92" t="s">
        <v>85</v>
      </c>
      <c r="L663" s="101">
        <v>12000</v>
      </c>
      <c r="M663" s="56" t="s">
        <v>86</v>
      </c>
    </row>
    <row r="664" spans="1:13" x14ac:dyDescent="0.4">
      <c r="A664" s="35">
        <v>650</v>
      </c>
      <c r="B664" s="92" t="s">
        <v>80</v>
      </c>
      <c r="C664" s="56" t="s">
        <v>81</v>
      </c>
      <c r="D664" s="84" t="s">
        <v>276</v>
      </c>
      <c r="E664" s="49" t="s">
        <v>173</v>
      </c>
      <c r="F664" s="64">
        <v>44441.689594907402</v>
      </c>
      <c r="G664" s="64">
        <v>44441.722442129598</v>
      </c>
      <c r="H664" s="250"/>
      <c r="I664" s="61">
        <v>44874.493831018503</v>
      </c>
      <c r="J664" s="61">
        <v>44873.425358796303</v>
      </c>
      <c r="K664" s="92" t="s">
        <v>85</v>
      </c>
      <c r="L664" s="101">
        <v>12000</v>
      </c>
      <c r="M664" s="56" t="s">
        <v>86</v>
      </c>
    </row>
    <row r="665" spans="1:13" x14ac:dyDescent="0.4">
      <c r="A665" s="35">
        <v>651</v>
      </c>
      <c r="B665" s="92" t="s">
        <v>80</v>
      </c>
      <c r="C665" s="56" t="s">
        <v>81</v>
      </c>
      <c r="D665" s="84" t="s">
        <v>371</v>
      </c>
      <c r="E665" s="49" t="s">
        <v>173</v>
      </c>
      <c r="F665" s="64">
        <v>44441.689594907402</v>
      </c>
      <c r="G665" s="64">
        <v>44441.722442129598</v>
      </c>
      <c r="H665" s="250"/>
      <c r="I665" s="61">
        <v>44445.708449074104</v>
      </c>
      <c r="J665" s="61">
        <v>44443.917453703703</v>
      </c>
      <c r="K665" s="92" t="s">
        <v>85</v>
      </c>
      <c r="L665" s="101">
        <v>12000</v>
      </c>
      <c r="M665" s="56" t="s">
        <v>86</v>
      </c>
    </row>
    <row r="666" spans="1:13" x14ac:dyDescent="0.4">
      <c r="A666" s="35">
        <v>652</v>
      </c>
      <c r="B666" s="92" t="s">
        <v>80</v>
      </c>
      <c r="C666" s="56" t="s">
        <v>81</v>
      </c>
      <c r="D666" s="84" t="s">
        <v>374</v>
      </c>
      <c r="E666" s="49" t="s">
        <v>173</v>
      </c>
      <c r="F666" s="64">
        <v>44441.689594907402</v>
      </c>
      <c r="G666" s="64">
        <v>44441.722442129598</v>
      </c>
      <c r="H666" s="250"/>
      <c r="I666" s="61">
        <v>44445.708460648202</v>
      </c>
      <c r="J666" s="61">
        <v>44443.918194444399</v>
      </c>
      <c r="K666" s="92" t="s">
        <v>85</v>
      </c>
      <c r="L666" s="101">
        <v>12000</v>
      </c>
      <c r="M666" s="56" t="s">
        <v>86</v>
      </c>
    </row>
    <row r="667" spans="1:13" x14ac:dyDescent="0.4">
      <c r="A667" s="35">
        <v>653</v>
      </c>
      <c r="B667" s="92" t="s">
        <v>80</v>
      </c>
      <c r="C667" s="56" t="s">
        <v>81</v>
      </c>
      <c r="D667" s="84" t="s">
        <v>163</v>
      </c>
      <c r="E667" s="49" t="s">
        <v>173</v>
      </c>
      <c r="F667" s="64">
        <v>44441.689594907402</v>
      </c>
      <c r="G667" s="64">
        <v>44441.722442129598</v>
      </c>
      <c r="H667" s="250"/>
      <c r="I667" s="61">
        <v>44975.472824074102</v>
      </c>
      <c r="J667" s="61">
        <v>44973.723530092597</v>
      </c>
      <c r="K667" s="92" t="s">
        <v>85</v>
      </c>
      <c r="L667" s="101">
        <v>12000</v>
      </c>
      <c r="M667" s="56" t="s">
        <v>86</v>
      </c>
    </row>
    <row r="668" spans="1:13" x14ac:dyDescent="0.4">
      <c r="A668" s="35">
        <v>654</v>
      </c>
      <c r="B668" s="92" t="s">
        <v>80</v>
      </c>
      <c r="C668" s="56" t="s">
        <v>81</v>
      </c>
      <c r="D668" s="84" t="s">
        <v>164</v>
      </c>
      <c r="E668" s="49" t="s">
        <v>173</v>
      </c>
      <c r="F668" s="64">
        <v>44441.689594907402</v>
      </c>
      <c r="G668" s="64">
        <v>44441.722442129598</v>
      </c>
      <c r="H668" s="250"/>
      <c r="I668" s="61">
        <v>44975.472847222198</v>
      </c>
      <c r="J668" s="61">
        <v>44973.723587963003</v>
      </c>
      <c r="K668" s="92" t="s">
        <v>85</v>
      </c>
      <c r="L668" s="101">
        <v>12000</v>
      </c>
      <c r="M668" s="56" t="s">
        <v>86</v>
      </c>
    </row>
    <row r="669" spans="1:13" x14ac:dyDescent="0.4">
      <c r="A669" s="35">
        <v>655</v>
      </c>
      <c r="B669" s="92" t="s">
        <v>80</v>
      </c>
      <c r="C669" s="56" t="s">
        <v>81</v>
      </c>
      <c r="D669" s="84" t="s">
        <v>165</v>
      </c>
      <c r="E669" s="49" t="s">
        <v>173</v>
      </c>
      <c r="F669" s="64">
        <v>44441.689594907402</v>
      </c>
      <c r="G669" s="64">
        <v>44441.722442129598</v>
      </c>
      <c r="H669" s="250"/>
      <c r="I669" s="61">
        <v>44975.472858796304</v>
      </c>
      <c r="J669" s="61">
        <v>44973.723622685196</v>
      </c>
      <c r="K669" s="92" t="s">
        <v>85</v>
      </c>
      <c r="L669" s="101">
        <v>12000</v>
      </c>
      <c r="M669" s="56" t="s">
        <v>86</v>
      </c>
    </row>
    <row r="670" spans="1:13" x14ac:dyDescent="0.4">
      <c r="A670" s="35">
        <v>656</v>
      </c>
      <c r="B670" s="92" t="s">
        <v>80</v>
      </c>
      <c r="C670" s="56" t="s">
        <v>81</v>
      </c>
      <c r="D670" s="84" t="s">
        <v>166</v>
      </c>
      <c r="E670" s="49" t="s">
        <v>173</v>
      </c>
      <c r="F670" s="64">
        <v>44441.689594907402</v>
      </c>
      <c r="G670" s="64">
        <v>44441.722442129598</v>
      </c>
      <c r="H670" s="250"/>
      <c r="I670" s="61">
        <v>44975.481354166703</v>
      </c>
      <c r="J670" s="61">
        <v>44973.723680555602</v>
      </c>
      <c r="K670" s="92" t="s">
        <v>85</v>
      </c>
      <c r="L670" s="101">
        <v>12000</v>
      </c>
      <c r="M670" s="56" t="s">
        <v>86</v>
      </c>
    </row>
    <row r="671" spans="1:13" x14ac:dyDescent="0.4">
      <c r="A671" s="35">
        <v>657</v>
      </c>
      <c r="B671" s="92" t="s">
        <v>80</v>
      </c>
      <c r="C671" s="56" t="s">
        <v>81</v>
      </c>
      <c r="D671" s="84" t="s">
        <v>167</v>
      </c>
      <c r="E671" s="49" t="s">
        <v>173</v>
      </c>
      <c r="F671" s="64">
        <v>44441.689594907402</v>
      </c>
      <c r="G671" s="64">
        <v>44441.722442129598</v>
      </c>
      <c r="H671" s="250"/>
      <c r="I671" s="61">
        <v>44975.481354166703</v>
      </c>
      <c r="J671" s="61">
        <v>44973.723749999997</v>
      </c>
      <c r="K671" s="92" t="s">
        <v>85</v>
      </c>
      <c r="L671" s="101">
        <v>12000</v>
      </c>
      <c r="M671" s="56" t="s">
        <v>86</v>
      </c>
    </row>
    <row r="672" spans="1:13" x14ac:dyDescent="0.4">
      <c r="A672" s="35">
        <v>658</v>
      </c>
      <c r="B672" s="92" t="s">
        <v>80</v>
      </c>
      <c r="C672" s="56" t="s">
        <v>81</v>
      </c>
      <c r="D672" s="84" t="s">
        <v>168</v>
      </c>
      <c r="E672" s="49" t="s">
        <v>173</v>
      </c>
      <c r="F672" s="64">
        <v>44441.689594907402</v>
      </c>
      <c r="G672" s="64">
        <v>44441.722442129598</v>
      </c>
      <c r="H672" s="250"/>
      <c r="I672" s="61">
        <v>44975.481354166703</v>
      </c>
      <c r="J672" s="61">
        <v>44973.723796296297</v>
      </c>
      <c r="K672" s="92" t="s">
        <v>85</v>
      </c>
      <c r="L672" s="101">
        <v>12000</v>
      </c>
      <c r="M672" s="56" t="s">
        <v>86</v>
      </c>
    </row>
    <row r="673" spans="1:13" x14ac:dyDescent="0.4">
      <c r="A673" s="35">
        <v>659</v>
      </c>
      <c r="B673" s="92" t="s">
        <v>80</v>
      </c>
      <c r="C673" s="56" t="s">
        <v>81</v>
      </c>
      <c r="D673" s="84" t="s">
        <v>169</v>
      </c>
      <c r="E673" s="49" t="s">
        <v>173</v>
      </c>
      <c r="F673" s="64">
        <v>44441.689594907402</v>
      </c>
      <c r="G673" s="64">
        <v>44441.722442129598</v>
      </c>
      <c r="H673" s="250"/>
      <c r="I673" s="61">
        <v>44975.481354166703</v>
      </c>
      <c r="J673" s="61">
        <v>44973.723842592597</v>
      </c>
      <c r="K673" s="92" t="s">
        <v>85</v>
      </c>
      <c r="L673" s="101">
        <v>12000</v>
      </c>
      <c r="M673" s="56" t="s">
        <v>86</v>
      </c>
    </row>
    <row r="674" spans="1:13" x14ac:dyDescent="0.4">
      <c r="A674" s="35">
        <v>660</v>
      </c>
      <c r="B674" s="92" t="s">
        <v>80</v>
      </c>
      <c r="C674" s="56" t="s">
        <v>81</v>
      </c>
      <c r="D674" s="84" t="s">
        <v>170</v>
      </c>
      <c r="E674" s="49" t="s">
        <v>173</v>
      </c>
      <c r="F674" s="64">
        <v>44441.689594907402</v>
      </c>
      <c r="G674" s="64">
        <v>44441.722442129598</v>
      </c>
      <c r="H674" s="250"/>
      <c r="I674" s="61">
        <v>44975.481354166703</v>
      </c>
      <c r="J674" s="61">
        <v>44973.723888888897</v>
      </c>
      <c r="K674" s="92" t="s">
        <v>85</v>
      </c>
      <c r="L674" s="101">
        <v>12000</v>
      </c>
      <c r="M674" s="56" t="s">
        <v>86</v>
      </c>
    </row>
    <row r="675" spans="1:13" x14ac:dyDescent="0.4">
      <c r="A675" s="35">
        <v>661</v>
      </c>
      <c r="B675" s="92" t="s">
        <v>80</v>
      </c>
      <c r="C675" s="56" t="s">
        <v>81</v>
      </c>
      <c r="D675" s="84" t="s">
        <v>307</v>
      </c>
      <c r="E675" s="49" t="s">
        <v>173</v>
      </c>
      <c r="F675" s="64">
        <v>44441.689594907402</v>
      </c>
      <c r="G675" s="64">
        <v>44441.722442129598</v>
      </c>
      <c r="H675" s="250"/>
      <c r="I675" s="61">
        <v>44874.625972222202</v>
      </c>
      <c r="J675" s="61">
        <v>44873.518032407403</v>
      </c>
      <c r="K675" s="92" t="s">
        <v>85</v>
      </c>
      <c r="L675" s="101">
        <v>12000</v>
      </c>
      <c r="M675" s="56" t="s">
        <v>86</v>
      </c>
    </row>
    <row r="676" spans="1:13" x14ac:dyDescent="0.4">
      <c r="A676" s="35">
        <v>662</v>
      </c>
      <c r="B676" s="92" t="s">
        <v>80</v>
      </c>
      <c r="C676" s="56" t="s">
        <v>81</v>
      </c>
      <c r="D676" s="84" t="s">
        <v>308</v>
      </c>
      <c r="E676" s="49" t="s">
        <v>173</v>
      </c>
      <c r="F676" s="64">
        <v>44441.689594907402</v>
      </c>
      <c r="G676" s="64">
        <v>44441.722442129598</v>
      </c>
      <c r="H676" s="250"/>
      <c r="I676" s="61">
        <v>44975.4864467593</v>
      </c>
      <c r="J676" s="61">
        <v>44973.724409722199</v>
      </c>
      <c r="K676" s="92" t="s">
        <v>85</v>
      </c>
      <c r="L676" s="101">
        <v>12000</v>
      </c>
      <c r="M676" s="56" t="s">
        <v>86</v>
      </c>
    </row>
    <row r="677" spans="1:13" x14ac:dyDescent="0.4">
      <c r="A677" s="35">
        <v>663</v>
      </c>
      <c r="B677" s="92" t="s">
        <v>80</v>
      </c>
      <c r="C677" s="56" t="s">
        <v>81</v>
      </c>
      <c r="D677" s="84" t="s">
        <v>309</v>
      </c>
      <c r="E677" s="49" t="s">
        <v>173</v>
      </c>
      <c r="F677" s="64">
        <v>44441.689594907402</v>
      </c>
      <c r="G677" s="64">
        <v>44441.722442129598</v>
      </c>
      <c r="H677" s="250"/>
      <c r="I677" s="61">
        <v>44975.4864467593</v>
      </c>
      <c r="J677" s="61">
        <v>44973.7244444444</v>
      </c>
      <c r="K677" s="92" t="s">
        <v>85</v>
      </c>
      <c r="L677" s="101">
        <v>12000</v>
      </c>
      <c r="M677" s="56" t="s">
        <v>86</v>
      </c>
    </row>
    <row r="678" spans="1:13" x14ac:dyDescent="0.4">
      <c r="A678" s="35">
        <v>664</v>
      </c>
      <c r="B678" s="92" t="s">
        <v>80</v>
      </c>
      <c r="C678" s="56" t="s">
        <v>81</v>
      </c>
      <c r="D678" s="84" t="s">
        <v>310</v>
      </c>
      <c r="E678" s="49" t="s">
        <v>173</v>
      </c>
      <c r="F678" s="64">
        <v>44441.689594907402</v>
      </c>
      <c r="G678" s="64">
        <v>44441.722442129598</v>
      </c>
      <c r="H678" s="250"/>
      <c r="I678" s="61">
        <v>44975.4864467593</v>
      </c>
      <c r="J678" s="61">
        <v>44973.724479166704</v>
      </c>
      <c r="K678" s="92" t="s">
        <v>85</v>
      </c>
      <c r="L678" s="101">
        <v>12000</v>
      </c>
      <c r="M678" s="56" t="s">
        <v>86</v>
      </c>
    </row>
    <row r="679" spans="1:13" x14ac:dyDescent="0.4">
      <c r="A679" s="35">
        <v>665</v>
      </c>
      <c r="B679" s="92" t="s">
        <v>80</v>
      </c>
      <c r="C679" s="56" t="s">
        <v>81</v>
      </c>
      <c r="D679" s="84" t="s">
        <v>311</v>
      </c>
      <c r="E679" s="49" t="s">
        <v>173</v>
      </c>
      <c r="F679" s="64">
        <v>44441.689594907402</v>
      </c>
      <c r="G679" s="64">
        <v>44441.722442129598</v>
      </c>
      <c r="H679" s="250"/>
      <c r="I679" s="61">
        <v>44975.4864467593</v>
      </c>
      <c r="J679" s="61">
        <v>44973.724525463003</v>
      </c>
      <c r="K679" s="92" t="s">
        <v>85</v>
      </c>
      <c r="L679" s="101">
        <v>12000</v>
      </c>
      <c r="M679" s="56" t="s">
        <v>86</v>
      </c>
    </row>
    <row r="680" spans="1:13" x14ac:dyDescent="0.4">
      <c r="A680" s="35">
        <v>666</v>
      </c>
      <c r="B680" s="92" t="s">
        <v>80</v>
      </c>
      <c r="C680" s="56" t="s">
        <v>81</v>
      </c>
      <c r="D680" s="84" t="s">
        <v>312</v>
      </c>
      <c r="E680" s="49" t="s">
        <v>173</v>
      </c>
      <c r="F680" s="64">
        <v>44441.689594907402</v>
      </c>
      <c r="G680" s="64">
        <v>44441.722442129598</v>
      </c>
      <c r="H680" s="250"/>
      <c r="I680" s="61">
        <v>44975.4864467593</v>
      </c>
      <c r="J680" s="61">
        <v>44973.724560185197</v>
      </c>
      <c r="K680" s="92" t="s">
        <v>85</v>
      </c>
      <c r="L680" s="101">
        <v>12000</v>
      </c>
      <c r="M680" s="56" t="s">
        <v>86</v>
      </c>
    </row>
    <row r="681" spans="1:13" x14ac:dyDescent="0.4">
      <c r="A681" s="35">
        <v>667</v>
      </c>
      <c r="B681" s="92" t="s">
        <v>80</v>
      </c>
      <c r="C681" s="56" t="s">
        <v>81</v>
      </c>
      <c r="D681" s="84" t="s">
        <v>313</v>
      </c>
      <c r="E681" s="49" t="s">
        <v>173</v>
      </c>
      <c r="F681" s="64">
        <v>44441.689594907402</v>
      </c>
      <c r="G681" s="64">
        <v>44441.722442129598</v>
      </c>
      <c r="H681" s="250"/>
      <c r="I681" s="61">
        <v>44975.4937615741</v>
      </c>
      <c r="J681" s="61">
        <v>44973.724594907399</v>
      </c>
      <c r="K681" s="92" t="s">
        <v>85</v>
      </c>
      <c r="L681" s="101">
        <v>12000</v>
      </c>
      <c r="M681" s="56" t="s">
        <v>86</v>
      </c>
    </row>
    <row r="682" spans="1:13" x14ac:dyDescent="0.4">
      <c r="A682" s="35">
        <v>668</v>
      </c>
      <c r="B682" s="92" t="s">
        <v>80</v>
      </c>
      <c r="C682" s="56" t="s">
        <v>81</v>
      </c>
      <c r="D682" s="84" t="s">
        <v>314</v>
      </c>
      <c r="E682" s="49" t="s">
        <v>173</v>
      </c>
      <c r="F682" s="64">
        <v>44441.689594907402</v>
      </c>
      <c r="G682" s="64">
        <v>44441.722442129598</v>
      </c>
      <c r="H682" s="250"/>
      <c r="I682" s="61">
        <v>44975.4937615741</v>
      </c>
      <c r="J682" s="61">
        <v>44973.7246296296</v>
      </c>
      <c r="K682" s="92" t="s">
        <v>85</v>
      </c>
      <c r="L682" s="101">
        <v>12000</v>
      </c>
      <c r="M682" s="56" t="s">
        <v>86</v>
      </c>
    </row>
    <row r="683" spans="1:13" x14ac:dyDescent="0.4">
      <c r="A683" s="35">
        <v>669</v>
      </c>
      <c r="B683" s="92" t="s">
        <v>80</v>
      </c>
      <c r="C683" s="56" t="s">
        <v>81</v>
      </c>
      <c r="D683" s="84" t="s">
        <v>315</v>
      </c>
      <c r="E683" s="49" t="s">
        <v>173</v>
      </c>
      <c r="F683" s="64">
        <v>44441.689594907402</v>
      </c>
      <c r="G683" s="64">
        <v>44441.722442129598</v>
      </c>
      <c r="H683" s="250"/>
      <c r="I683" s="61">
        <v>44975.4937615741</v>
      </c>
      <c r="J683" s="61">
        <v>44973.7246759259</v>
      </c>
      <c r="K683" s="92" t="s">
        <v>85</v>
      </c>
      <c r="L683" s="101">
        <v>12000</v>
      </c>
      <c r="M683" s="56" t="s">
        <v>86</v>
      </c>
    </row>
    <row r="684" spans="1:13" x14ac:dyDescent="0.4">
      <c r="A684" s="35">
        <v>670</v>
      </c>
      <c r="B684" s="92" t="s">
        <v>80</v>
      </c>
      <c r="C684" s="56" t="s">
        <v>81</v>
      </c>
      <c r="D684" s="84" t="s">
        <v>316</v>
      </c>
      <c r="E684" s="49" t="s">
        <v>173</v>
      </c>
      <c r="F684" s="64">
        <v>44441.689594907402</v>
      </c>
      <c r="G684" s="64">
        <v>44441.722442129598</v>
      </c>
      <c r="H684" s="250"/>
      <c r="I684" s="61">
        <v>44975.4937615741</v>
      </c>
      <c r="J684" s="61">
        <v>44973.724710648101</v>
      </c>
      <c r="K684" s="92" t="s">
        <v>85</v>
      </c>
      <c r="L684" s="101">
        <v>12000</v>
      </c>
      <c r="M684" s="56" t="s">
        <v>86</v>
      </c>
    </row>
    <row r="685" spans="1:13" x14ac:dyDescent="0.4">
      <c r="A685" s="35">
        <v>671</v>
      </c>
      <c r="B685" s="92" t="s">
        <v>80</v>
      </c>
      <c r="C685" s="56" t="s">
        <v>81</v>
      </c>
      <c r="D685" s="84" t="s">
        <v>317</v>
      </c>
      <c r="E685" s="49" t="s">
        <v>173</v>
      </c>
      <c r="F685" s="64">
        <v>44441.689594907402</v>
      </c>
      <c r="G685" s="64">
        <v>44441.722442129598</v>
      </c>
      <c r="H685" s="250"/>
      <c r="I685" s="61">
        <v>44975.4937615741</v>
      </c>
      <c r="J685" s="61">
        <v>44973.724756944401</v>
      </c>
      <c r="K685" s="92" t="s">
        <v>85</v>
      </c>
      <c r="L685" s="101">
        <v>12000</v>
      </c>
      <c r="M685" s="56" t="s">
        <v>86</v>
      </c>
    </row>
    <row r="686" spans="1:13" x14ac:dyDescent="0.4">
      <c r="A686" s="35">
        <v>672</v>
      </c>
      <c r="B686" s="92" t="s">
        <v>80</v>
      </c>
      <c r="C686" s="56" t="s">
        <v>81</v>
      </c>
      <c r="D686" s="84" t="s">
        <v>318</v>
      </c>
      <c r="E686" s="49" t="s">
        <v>173</v>
      </c>
      <c r="F686" s="64">
        <v>44441.689594907402</v>
      </c>
      <c r="G686" s="64">
        <v>44441.722442129598</v>
      </c>
      <c r="H686" s="250"/>
      <c r="I686" s="61">
        <v>44975.500347222202</v>
      </c>
      <c r="J686" s="61">
        <v>44973.724791666697</v>
      </c>
      <c r="K686" s="92" t="s">
        <v>85</v>
      </c>
      <c r="L686" s="101">
        <v>12000</v>
      </c>
      <c r="M686" s="56" t="s">
        <v>86</v>
      </c>
    </row>
    <row r="687" spans="1:13" x14ac:dyDescent="0.4">
      <c r="A687" s="35">
        <v>673</v>
      </c>
      <c r="B687" s="92" t="s">
        <v>80</v>
      </c>
      <c r="C687" s="56" t="s">
        <v>94</v>
      </c>
      <c r="D687" s="84" t="s">
        <v>477</v>
      </c>
      <c r="E687" s="49" t="s">
        <v>173</v>
      </c>
      <c r="F687" s="64">
        <v>44441.689594907402</v>
      </c>
      <c r="G687" s="64">
        <v>44441.722442129598</v>
      </c>
      <c r="H687" s="250"/>
      <c r="I687" s="117">
        <v>44446.847280092603</v>
      </c>
      <c r="J687" s="117">
        <v>44445.378506944398</v>
      </c>
      <c r="K687" s="92" t="s">
        <v>85</v>
      </c>
      <c r="L687" s="101">
        <v>12000</v>
      </c>
      <c r="M687" s="56" t="s">
        <v>86</v>
      </c>
    </row>
    <row r="688" spans="1:13" x14ac:dyDescent="0.4">
      <c r="A688" s="35">
        <v>674</v>
      </c>
      <c r="B688" s="92" t="s">
        <v>80</v>
      </c>
      <c r="C688" s="56" t="s">
        <v>81</v>
      </c>
      <c r="D688" s="84" t="s">
        <v>262</v>
      </c>
      <c r="E688" s="49" t="s">
        <v>173</v>
      </c>
      <c r="F688" s="64">
        <v>44441.689594907402</v>
      </c>
      <c r="G688" s="64">
        <v>44441.722442129598</v>
      </c>
      <c r="H688" s="251"/>
      <c r="I688" s="117">
        <v>44446.687627314801</v>
      </c>
      <c r="J688" s="117">
        <v>44445.378460648099</v>
      </c>
      <c r="K688" s="102" t="s">
        <v>184</v>
      </c>
      <c r="L688" s="103">
        <v>16000</v>
      </c>
      <c r="M688" s="56" t="s">
        <v>86</v>
      </c>
    </row>
    <row r="689" spans="1:13" x14ac:dyDescent="0.4">
      <c r="A689" s="35">
        <v>675</v>
      </c>
      <c r="B689" s="92" t="s">
        <v>80</v>
      </c>
      <c r="C689" s="56" t="s">
        <v>171</v>
      </c>
      <c r="D689" s="84" t="s">
        <v>258</v>
      </c>
      <c r="E689" s="84"/>
      <c r="F689" s="84"/>
      <c r="G689" s="84"/>
      <c r="H689" s="240" t="s">
        <v>83</v>
      </c>
      <c r="I689" s="117">
        <v>44450.705358796302</v>
      </c>
      <c r="J689" s="117">
        <v>44451.760324074101</v>
      </c>
      <c r="K689" s="102" t="s">
        <v>184</v>
      </c>
      <c r="L689" s="103">
        <v>16000</v>
      </c>
      <c r="M689" s="56" t="s">
        <v>86</v>
      </c>
    </row>
    <row r="690" spans="1:13" x14ac:dyDescent="0.4">
      <c r="A690" s="35">
        <v>676</v>
      </c>
      <c r="B690" s="92" t="s">
        <v>80</v>
      </c>
      <c r="C690" s="56" t="s">
        <v>171</v>
      </c>
      <c r="D690" s="84" t="s">
        <v>320</v>
      </c>
      <c r="E690" s="84"/>
      <c r="F690" s="84"/>
      <c r="G690" s="84"/>
      <c r="H690" s="241"/>
      <c r="I690" s="117">
        <v>44450.705358796302</v>
      </c>
      <c r="J690" s="117">
        <v>44451.760324074101</v>
      </c>
      <c r="K690" s="102" t="s">
        <v>184</v>
      </c>
      <c r="L690" s="103">
        <v>16000</v>
      </c>
      <c r="M690" s="56" t="s">
        <v>86</v>
      </c>
    </row>
    <row r="691" spans="1:13" x14ac:dyDescent="0.4">
      <c r="A691" s="35">
        <v>677</v>
      </c>
      <c r="B691" s="92" t="s">
        <v>80</v>
      </c>
      <c r="C691" s="56" t="s">
        <v>171</v>
      </c>
      <c r="D691" s="84" t="s">
        <v>263</v>
      </c>
      <c r="E691" s="84"/>
      <c r="F691" s="84"/>
      <c r="G691" s="84"/>
      <c r="H691" s="241"/>
      <c r="I691" s="117">
        <v>44450.705358796302</v>
      </c>
      <c r="J691" s="117">
        <v>44451.760324074101</v>
      </c>
      <c r="K691" s="102" t="s">
        <v>184</v>
      </c>
      <c r="L691" s="103">
        <v>16000</v>
      </c>
      <c r="M691" s="56" t="s">
        <v>86</v>
      </c>
    </row>
    <row r="692" spans="1:13" x14ac:dyDescent="0.4">
      <c r="A692" s="35">
        <v>678</v>
      </c>
      <c r="B692" s="92" t="s">
        <v>80</v>
      </c>
      <c r="C692" s="56" t="s">
        <v>171</v>
      </c>
      <c r="D692" s="84" t="s">
        <v>181</v>
      </c>
      <c r="E692" s="84"/>
      <c r="F692" s="84"/>
      <c r="G692" s="84"/>
      <c r="H692" s="242"/>
      <c r="I692" s="117">
        <v>44450.705358796302</v>
      </c>
      <c r="J692" s="117">
        <v>44451.760324074101</v>
      </c>
      <c r="K692" s="102" t="s">
        <v>184</v>
      </c>
      <c r="L692" s="103">
        <v>16000</v>
      </c>
      <c r="M692" s="56" t="s">
        <v>86</v>
      </c>
    </row>
    <row r="693" spans="1:13" x14ac:dyDescent="0.4">
      <c r="A693" s="35">
        <v>679</v>
      </c>
      <c r="B693" s="92" t="s">
        <v>80</v>
      </c>
      <c r="C693" s="56" t="s">
        <v>81</v>
      </c>
      <c r="D693" s="84" t="s">
        <v>186</v>
      </c>
      <c r="E693" s="49" t="s">
        <v>173</v>
      </c>
      <c r="F693" s="76">
        <v>44457.735486111102</v>
      </c>
      <c r="G693" s="76">
        <v>44457.736562500002</v>
      </c>
      <c r="H693" s="240" t="s">
        <v>257</v>
      </c>
      <c r="I693" s="117">
        <v>44581.685636574097</v>
      </c>
      <c r="J693" s="117">
        <v>44579.721562500003</v>
      </c>
      <c r="K693" s="92" t="s">
        <v>85</v>
      </c>
      <c r="L693" s="101">
        <v>12000</v>
      </c>
      <c r="M693" s="56" t="s">
        <v>86</v>
      </c>
    </row>
    <row r="694" spans="1:13" x14ac:dyDescent="0.4">
      <c r="A694" s="35">
        <v>680</v>
      </c>
      <c r="B694" s="92" t="s">
        <v>80</v>
      </c>
      <c r="C694" s="56" t="s">
        <v>81</v>
      </c>
      <c r="D694" s="84" t="s">
        <v>319</v>
      </c>
      <c r="E694" s="49" t="s">
        <v>173</v>
      </c>
      <c r="F694" s="76">
        <v>44457.735486111102</v>
      </c>
      <c r="G694" s="76">
        <v>44457.736562500002</v>
      </c>
      <c r="H694" s="241"/>
      <c r="I694" s="117">
        <v>44591.907812500001</v>
      </c>
      <c r="J694" s="117">
        <v>44591.375879629602</v>
      </c>
      <c r="K694" s="92" t="s">
        <v>85</v>
      </c>
      <c r="L694" s="101">
        <v>12000</v>
      </c>
      <c r="M694" s="56" t="s">
        <v>86</v>
      </c>
    </row>
    <row r="695" spans="1:13" x14ac:dyDescent="0.4">
      <c r="A695" s="35">
        <v>681</v>
      </c>
      <c r="B695" s="92" t="s">
        <v>80</v>
      </c>
      <c r="C695" s="56" t="s">
        <v>81</v>
      </c>
      <c r="D695" s="84" t="s">
        <v>191</v>
      </c>
      <c r="E695" s="49" t="s">
        <v>173</v>
      </c>
      <c r="F695" s="76">
        <v>44457.735486111102</v>
      </c>
      <c r="G695" s="76">
        <v>44457.736562500002</v>
      </c>
      <c r="H695" s="241"/>
      <c r="I695" s="117">
        <v>44539.6820717593</v>
      </c>
      <c r="J695" s="117">
        <v>44538.604201388902</v>
      </c>
      <c r="K695" s="92" t="s">
        <v>85</v>
      </c>
      <c r="L695" s="101">
        <v>12000</v>
      </c>
      <c r="M695" s="56" t="s">
        <v>86</v>
      </c>
    </row>
    <row r="696" spans="1:13" x14ac:dyDescent="0.4">
      <c r="A696" s="275">
        <v>682</v>
      </c>
      <c r="B696" s="259" t="s">
        <v>80</v>
      </c>
      <c r="C696" s="228" t="s">
        <v>81</v>
      </c>
      <c r="D696" s="247" t="s">
        <v>187</v>
      </c>
      <c r="E696" s="49" t="s">
        <v>173</v>
      </c>
      <c r="F696" s="76">
        <v>44457.735486111102</v>
      </c>
      <c r="G696" s="76">
        <v>44457.736562500002</v>
      </c>
      <c r="H696" s="242"/>
      <c r="I696" s="117">
        <v>44575.738715277803</v>
      </c>
      <c r="J696" s="117">
        <v>44574.5519444444</v>
      </c>
      <c r="K696" s="92" t="s">
        <v>85</v>
      </c>
      <c r="L696" s="101">
        <v>12000</v>
      </c>
      <c r="M696" s="56" t="s">
        <v>86</v>
      </c>
    </row>
    <row r="697" spans="1:13" x14ac:dyDescent="0.4">
      <c r="A697" s="275"/>
      <c r="B697" s="260"/>
      <c r="C697" s="229"/>
      <c r="D697" s="248"/>
      <c r="E697" s="49" t="s">
        <v>269</v>
      </c>
      <c r="F697" s="76">
        <v>45283.674282407403</v>
      </c>
      <c r="G697" s="76">
        <v>45285.637395833299</v>
      </c>
      <c r="H697" s="84" t="s">
        <v>182</v>
      </c>
      <c r="I697" s="117">
        <v>45374.690428240698</v>
      </c>
      <c r="J697" s="117">
        <v>45373.682974536998</v>
      </c>
      <c r="K697" s="92" t="s">
        <v>85</v>
      </c>
      <c r="L697" s="101">
        <v>12000</v>
      </c>
      <c r="M697" s="56" t="s">
        <v>86</v>
      </c>
    </row>
    <row r="698" spans="1:13" x14ac:dyDescent="0.4">
      <c r="A698" s="275">
        <v>683</v>
      </c>
      <c r="B698" s="259" t="s">
        <v>80</v>
      </c>
      <c r="C698" s="228" t="s">
        <v>81</v>
      </c>
      <c r="D698" s="247" t="s">
        <v>209</v>
      </c>
      <c r="E698" s="49" t="s">
        <v>173</v>
      </c>
      <c r="F698" s="76">
        <v>44457.735486111102</v>
      </c>
      <c r="G698" s="76">
        <v>44457.736562500002</v>
      </c>
      <c r="H698" s="84" t="s">
        <v>257</v>
      </c>
      <c r="I698" s="117">
        <v>44539.6820717593</v>
      </c>
      <c r="J698" s="117">
        <v>44538.604351851798</v>
      </c>
      <c r="K698" s="92" t="s">
        <v>85</v>
      </c>
      <c r="L698" s="101">
        <v>12000</v>
      </c>
      <c r="M698" s="56" t="s">
        <v>86</v>
      </c>
    </row>
    <row r="699" spans="1:13" x14ac:dyDescent="0.4">
      <c r="A699" s="275"/>
      <c r="B699" s="260"/>
      <c r="C699" s="229"/>
      <c r="D699" s="248"/>
      <c r="E699" s="49"/>
      <c r="F699" s="76">
        <v>45283.674282407403</v>
      </c>
      <c r="G699" s="76">
        <v>45285.637395833299</v>
      </c>
      <c r="H699" s="84" t="s">
        <v>182</v>
      </c>
      <c r="I699" s="117">
        <v>45374.6945486111</v>
      </c>
      <c r="J699" s="117">
        <v>45373.682997685202</v>
      </c>
      <c r="K699" s="92" t="s">
        <v>85</v>
      </c>
      <c r="L699" s="101">
        <v>12000</v>
      </c>
      <c r="M699" s="56" t="s">
        <v>86</v>
      </c>
    </row>
    <row r="700" spans="1:13" x14ac:dyDescent="0.4">
      <c r="A700" s="275">
        <v>684</v>
      </c>
      <c r="B700" s="259" t="s">
        <v>80</v>
      </c>
      <c r="C700" s="228" t="s">
        <v>81</v>
      </c>
      <c r="D700" s="247" t="s">
        <v>213</v>
      </c>
      <c r="E700" s="49" t="s">
        <v>173</v>
      </c>
      <c r="F700" s="76">
        <v>44457.735486111102</v>
      </c>
      <c r="G700" s="76">
        <v>44457.736562500002</v>
      </c>
      <c r="H700" s="84" t="s">
        <v>257</v>
      </c>
      <c r="I700" s="117">
        <v>44575.738715277803</v>
      </c>
      <c r="J700" s="117">
        <v>44574.552164351902</v>
      </c>
      <c r="K700" s="92" t="s">
        <v>85</v>
      </c>
      <c r="L700" s="101">
        <v>12000</v>
      </c>
      <c r="M700" s="56" t="s">
        <v>86</v>
      </c>
    </row>
    <row r="701" spans="1:13" x14ac:dyDescent="0.4">
      <c r="A701" s="275"/>
      <c r="B701" s="260"/>
      <c r="C701" s="229"/>
      <c r="D701" s="248"/>
      <c r="E701" s="49" t="s">
        <v>269</v>
      </c>
      <c r="F701" s="76">
        <v>45283.674282407403</v>
      </c>
      <c r="G701" s="76">
        <v>45285.637395833299</v>
      </c>
      <c r="H701" s="84" t="s">
        <v>182</v>
      </c>
      <c r="I701" s="117">
        <v>45374.694513888899</v>
      </c>
      <c r="J701" s="117">
        <v>45373.683043981502</v>
      </c>
      <c r="K701" s="92" t="s">
        <v>85</v>
      </c>
      <c r="L701" s="101">
        <v>12000</v>
      </c>
      <c r="M701" s="56" t="s">
        <v>86</v>
      </c>
    </row>
    <row r="702" spans="1:13" x14ac:dyDescent="0.4">
      <c r="A702" s="275">
        <v>685</v>
      </c>
      <c r="B702" s="259" t="s">
        <v>80</v>
      </c>
      <c r="C702" s="228" t="s">
        <v>81</v>
      </c>
      <c r="D702" s="247" t="s">
        <v>270</v>
      </c>
      <c r="E702" s="49" t="s">
        <v>173</v>
      </c>
      <c r="F702" s="76">
        <v>44457.735486111102</v>
      </c>
      <c r="G702" s="76">
        <v>44457.736562500002</v>
      </c>
      <c r="H702" s="84" t="s">
        <v>257</v>
      </c>
      <c r="I702" s="117">
        <v>44539.6819328704</v>
      </c>
      <c r="J702" s="117">
        <v>44538.604444444398</v>
      </c>
      <c r="K702" s="92" t="s">
        <v>85</v>
      </c>
      <c r="L702" s="101">
        <v>12000</v>
      </c>
      <c r="M702" s="56" t="s">
        <v>86</v>
      </c>
    </row>
    <row r="703" spans="1:13" x14ac:dyDescent="0.4">
      <c r="A703" s="275"/>
      <c r="B703" s="260"/>
      <c r="C703" s="229"/>
      <c r="D703" s="248"/>
      <c r="E703" s="49" t="s">
        <v>269</v>
      </c>
      <c r="F703" s="76">
        <v>45283.674282407403</v>
      </c>
      <c r="G703" s="76">
        <v>45285.637395833299</v>
      </c>
      <c r="H703" s="84" t="s">
        <v>182</v>
      </c>
      <c r="I703" s="117">
        <v>45374.695891203701</v>
      </c>
      <c r="J703" s="117">
        <v>45373.683090277802</v>
      </c>
      <c r="K703" s="92" t="s">
        <v>85</v>
      </c>
      <c r="L703" s="101">
        <v>12000</v>
      </c>
      <c r="M703" s="56" t="s">
        <v>86</v>
      </c>
    </row>
    <row r="704" spans="1:13" x14ac:dyDescent="0.4">
      <c r="A704" s="275">
        <v>686</v>
      </c>
      <c r="B704" s="259" t="s">
        <v>80</v>
      </c>
      <c r="C704" s="228" t="s">
        <v>81</v>
      </c>
      <c r="D704" s="247" t="s">
        <v>95</v>
      </c>
      <c r="E704" s="49" t="s">
        <v>173</v>
      </c>
      <c r="F704" s="76">
        <v>44457.735486111102</v>
      </c>
      <c r="G704" s="76">
        <v>44457.736562500002</v>
      </c>
      <c r="H704" s="84" t="s">
        <v>257</v>
      </c>
      <c r="I704" s="117">
        <v>44569.872094907398</v>
      </c>
      <c r="J704" s="117">
        <v>44568.461053240702</v>
      </c>
      <c r="K704" s="92" t="s">
        <v>85</v>
      </c>
      <c r="L704" s="101">
        <v>12000</v>
      </c>
      <c r="M704" s="56" t="s">
        <v>86</v>
      </c>
    </row>
    <row r="705" spans="1:13" x14ac:dyDescent="0.4">
      <c r="A705" s="275"/>
      <c r="B705" s="260"/>
      <c r="C705" s="229"/>
      <c r="D705" s="248"/>
      <c r="E705" s="49" t="s">
        <v>269</v>
      </c>
      <c r="F705" s="76">
        <v>45267.618321759299</v>
      </c>
      <c r="G705" s="76">
        <v>45267.388587963003</v>
      </c>
      <c r="H705" s="84" t="s">
        <v>182</v>
      </c>
      <c r="I705" s="117">
        <v>45374.6958564815</v>
      </c>
      <c r="J705" s="117">
        <v>45373.683194444398</v>
      </c>
      <c r="K705" s="92" t="s">
        <v>85</v>
      </c>
      <c r="L705" s="101">
        <v>12000</v>
      </c>
      <c r="M705" s="56" t="s">
        <v>86</v>
      </c>
    </row>
    <row r="706" spans="1:13" x14ac:dyDescent="0.4">
      <c r="A706" s="275">
        <v>687</v>
      </c>
      <c r="B706" s="259" t="s">
        <v>80</v>
      </c>
      <c r="C706" s="228" t="s">
        <v>81</v>
      </c>
      <c r="D706" s="247" t="s">
        <v>97</v>
      </c>
      <c r="E706" s="49" t="s">
        <v>173</v>
      </c>
      <c r="F706" s="76">
        <v>44457.735486111102</v>
      </c>
      <c r="G706" s="76">
        <v>44457.736562500002</v>
      </c>
      <c r="H706" s="84" t="s">
        <v>257</v>
      </c>
      <c r="I706" s="117">
        <v>44539.692696759303</v>
      </c>
      <c r="J706" s="117">
        <v>44538.604513888902</v>
      </c>
      <c r="K706" s="92" t="s">
        <v>85</v>
      </c>
      <c r="L706" s="101">
        <v>12000</v>
      </c>
      <c r="M706" s="56" t="s">
        <v>86</v>
      </c>
    </row>
    <row r="707" spans="1:13" x14ac:dyDescent="0.4">
      <c r="A707" s="275"/>
      <c r="B707" s="260"/>
      <c r="C707" s="229"/>
      <c r="D707" s="248"/>
      <c r="E707" s="49" t="s">
        <v>269</v>
      </c>
      <c r="F707" s="76">
        <v>45267.618321759299</v>
      </c>
      <c r="G707" s="76">
        <v>45267.388587963003</v>
      </c>
      <c r="H707" s="84" t="s">
        <v>182</v>
      </c>
      <c r="I707" s="117">
        <v>45374.695891203701</v>
      </c>
      <c r="J707" s="117">
        <v>45373.683298611097</v>
      </c>
      <c r="K707" s="92" t="s">
        <v>85</v>
      </c>
      <c r="L707" s="101">
        <v>12000</v>
      </c>
      <c r="M707" s="56" t="s">
        <v>86</v>
      </c>
    </row>
    <row r="708" spans="1:13" x14ac:dyDescent="0.4">
      <c r="A708" s="275">
        <v>688</v>
      </c>
      <c r="B708" s="259" t="s">
        <v>80</v>
      </c>
      <c r="C708" s="228" t="s">
        <v>81</v>
      </c>
      <c r="D708" s="247" t="s">
        <v>98</v>
      </c>
      <c r="E708" s="49" t="s">
        <v>173</v>
      </c>
      <c r="F708" s="76">
        <v>44457.735486111102</v>
      </c>
      <c r="G708" s="76">
        <v>44457.736562500002</v>
      </c>
      <c r="H708" s="240" t="s">
        <v>257</v>
      </c>
      <c r="I708" s="117">
        <v>44569.748865740701</v>
      </c>
      <c r="J708" s="117">
        <v>44568.460995370398</v>
      </c>
      <c r="K708" s="92" t="s">
        <v>85</v>
      </c>
      <c r="L708" s="101">
        <v>12000</v>
      </c>
      <c r="M708" s="56" t="s">
        <v>86</v>
      </c>
    </row>
    <row r="709" spans="1:13" x14ac:dyDescent="0.4">
      <c r="A709" s="275"/>
      <c r="B709" s="274"/>
      <c r="C709" s="258"/>
      <c r="D709" s="256"/>
      <c r="E709" s="49"/>
      <c r="F709" s="76"/>
      <c r="G709" s="76"/>
      <c r="H709" s="242"/>
      <c r="I709" s="117">
        <v>44575.738715277803</v>
      </c>
      <c r="J709" s="117">
        <v>44574.552268518499</v>
      </c>
      <c r="K709" s="92" t="s">
        <v>85</v>
      </c>
      <c r="L709" s="101">
        <v>12000</v>
      </c>
      <c r="M709" s="56" t="s">
        <v>86</v>
      </c>
    </row>
    <row r="710" spans="1:13" x14ac:dyDescent="0.4">
      <c r="A710" s="275"/>
      <c r="B710" s="260"/>
      <c r="C710" s="229"/>
      <c r="D710" s="248"/>
      <c r="E710" s="49" t="s">
        <v>269</v>
      </c>
      <c r="F710" s="76">
        <v>45267.618321759299</v>
      </c>
      <c r="G710" s="76">
        <v>45267.388587963003</v>
      </c>
      <c r="H710" s="84" t="s">
        <v>182</v>
      </c>
      <c r="I710" s="117">
        <v>45374.6958564815</v>
      </c>
      <c r="J710" s="117">
        <v>45373.683344907397</v>
      </c>
      <c r="K710" s="92" t="s">
        <v>85</v>
      </c>
      <c r="L710" s="101">
        <v>12000</v>
      </c>
      <c r="M710" s="56" t="s">
        <v>86</v>
      </c>
    </row>
    <row r="711" spans="1:13" x14ac:dyDescent="0.4">
      <c r="A711" s="275">
        <v>689</v>
      </c>
      <c r="B711" s="259" t="s">
        <v>80</v>
      </c>
      <c r="C711" s="228" t="s">
        <v>81</v>
      </c>
      <c r="D711" s="247" t="s">
        <v>271</v>
      </c>
      <c r="E711" s="49" t="s">
        <v>173</v>
      </c>
      <c r="F711" s="76">
        <v>44457.735486111102</v>
      </c>
      <c r="G711" s="76">
        <v>44457.736562500002</v>
      </c>
      <c r="H711" s="84" t="s">
        <v>257</v>
      </c>
      <c r="I711" s="117">
        <v>44569.880162037</v>
      </c>
      <c r="J711" s="117">
        <v>44568.461215277799</v>
      </c>
      <c r="K711" s="92" t="s">
        <v>85</v>
      </c>
      <c r="L711" s="101">
        <v>12000</v>
      </c>
      <c r="M711" s="56" t="s">
        <v>86</v>
      </c>
    </row>
    <row r="712" spans="1:13" x14ac:dyDescent="0.4">
      <c r="A712" s="275"/>
      <c r="B712" s="260"/>
      <c r="C712" s="229"/>
      <c r="D712" s="248"/>
      <c r="E712" s="49" t="s">
        <v>269</v>
      </c>
      <c r="F712" s="76">
        <v>45283.674282407403</v>
      </c>
      <c r="G712" s="76">
        <v>45285.637395833299</v>
      </c>
      <c r="H712" s="84" t="s">
        <v>182</v>
      </c>
      <c r="I712" s="117">
        <v>45374.700150463003</v>
      </c>
      <c r="J712" s="117">
        <v>45373.683379629598</v>
      </c>
      <c r="K712" s="92" t="s">
        <v>85</v>
      </c>
      <c r="L712" s="101">
        <v>12000</v>
      </c>
      <c r="M712" s="56" t="s">
        <v>86</v>
      </c>
    </row>
    <row r="713" spans="1:13" x14ac:dyDescent="0.4">
      <c r="A713" s="275">
        <v>690</v>
      </c>
      <c r="B713" s="259" t="s">
        <v>80</v>
      </c>
      <c r="C713" s="228" t="s">
        <v>81</v>
      </c>
      <c r="D713" s="247" t="s">
        <v>272</v>
      </c>
      <c r="E713" s="49" t="s">
        <v>173</v>
      </c>
      <c r="F713" s="76">
        <v>44457.735486111102</v>
      </c>
      <c r="G713" s="76">
        <v>44457.736562500002</v>
      </c>
      <c r="H713" s="84" t="s">
        <v>257</v>
      </c>
      <c r="I713" s="117">
        <v>44580.755162037</v>
      </c>
      <c r="J713" s="117">
        <v>44579.406041666698</v>
      </c>
      <c r="K713" s="92" t="s">
        <v>85</v>
      </c>
      <c r="L713" s="101">
        <v>12000</v>
      </c>
      <c r="M713" s="56" t="s">
        <v>86</v>
      </c>
    </row>
    <row r="714" spans="1:13" x14ac:dyDescent="0.4">
      <c r="A714" s="275"/>
      <c r="B714" s="260"/>
      <c r="C714" s="229"/>
      <c r="D714" s="248"/>
      <c r="E714" s="49" t="s">
        <v>269</v>
      </c>
      <c r="F714" s="76">
        <v>45267.618321759299</v>
      </c>
      <c r="G714" s="76">
        <v>45267.388587963003</v>
      </c>
      <c r="H714" s="84" t="s">
        <v>257</v>
      </c>
      <c r="I714" s="117"/>
      <c r="J714" s="117"/>
      <c r="K714" s="92" t="s">
        <v>85</v>
      </c>
      <c r="L714" s="101">
        <v>12000</v>
      </c>
      <c r="M714" s="56" t="s">
        <v>86</v>
      </c>
    </row>
    <row r="715" spans="1:13" x14ac:dyDescent="0.4">
      <c r="A715" s="275">
        <v>691</v>
      </c>
      <c r="B715" s="259" t="s">
        <v>80</v>
      </c>
      <c r="C715" s="228" t="s">
        <v>81</v>
      </c>
      <c r="D715" s="247" t="s">
        <v>99</v>
      </c>
      <c r="E715" s="49" t="s">
        <v>173</v>
      </c>
      <c r="F715" s="76">
        <v>44457.735486111102</v>
      </c>
      <c r="G715" s="76">
        <v>44457.736562500002</v>
      </c>
      <c r="H715" s="84" t="s">
        <v>257</v>
      </c>
      <c r="I715" s="117">
        <v>44539.692731481497</v>
      </c>
      <c r="J715" s="117">
        <v>44538.604606481502</v>
      </c>
      <c r="K715" s="92" t="s">
        <v>85</v>
      </c>
      <c r="L715" s="101">
        <v>12000</v>
      </c>
      <c r="M715" s="56" t="s">
        <v>86</v>
      </c>
    </row>
    <row r="716" spans="1:13" x14ac:dyDescent="0.4">
      <c r="A716" s="275"/>
      <c r="B716" s="260"/>
      <c r="C716" s="229"/>
      <c r="D716" s="248"/>
      <c r="E716" s="49" t="s">
        <v>269</v>
      </c>
      <c r="F716" s="76">
        <v>45267.618321759299</v>
      </c>
      <c r="G716" s="76">
        <v>45267.388587963003</v>
      </c>
      <c r="H716" s="84" t="s">
        <v>257</v>
      </c>
      <c r="I716" s="117"/>
      <c r="J716" s="117"/>
      <c r="K716" s="92" t="s">
        <v>85</v>
      </c>
      <c r="L716" s="101">
        <v>12000</v>
      </c>
      <c r="M716" s="56" t="s">
        <v>86</v>
      </c>
    </row>
    <row r="717" spans="1:13" x14ac:dyDescent="0.4">
      <c r="A717" s="275">
        <v>692</v>
      </c>
      <c r="B717" s="259" t="s">
        <v>80</v>
      </c>
      <c r="C717" s="228" t="s">
        <v>81</v>
      </c>
      <c r="D717" s="247" t="s">
        <v>100</v>
      </c>
      <c r="E717" s="49" t="s">
        <v>173</v>
      </c>
      <c r="F717" s="76">
        <v>44457.735486111102</v>
      </c>
      <c r="G717" s="76">
        <v>44457.736562500002</v>
      </c>
      <c r="H717" s="84" t="s">
        <v>257</v>
      </c>
      <c r="I717" s="117">
        <v>44569.880162037</v>
      </c>
      <c r="J717" s="117">
        <v>44568.461307870399</v>
      </c>
      <c r="K717" s="92" t="s">
        <v>85</v>
      </c>
      <c r="L717" s="101">
        <v>12000</v>
      </c>
      <c r="M717" s="56" t="s">
        <v>86</v>
      </c>
    </row>
    <row r="718" spans="1:13" x14ac:dyDescent="0.4">
      <c r="A718" s="275"/>
      <c r="B718" s="260"/>
      <c r="C718" s="229"/>
      <c r="D718" s="248"/>
      <c r="E718" s="49" t="s">
        <v>269</v>
      </c>
      <c r="F718" s="76">
        <v>45267.618321759299</v>
      </c>
      <c r="G718" s="76">
        <v>45267.388587963003</v>
      </c>
      <c r="H718" s="84" t="s">
        <v>257</v>
      </c>
      <c r="I718" s="84"/>
      <c r="J718" s="84"/>
      <c r="K718" s="92" t="s">
        <v>85</v>
      </c>
      <c r="L718" s="101">
        <v>12000</v>
      </c>
      <c r="M718" s="56" t="s">
        <v>86</v>
      </c>
    </row>
    <row r="719" spans="1:13" x14ac:dyDescent="0.4">
      <c r="A719" s="275">
        <v>693</v>
      </c>
      <c r="B719" s="259" t="s">
        <v>80</v>
      </c>
      <c r="C719" s="228" t="s">
        <v>81</v>
      </c>
      <c r="D719" s="247" t="s">
        <v>101</v>
      </c>
      <c r="E719" s="49" t="s">
        <v>173</v>
      </c>
      <c r="F719" s="76">
        <v>44457.735486111102</v>
      </c>
      <c r="G719" s="76">
        <v>44457.736562500002</v>
      </c>
      <c r="H719" s="84" t="s">
        <v>257</v>
      </c>
      <c r="I719" s="117">
        <v>44539.692731481497</v>
      </c>
      <c r="J719" s="117">
        <v>44538.605000000003</v>
      </c>
      <c r="K719" s="92" t="s">
        <v>85</v>
      </c>
      <c r="L719" s="101">
        <v>12000</v>
      </c>
      <c r="M719" s="56" t="s">
        <v>86</v>
      </c>
    </row>
    <row r="720" spans="1:13" x14ac:dyDescent="0.4">
      <c r="A720" s="275"/>
      <c r="B720" s="260"/>
      <c r="C720" s="229"/>
      <c r="D720" s="248"/>
      <c r="E720" s="49" t="s">
        <v>269</v>
      </c>
      <c r="F720" s="76">
        <v>45267.618321759299</v>
      </c>
      <c r="G720" s="76">
        <v>45267.388587963003</v>
      </c>
      <c r="H720" s="84" t="s">
        <v>257</v>
      </c>
      <c r="I720" s="117"/>
      <c r="J720" s="117"/>
      <c r="K720" s="92" t="s">
        <v>85</v>
      </c>
      <c r="L720" s="101">
        <v>12000</v>
      </c>
      <c r="M720" s="56" t="s">
        <v>86</v>
      </c>
    </row>
    <row r="721" spans="1:13" x14ac:dyDescent="0.4">
      <c r="A721" s="275">
        <v>694</v>
      </c>
      <c r="B721" s="259" t="s">
        <v>80</v>
      </c>
      <c r="C721" s="228" t="s">
        <v>81</v>
      </c>
      <c r="D721" s="247" t="s">
        <v>102</v>
      </c>
      <c r="E721" s="49" t="s">
        <v>173</v>
      </c>
      <c r="F721" s="76">
        <v>44457.735486111102</v>
      </c>
      <c r="G721" s="76">
        <v>44457.736562500002</v>
      </c>
      <c r="H721" s="84" t="s">
        <v>257</v>
      </c>
      <c r="I721" s="117">
        <v>44569.8894097222</v>
      </c>
      <c r="J721" s="117">
        <v>44568.461365740703</v>
      </c>
      <c r="K721" s="92" t="s">
        <v>85</v>
      </c>
      <c r="L721" s="101">
        <v>12000</v>
      </c>
      <c r="M721" s="56" t="s">
        <v>86</v>
      </c>
    </row>
    <row r="722" spans="1:13" x14ac:dyDescent="0.4">
      <c r="A722" s="275"/>
      <c r="B722" s="260"/>
      <c r="C722" s="229"/>
      <c r="D722" s="248"/>
      <c r="E722" s="49" t="s">
        <v>269</v>
      </c>
      <c r="F722" s="76">
        <v>45267.618321759299</v>
      </c>
      <c r="G722" s="76">
        <v>45267.388587963003</v>
      </c>
      <c r="H722" s="84" t="s">
        <v>257</v>
      </c>
      <c r="I722" s="117"/>
      <c r="J722" s="117"/>
      <c r="K722" s="92" t="s">
        <v>85</v>
      </c>
      <c r="L722" s="101">
        <v>12000</v>
      </c>
      <c r="M722" s="56" t="s">
        <v>86</v>
      </c>
    </row>
    <row r="723" spans="1:13" x14ac:dyDescent="0.4">
      <c r="A723" s="275">
        <v>695</v>
      </c>
      <c r="B723" s="259" t="s">
        <v>80</v>
      </c>
      <c r="C723" s="228" t="s">
        <v>81</v>
      </c>
      <c r="D723" s="247" t="s">
        <v>103</v>
      </c>
      <c r="E723" s="49" t="s">
        <v>173</v>
      </c>
      <c r="F723" s="76">
        <v>44457.735486111102</v>
      </c>
      <c r="G723" s="76">
        <v>44457.736562500002</v>
      </c>
      <c r="H723" s="84" t="s">
        <v>257</v>
      </c>
      <c r="I723" s="117">
        <v>44539.696550925903</v>
      </c>
      <c r="J723" s="117">
        <v>44538.605138888903</v>
      </c>
      <c r="K723" s="92" t="s">
        <v>85</v>
      </c>
      <c r="L723" s="101">
        <v>12000</v>
      </c>
      <c r="M723" s="56" t="s">
        <v>86</v>
      </c>
    </row>
    <row r="724" spans="1:13" x14ac:dyDescent="0.4">
      <c r="A724" s="275"/>
      <c r="B724" s="260"/>
      <c r="C724" s="229"/>
      <c r="D724" s="248"/>
      <c r="E724" s="49" t="s">
        <v>269</v>
      </c>
      <c r="F724" s="76">
        <v>45267.618321759299</v>
      </c>
      <c r="G724" s="76">
        <v>45267.388587963003</v>
      </c>
      <c r="H724" s="84" t="s">
        <v>257</v>
      </c>
      <c r="I724" s="117"/>
      <c r="J724" s="117"/>
      <c r="K724" s="92" t="s">
        <v>85</v>
      </c>
      <c r="L724" s="101">
        <v>12000</v>
      </c>
      <c r="M724" s="56" t="s">
        <v>86</v>
      </c>
    </row>
    <row r="725" spans="1:13" x14ac:dyDescent="0.4">
      <c r="A725" s="275">
        <v>696</v>
      </c>
      <c r="B725" s="259" t="s">
        <v>80</v>
      </c>
      <c r="C725" s="228" t="s">
        <v>81</v>
      </c>
      <c r="D725" s="247" t="s">
        <v>104</v>
      </c>
      <c r="E725" s="49" t="s">
        <v>173</v>
      </c>
      <c r="F725" s="76">
        <v>44457.735486111102</v>
      </c>
      <c r="G725" s="76">
        <v>44457.736562500002</v>
      </c>
      <c r="H725" s="84" t="s">
        <v>257</v>
      </c>
      <c r="I725" s="117">
        <v>44569.8894097222</v>
      </c>
      <c r="J725" s="117">
        <v>44568.461412037002</v>
      </c>
      <c r="K725" s="92" t="s">
        <v>85</v>
      </c>
      <c r="L725" s="101">
        <v>12000</v>
      </c>
      <c r="M725" s="56" t="s">
        <v>86</v>
      </c>
    </row>
    <row r="726" spans="1:13" x14ac:dyDescent="0.4">
      <c r="A726" s="275"/>
      <c r="B726" s="260"/>
      <c r="C726" s="229"/>
      <c r="D726" s="248"/>
      <c r="E726" s="49" t="s">
        <v>269</v>
      </c>
      <c r="F726" s="76">
        <v>45267.618321759299</v>
      </c>
      <c r="G726" s="76">
        <v>45267.388587963003</v>
      </c>
      <c r="H726" s="84" t="s">
        <v>257</v>
      </c>
      <c r="I726" s="117"/>
      <c r="J726" s="117"/>
      <c r="K726" s="92" t="s">
        <v>85</v>
      </c>
      <c r="L726" s="101">
        <v>12000</v>
      </c>
      <c r="M726" s="56" t="s">
        <v>86</v>
      </c>
    </row>
    <row r="727" spans="1:13" x14ac:dyDescent="0.4">
      <c r="A727" s="275">
        <v>697</v>
      </c>
      <c r="B727" s="259" t="s">
        <v>80</v>
      </c>
      <c r="C727" s="228" t="s">
        <v>81</v>
      </c>
      <c r="D727" s="247" t="s">
        <v>105</v>
      </c>
      <c r="E727" s="49" t="s">
        <v>173</v>
      </c>
      <c r="F727" s="76">
        <v>44457.735486111102</v>
      </c>
      <c r="G727" s="76">
        <v>44457.736562500002</v>
      </c>
      <c r="H727" s="84" t="s">
        <v>257</v>
      </c>
      <c r="I727" s="117">
        <v>44569.8894097222</v>
      </c>
      <c r="J727" s="117">
        <v>44568.461458333302</v>
      </c>
      <c r="K727" s="92" t="s">
        <v>85</v>
      </c>
      <c r="L727" s="101">
        <v>12000</v>
      </c>
      <c r="M727" s="56" t="s">
        <v>86</v>
      </c>
    </row>
    <row r="728" spans="1:13" x14ac:dyDescent="0.4">
      <c r="A728" s="275"/>
      <c r="B728" s="260"/>
      <c r="C728" s="229"/>
      <c r="D728" s="248"/>
      <c r="E728" s="49" t="s">
        <v>269</v>
      </c>
      <c r="F728" s="76">
        <v>45267.618321759299</v>
      </c>
      <c r="G728" s="76">
        <v>45267.388587963003</v>
      </c>
      <c r="H728" s="84" t="s">
        <v>257</v>
      </c>
      <c r="I728" s="117"/>
      <c r="J728" s="117"/>
      <c r="K728" s="92" t="s">
        <v>85</v>
      </c>
      <c r="L728" s="101">
        <v>12000</v>
      </c>
      <c r="M728" s="56" t="s">
        <v>86</v>
      </c>
    </row>
    <row r="729" spans="1:13" x14ac:dyDescent="0.4">
      <c r="A729" s="275">
        <v>698</v>
      </c>
      <c r="B729" s="259" t="s">
        <v>80</v>
      </c>
      <c r="C729" s="228" t="s">
        <v>81</v>
      </c>
      <c r="D729" s="247" t="s">
        <v>106</v>
      </c>
      <c r="E729" s="49" t="s">
        <v>173</v>
      </c>
      <c r="F729" s="76">
        <v>44457.735486111102</v>
      </c>
      <c r="G729" s="76">
        <v>44457.736562500002</v>
      </c>
      <c r="H729" s="84" t="s">
        <v>257</v>
      </c>
      <c r="I729" s="117">
        <v>44580.755162037</v>
      </c>
      <c r="J729" s="117">
        <v>44579.40625</v>
      </c>
      <c r="K729" s="92" t="s">
        <v>85</v>
      </c>
      <c r="L729" s="101">
        <v>12000</v>
      </c>
      <c r="M729" s="56" t="s">
        <v>86</v>
      </c>
    </row>
    <row r="730" spans="1:13" x14ac:dyDescent="0.4">
      <c r="A730" s="275"/>
      <c r="B730" s="260"/>
      <c r="C730" s="229"/>
      <c r="D730" s="248"/>
      <c r="E730" s="49" t="s">
        <v>269</v>
      </c>
      <c r="F730" s="76">
        <v>45267.618321759299</v>
      </c>
      <c r="G730" s="76">
        <v>45267.388587963003</v>
      </c>
      <c r="H730" s="84" t="s">
        <v>257</v>
      </c>
      <c r="I730" s="117"/>
      <c r="J730" s="117"/>
      <c r="K730" s="92" t="s">
        <v>85</v>
      </c>
      <c r="L730" s="101">
        <v>12000</v>
      </c>
      <c r="M730" s="56" t="s">
        <v>86</v>
      </c>
    </row>
    <row r="731" spans="1:13" x14ac:dyDescent="0.4">
      <c r="A731" s="35">
        <v>699</v>
      </c>
      <c r="B731" s="92" t="s">
        <v>80</v>
      </c>
      <c r="C731" s="56" t="s">
        <v>81</v>
      </c>
      <c r="D731" s="84" t="s">
        <v>107</v>
      </c>
      <c r="E731" s="49" t="s">
        <v>173</v>
      </c>
      <c r="F731" s="76">
        <v>44457.735486111102</v>
      </c>
      <c r="G731" s="76">
        <v>44457.736562500002</v>
      </c>
      <c r="H731" s="84" t="s">
        <v>257</v>
      </c>
      <c r="I731" s="53"/>
      <c r="J731" s="53"/>
      <c r="K731" s="92" t="s">
        <v>85</v>
      </c>
      <c r="L731" s="101">
        <v>12000</v>
      </c>
      <c r="M731" s="56" t="s">
        <v>86</v>
      </c>
    </row>
    <row r="732" spans="1:13" x14ac:dyDescent="0.4">
      <c r="A732" s="275">
        <v>700</v>
      </c>
      <c r="B732" s="259" t="s">
        <v>80</v>
      </c>
      <c r="C732" s="228" t="s">
        <v>81</v>
      </c>
      <c r="D732" s="247" t="s">
        <v>108</v>
      </c>
      <c r="E732" s="49" t="s">
        <v>173</v>
      </c>
      <c r="F732" s="76">
        <v>44457.735486111102</v>
      </c>
      <c r="G732" s="76">
        <v>44457.736562500002</v>
      </c>
      <c r="H732" s="84" t="s">
        <v>257</v>
      </c>
      <c r="I732" s="117">
        <v>44539.696157407401</v>
      </c>
      <c r="J732" s="117">
        <v>44538.605196759301</v>
      </c>
      <c r="K732" s="92" t="s">
        <v>85</v>
      </c>
      <c r="L732" s="101">
        <v>12000</v>
      </c>
      <c r="M732" s="56" t="s">
        <v>86</v>
      </c>
    </row>
    <row r="733" spans="1:13" x14ac:dyDescent="0.4">
      <c r="A733" s="275"/>
      <c r="B733" s="260"/>
      <c r="C733" s="229"/>
      <c r="D733" s="248"/>
      <c r="E733" s="49" t="s">
        <v>269</v>
      </c>
      <c r="F733" s="76">
        <v>45267.618321759299</v>
      </c>
      <c r="G733" s="76">
        <v>45267.388587963003</v>
      </c>
      <c r="H733" s="84" t="s">
        <v>257</v>
      </c>
      <c r="I733" s="117"/>
      <c r="J733" s="117"/>
      <c r="K733" s="92" t="s">
        <v>85</v>
      </c>
      <c r="L733" s="101">
        <v>12000</v>
      </c>
      <c r="M733" s="56" t="s">
        <v>86</v>
      </c>
    </row>
    <row r="734" spans="1:13" x14ac:dyDescent="0.4">
      <c r="A734" s="35">
        <v>701</v>
      </c>
      <c r="B734" s="92" t="s">
        <v>80</v>
      </c>
      <c r="C734" s="56" t="s">
        <v>81</v>
      </c>
      <c r="D734" s="84" t="s">
        <v>109</v>
      </c>
      <c r="E734" s="49" t="s">
        <v>173</v>
      </c>
      <c r="F734" s="76">
        <v>44457.735486111102</v>
      </c>
      <c r="G734" s="76">
        <v>44457.736562500002</v>
      </c>
      <c r="H734" s="84" t="s">
        <v>257</v>
      </c>
      <c r="I734" s="53"/>
      <c r="J734" s="53"/>
      <c r="K734" s="92" t="s">
        <v>85</v>
      </c>
      <c r="L734" s="101">
        <v>12000</v>
      </c>
      <c r="M734" s="56" t="s">
        <v>86</v>
      </c>
    </row>
    <row r="735" spans="1:13" x14ac:dyDescent="0.4">
      <c r="A735" s="35">
        <v>702</v>
      </c>
      <c r="B735" s="92" t="s">
        <v>80</v>
      </c>
      <c r="C735" s="56" t="s">
        <v>81</v>
      </c>
      <c r="D735" s="84" t="s">
        <v>110</v>
      </c>
      <c r="E735" s="49" t="s">
        <v>173</v>
      </c>
      <c r="F735" s="76">
        <v>44457.735486111102</v>
      </c>
      <c r="G735" s="76">
        <v>44457.736562500002</v>
      </c>
      <c r="H735" s="84" t="s">
        <v>257</v>
      </c>
      <c r="I735" s="117">
        <v>44510.453784722202</v>
      </c>
      <c r="J735" s="117">
        <v>44508.544513888897</v>
      </c>
      <c r="K735" s="92" t="s">
        <v>85</v>
      </c>
      <c r="L735" s="101">
        <v>12000</v>
      </c>
      <c r="M735" s="56" t="s">
        <v>86</v>
      </c>
    </row>
    <row r="736" spans="1:13" x14ac:dyDescent="0.4">
      <c r="A736" s="35">
        <v>711</v>
      </c>
      <c r="B736" s="92" t="s">
        <v>80</v>
      </c>
      <c r="C736" s="56" t="s">
        <v>266</v>
      </c>
      <c r="D736" s="84" t="s">
        <v>111</v>
      </c>
      <c r="E736" s="49" t="s">
        <v>173</v>
      </c>
      <c r="F736" s="76">
        <v>44464.666087963</v>
      </c>
      <c r="G736" s="76">
        <v>44465.596759259301</v>
      </c>
      <c r="H736" s="84" t="s">
        <v>257</v>
      </c>
      <c r="I736" s="117">
        <v>44539.709780092599</v>
      </c>
      <c r="J736" s="117">
        <v>44538.603611111103</v>
      </c>
      <c r="K736" s="92" t="s">
        <v>85</v>
      </c>
      <c r="L736" s="101">
        <v>12000</v>
      </c>
      <c r="M736" s="56" t="s">
        <v>86</v>
      </c>
    </row>
    <row r="737" spans="1:13" x14ac:dyDescent="0.4">
      <c r="A737" s="35">
        <v>712</v>
      </c>
      <c r="B737" s="92" t="s">
        <v>80</v>
      </c>
      <c r="C737" s="56" t="s">
        <v>266</v>
      </c>
      <c r="D737" s="84" t="s">
        <v>112</v>
      </c>
      <c r="E737" s="49" t="s">
        <v>173</v>
      </c>
      <c r="F737" s="76">
        <v>44464.666087963</v>
      </c>
      <c r="G737" s="76">
        <v>44465.596759259301</v>
      </c>
      <c r="H737" s="84" t="s">
        <v>257</v>
      </c>
      <c r="I737" s="53"/>
      <c r="J737" s="53"/>
      <c r="K737" s="92" t="s">
        <v>85</v>
      </c>
      <c r="L737" s="101">
        <v>12000</v>
      </c>
      <c r="M737" s="56" t="s">
        <v>86</v>
      </c>
    </row>
    <row r="738" spans="1:13" x14ac:dyDescent="0.4">
      <c r="A738" s="35">
        <v>713</v>
      </c>
      <c r="B738" s="92" t="s">
        <v>80</v>
      </c>
      <c r="C738" s="56" t="s">
        <v>266</v>
      </c>
      <c r="D738" s="84" t="s">
        <v>169</v>
      </c>
      <c r="E738" s="49" t="s">
        <v>173</v>
      </c>
      <c r="F738" s="76">
        <v>44464.666087963</v>
      </c>
      <c r="G738" s="76">
        <v>44465.596759259301</v>
      </c>
      <c r="H738" s="84" t="s">
        <v>257</v>
      </c>
      <c r="I738" s="117">
        <v>44591.896747685198</v>
      </c>
      <c r="J738" s="117">
        <v>44591.375289351898</v>
      </c>
      <c r="K738" s="92" t="s">
        <v>85</v>
      </c>
      <c r="L738" s="101">
        <v>12000</v>
      </c>
      <c r="M738" s="56" t="s">
        <v>86</v>
      </c>
    </row>
    <row r="739" spans="1:13" x14ac:dyDescent="0.4">
      <c r="A739" s="35">
        <v>714</v>
      </c>
      <c r="B739" s="92" t="s">
        <v>80</v>
      </c>
      <c r="C739" s="56" t="s">
        <v>266</v>
      </c>
      <c r="D739" s="84" t="s">
        <v>170</v>
      </c>
      <c r="E739" s="49" t="s">
        <v>173</v>
      </c>
      <c r="F739" s="76">
        <v>44464.666087963</v>
      </c>
      <c r="G739" s="76">
        <v>44465.596759259301</v>
      </c>
      <c r="H739" s="84" t="s">
        <v>257</v>
      </c>
      <c r="I739" s="117">
        <v>44591.893402777801</v>
      </c>
      <c r="J739" s="117">
        <v>44591.3754513889</v>
      </c>
      <c r="K739" s="92" t="s">
        <v>85</v>
      </c>
      <c r="L739" s="101">
        <v>12000</v>
      </c>
      <c r="M739" s="56" t="s">
        <v>86</v>
      </c>
    </row>
    <row r="740" spans="1:13" x14ac:dyDescent="0.4">
      <c r="A740" s="35">
        <v>715</v>
      </c>
      <c r="B740" s="92" t="s">
        <v>80</v>
      </c>
      <c r="C740" s="56" t="s">
        <v>266</v>
      </c>
      <c r="D740" s="84" t="s">
        <v>287</v>
      </c>
      <c r="E740" s="49" t="s">
        <v>173</v>
      </c>
      <c r="F740" s="76">
        <v>44464.666087963</v>
      </c>
      <c r="G740" s="76">
        <v>44465.596759259301</v>
      </c>
      <c r="H740" s="84" t="s">
        <v>257</v>
      </c>
      <c r="I740" s="117">
        <v>44539.716701388897</v>
      </c>
      <c r="J740" s="117">
        <v>44538.604027777801</v>
      </c>
      <c r="K740" s="92" t="s">
        <v>85</v>
      </c>
      <c r="L740" s="101">
        <v>12000</v>
      </c>
      <c r="M740" s="56" t="s">
        <v>86</v>
      </c>
    </row>
    <row r="741" spans="1:13" x14ac:dyDescent="0.4">
      <c r="A741" s="35">
        <v>716</v>
      </c>
      <c r="B741" s="92" t="s">
        <v>80</v>
      </c>
      <c r="C741" s="56" t="s">
        <v>266</v>
      </c>
      <c r="D741" s="84" t="s">
        <v>288</v>
      </c>
      <c r="E741" s="49" t="s">
        <v>173</v>
      </c>
      <c r="F741" s="76">
        <v>44464.666087963</v>
      </c>
      <c r="G741" s="76">
        <v>44465.596759259301</v>
      </c>
      <c r="H741" s="84" t="s">
        <v>257</v>
      </c>
      <c r="I741" s="117">
        <v>44575.754097222198</v>
      </c>
      <c r="J741" s="117">
        <v>44574.551851851902</v>
      </c>
      <c r="K741" s="92" t="s">
        <v>85</v>
      </c>
      <c r="L741" s="101">
        <v>12000</v>
      </c>
      <c r="M741" s="56" t="s">
        <v>86</v>
      </c>
    </row>
    <row r="742" spans="1:13" x14ac:dyDescent="0.4">
      <c r="A742" s="35">
        <v>717</v>
      </c>
      <c r="B742" s="92" t="s">
        <v>80</v>
      </c>
      <c r="C742" s="56" t="s">
        <v>266</v>
      </c>
      <c r="D742" s="84" t="s">
        <v>121</v>
      </c>
      <c r="E742" s="49" t="s">
        <v>173</v>
      </c>
      <c r="F742" s="76">
        <v>44466.857418981497</v>
      </c>
      <c r="G742" s="76">
        <v>44466.7104398148</v>
      </c>
      <c r="H742" s="84" t="s">
        <v>257</v>
      </c>
      <c r="I742" s="117">
        <v>44539.713275463</v>
      </c>
      <c r="J742" s="117">
        <v>44538.603703703702</v>
      </c>
      <c r="K742" s="92" t="s">
        <v>85</v>
      </c>
      <c r="L742" s="101">
        <v>12000</v>
      </c>
      <c r="M742" s="56" t="s">
        <v>86</v>
      </c>
    </row>
    <row r="743" spans="1:13" x14ac:dyDescent="0.4">
      <c r="A743" s="275">
        <v>718</v>
      </c>
      <c r="B743" s="259" t="s">
        <v>80</v>
      </c>
      <c r="C743" s="228" t="s">
        <v>266</v>
      </c>
      <c r="D743" s="247" t="s">
        <v>122</v>
      </c>
      <c r="E743" s="79" t="s">
        <v>173</v>
      </c>
      <c r="F743" s="76">
        <v>44466.857418981497</v>
      </c>
      <c r="G743" s="76">
        <v>44466.7104398148</v>
      </c>
      <c r="H743" s="84" t="s">
        <v>257</v>
      </c>
      <c r="I743" s="117">
        <v>44591.893402777801</v>
      </c>
      <c r="J743" s="117">
        <v>44591.3754513889</v>
      </c>
      <c r="K743" s="92" t="s">
        <v>85</v>
      </c>
      <c r="L743" s="101">
        <v>12000</v>
      </c>
      <c r="M743" s="56" t="s">
        <v>86</v>
      </c>
    </row>
    <row r="744" spans="1:13" x14ac:dyDescent="0.4">
      <c r="A744" s="275"/>
      <c r="B744" s="260"/>
      <c r="C744" s="229"/>
      <c r="D744" s="248"/>
      <c r="E744" s="118"/>
      <c r="F744" s="76"/>
      <c r="G744" s="76"/>
      <c r="H744" s="84" t="s">
        <v>257</v>
      </c>
      <c r="I744" s="117">
        <v>44568.622731481497</v>
      </c>
      <c r="J744" s="117">
        <v>44566.649375000001</v>
      </c>
      <c r="K744" s="92"/>
      <c r="L744" s="101"/>
      <c r="M744" s="56"/>
    </row>
    <row r="745" spans="1:13" x14ac:dyDescent="0.4">
      <c r="A745" s="35">
        <v>719</v>
      </c>
      <c r="B745" s="92" t="s">
        <v>80</v>
      </c>
      <c r="C745" s="56" t="s">
        <v>266</v>
      </c>
      <c r="D745" s="84" t="s">
        <v>127</v>
      </c>
      <c r="E745" s="49" t="s">
        <v>173</v>
      </c>
      <c r="F745" s="76">
        <v>44466.857418981497</v>
      </c>
      <c r="G745" s="76">
        <v>44466.7104398148</v>
      </c>
      <c r="H745" s="84" t="s">
        <v>257</v>
      </c>
      <c r="I745" s="117">
        <v>44539.713449074101</v>
      </c>
      <c r="J745" s="117">
        <v>44538.603750000002</v>
      </c>
      <c r="K745" s="92" t="s">
        <v>85</v>
      </c>
      <c r="L745" s="101">
        <v>12000</v>
      </c>
      <c r="M745" s="56" t="s">
        <v>86</v>
      </c>
    </row>
    <row r="746" spans="1:13" x14ac:dyDescent="0.4">
      <c r="A746" s="35">
        <v>720</v>
      </c>
      <c r="B746" s="92" t="s">
        <v>80</v>
      </c>
      <c r="C746" s="56" t="s">
        <v>266</v>
      </c>
      <c r="D746" s="84" t="s">
        <v>128</v>
      </c>
      <c r="E746" s="49" t="s">
        <v>173</v>
      </c>
      <c r="F746" s="76">
        <v>44466.857418981497</v>
      </c>
      <c r="G746" s="76">
        <v>44466.7104398148</v>
      </c>
      <c r="H746" s="84" t="s">
        <v>257</v>
      </c>
      <c r="I746" s="117">
        <v>44580.7725810185</v>
      </c>
      <c r="J746" s="117">
        <v>44579.405833333301</v>
      </c>
      <c r="K746" s="92" t="s">
        <v>85</v>
      </c>
      <c r="L746" s="101">
        <v>12000</v>
      </c>
      <c r="M746" s="56" t="s">
        <v>86</v>
      </c>
    </row>
    <row r="747" spans="1:13" x14ac:dyDescent="0.4">
      <c r="A747" s="35">
        <v>721</v>
      </c>
      <c r="B747" s="92" t="s">
        <v>80</v>
      </c>
      <c r="C747" s="56" t="s">
        <v>266</v>
      </c>
      <c r="D747" s="84" t="s">
        <v>139</v>
      </c>
      <c r="E747" s="49" t="s">
        <v>173</v>
      </c>
      <c r="F747" s="76">
        <v>44466.857418981497</v>
      </c>
      <c r="G747" s="76">
        <v>44466.7104398148</v>
      </c>
      <c r="H747" s="84" t="s">
        <v>257</v>
      </c>
      <c r="I747" s="117">
        <v>44539.713032407402</v>
      </c>
      <c r="J747" s="117">
        <v>44538.6038541667</v>
      </c>
      <c r="K747" s="92" t="s">
        <v>85</v>
      </c>
      <c r="L747" s="101">
        <v>12000</v>
      </c>
      <c r="M747" s="56" t="s">
        <v>86</v>
      </c>
    </row>
    <row r="748" spans="1:13" x14ac:dyDescent="0.4">
      <c r="A748" s="35">
        <v>722</v>
      </c>
      <c r="B748" s="92" t="s">
        <v>80</v>
      </c>
      <c r="C748" s="56" t="s">
        <v>266</v>
      </c>
      <c r="D748" s="84" t="s">
        <v>140</v>
      </c>
      <c r="E748" s="49" t="s">
        <v>173</v>
      </c>
      <c r="F748" s="76">
        <v>44466.857418981497</v>
      </c>
      <c r="G748" s="76">
        <v>44466.7104398148</v>
      </c>
      <c r="H748" s="84" t="s">
        <v>257</v>
      </c>
      <c r="I748" s="66">
        <v>44797.576793981498</v>
      </c>
      <c r="J748" s="53"/>
      <c r="K748" s="92" t="s">
        <v>85</v>
      </c>
      <c r="L748" s="101">
        <v>12000</v>
      </c>
      <c r="M748" s="56" t="s">
        <v>86</v>
      </c>
    </row>
    <row r="749" spans="1:13" x14ac:dyDescent="0.4">
      <c r="A749" s="35">
        <v>723</v>
      </c>
      <c r="B749" s="92" t="s">
        <v>80</v>
      </c>
      <c r="C749" s="56" t="s">
        <v>266</v>
      </c>
      <c r="D749" s="84" t="s">
        <v>155</v>
      </c>
      <c r="E749" s="49" t="s">
        <v>173</v>
      </c>
      <c r="F749" s="76">
        <v>44466.857418981497</v>
      </c>
      <c r="G749" s="76">
        <v>44466.7104398148</v>
      </c>
      <c r="H749" s="84" t="s">
        <v>257</v>
      </c>
      <c r="I749" s="117">
        <v>44539.716782407399</v>
      </c>
      <c r="J749" s="117">
        <v>44538.603935185201</v>
      </c>
      <c r="K749" s="92" t="s">
        <v>85</v>
      </c>
      <c r="L749" s="101">
        <v>12000</v>
      </c>
      <c r="M749" s="56" t="s">
        <v>86</v>
      </c>
    </row>
    <row r="750" spans="1:13" x14ac:dyDescent="0.4">
      <c r="A750" s="35">
        <v>724</v>
      </c>
      <c r="B750" s="92" t="s">
        <v>80</v>
      </c>
      <c r="C750" s="56" t="s">
        <v>266</v>
      </c>
      <c r="D750" s="84" t="s">
        <v>156</v>
      </c>
      <c r="E750" s="49" t="s">
        <v>173</v>
      </c>
      <c r="F750" s="76">
        <v>44466.857418981497</v>
      </c>
      <c r="G750" s="76">
        <v>44466.7104398148</v>
      </c>
      <c r="H750" s="84" t="s">
        <v>257</v>
      </c>
      <c r="I750" s="117">
        <v>44568.625474537002</v>
      </c>
      <c r="J750" s="117">
        <v>44566.649548611102</v>
      </c>
      <c r="K750" s="92" t="s">
        <v>85</v>
      </c>
      <c r="L750" s="101">
        <v>12000</v>
      </c>
      <c r="M750" s="56" t="s">
        <v>86</v>
      </c>
    </row>
    <row r="751" spans="1:13" x14ac:dyDescent="0.4">
      <c r="A751" s="275">
        <v>731</v>
      </c>
      <c r="B751" s="259" t="s">
        <v>80</v>
      </c>
      <c r="C751" s="228" t="s">
        <v>81</v>
      </c>
      <c r="D751" s="247" t="s">
        <v>139</v>
      </c>
      <c r="E751" s="49" t="s">
        <v>173</v>
      </c>
      <c r="F751" s="76">
        <v>44466.857418981497</v>
      </c>
      <c r="G751" s="76">
        <v>44466.7104398148</v>
      </c>
      <c r="H751" s="84" t="s">
        <v>257</v>
      </c>
      <c r="I751" s="117">
        <v>44539.703194444402</v>
      </c>
      <c r="J751" s="117">
        <v>44538.606400463003</v>
      </c>
      <c r="K751" s="92" t="s">
        <v>85</v>
      </c>
      <c r="L751" s="101">
        <v>12000</v>
      </c>
      <c r="M751" s="56" t="s">
        <v>86</v>
      </c>
    </row>
    <row r="752" spans="1:13" x14ac:dyDescent="0.4">
      <c r="A752" s="275"/>
      <c r="B752" s="260"/>
      <c r="C752" s="229"/>
      <c r="D752" s="248"/>
      <c r="E752" s="49" t="s">
        <v>269</v>
      </c>
      <c r="F752" s="76">
        <v>45267.618321759299</v>
      </c>
      <c r="G752" s="76">
        <v>45267.388587963003</v>
      </c>
      <c r="H752" s="84" t="s">
        <v>257</v>
      </c>
      <c r="I752" s="117"/>
      <c r="J752" s="117"/>
      <c r="K752" s="92" t="s">
        <v>85</v>
      </c>
      <c r="L752" s="101">
        <v>12000</v>
      </c>
      <c r="M752" s="56" t="s">
        <v>86</v>
      </c>
    </row>
    <row r="753" spans="1:13" x14ac:dyDescent="0.4">
      <c r="A753" s="275">
        <v>732</v>
      </c>
      <c r="B753" s="259" t="s">
        <v>80</v>
      </c>
      <c r="C753" s="228" t="s">
        <v>81</v>
      </c>
      <c r="D753" s="247" t="s">
        <v>140</v>
      </c>
      <c r="E753" s="49" t="s">
        <v>173</v>
      </c>
      <c r="F753" s="76">
        <v>44466.857418981497</v>
      </c>
      <c r="G753" s="76">
        <v>44466.7104398148</v>
      </c>
      <c r="H753" s="84" t="s">
        <v>257</v>
      </c>
      <c r="I753" s="117">
        <v>44569.8967708333</v>
      </c>
      <c r="J753" s="117">
        <v>44568.4616550926</v>
      </c>
      <c r="K753" s="92" t="s">
        <v>85</v>
      </c>
      <c r="L753" s="101">
        <v>12000</v>
      </c>
      <c r="M753" s="56" t="s">
        <v>86</v>
      </c>
    </row>
    <row r="754" spans="1:13" x14ac:dyDescent="0.4">
      <c r="A754" s="275"/>
      <c r="B754" s="260"/>
      <c r="C754" s="229"/>
      <c r="D754" s="248"/>
      <c r="E754" s="49" t="s">
        <v>269</v>
      </c>
      <c r="F754" s="76">
        <v>45267.618321759299</v>
      </c>
      <c r="G754" s="76">
        <v>45267.388587963003</v>
      </c>
      <c r="H754" s="84" t="s">
        <v>257</v>
      </c>
      <c r="I754" s="117"/>
      <c r="J754" s="117"/>
      <c r="K754" s="92" t="s">
        <v>85</v>
      </c>
      <c r="L754" s="101">
        <v>12000</v>
      </c>
      <c r="M754" s="56" t="s">
        <v>86</v>
      </c>
    </row>
    <row r="755" spans="1:13" x14ac:dyDescent="0.4">
      <c r="A755" s="275">
        <v>733</v>
      </c>
      <c r="B755" s="259" t="s">
        <v>80</v>
      </c>
      <c r="C755" s="228" t="s">
        <v>81</v>
      </c>
      <c r="D755" s="247" t="s">
        <v>147</v>
      </c>
      <c r="E755" s="49" t="s">
        <v>173</v>
      </c>
      <c r="F755" s="76">
        <v>44466.857418981497</v>
      </c>
      <c r="G755" s="76">
        <v>44466.7104398148</v>
      </c>
      <c r="H755" s="84" t="s">
        <v>257</v>
      </c>
      <c r="I755" s="117">
        <v>44539.7274189815</v>
      </c>
      <c r="J755" s="117">
        <v>44538.606469907398</v>
      </c>
      <c r="K755" s="92" t="s">
        <v>85</v>
      </c>
      <c r="L755" s="101">
        <v>12000</v>
      </c>
      <c r="M755" s="56" t="s">
        <v>86</v>
      </c>
    </row>
    <row r="756" spans="1:13" x14ac:dyDescent="0.4">
      <c r="A756" s="275"/>
      <c r="B756" s="260"/>
      <c r="C756" s="229"/>
      <c r="D756" s="248"/>
      <c r="E756" s="49" t="s">
        <v>269</v>
      </c>
      <c r="F756" s="76">
        <v>45267.618321759299</v>
      </c>
      <c r="G756" s="76">
        <v>45267.388587963003</v>
      </c>
      <c r="H756" s="84" t="s">
        <v>257</v>
      </c>
      <c r="I756" s="117"/>
      <c r="J756" s="117"/>
      <c r="K756" s="92" t="s">
        <v>85</v>
      </c>
      <c r="L756" s="101">
        <v>12000</v>
      </c>
      <c r="M756" s="56" t="s">
        <v>86</v>
      </c>
    </row>
    <row r="757" spans="1:13" x14ac:dyDescent="0.4">
      <c r="A757" s="275">
        <v>734</v>
      </c>
      <c r="B757" s="259" t="s">
        <v>80</v>
      </c>
      <c r="C757" s="228" t="s">
        <v>81</v>
      </c>
      <c r="D757" s="247" t="s">
        <v>148</v>
      </c>
      <c r="E757" s="49" t="s">
        <v>173</v>
      </c>
      <c r="F757" s="76">
        <v>44466.857418981497</v>
      </c>
      <c r="G757" s="76">
        <v>44466.7104398148</v>
      </c>
      <c r="H757" s="84" t="s">
        <v>257</v>
      </c>
      <c r="I757" s="117">
        <v>44568.7124189815</v>
      </c>
      <c r="J757" s="117">
        <v>44566.718368055597</v>
      </c>
      <c r="K757" s="92" t="s">
        <v>85</v>
      </c>
      <c r="L757" s="101">
        <v>12000</v>
      </c>
      <c r="M757" s="56" t="s">
        <v>86</v>
      </c>
    </row>
    <row r="758" spans="1:13" x14ac:dyDescent="0.4">
      <c r="A758" s="275"/>
      <c r="B758" s="260"/>
      <c r="C758" s="229"/>
      <c r="D758" s="248"/>
      <c r="E758" s="49" t="s">
        <v>269</v>
      </c>
      <c r="F758" s="76">
        <v>45267.618321759299</v>
      </c>
      <c r="G758" s="76">
        <v>45267.388587963003</v>
      </c>
      <c r="H758" s="84" t="s">
        <v>257</v>
      </c>
      <c r="I758" s="117"/>
      <c r="J758" s="117"/>
      <c r="K758" s="92" t="s">
        <v>85</v>
      </c>
      <c r="L758" s="101">
        <v>12000</v>
      </c>
      <c r="M758" s="56" t="s">
        <v>86</v>
      </c>
    </row>
    <row r="759" spans="1:13" x14ac:dyDescent="0.4">
      <c r="A759" s="35">
        <v>735</v>
      </c>
      <c r="B759" s="92" t="s">
        <v>80</v>
      </c>
      <c r="C759" s="56" t="s">
        <v>267</v>
      </c>
      <c r="D759" s="84" t="s">
        <v>268</v>
      </c>
      <c r="E759" s="49" t="s">
        <v>173</v>
      </c>
      <c r="F759" s="76">
        <v>44470.605243055601</v>
      </c>
      <c r="G759" s="76">
        <v>44477.618912037004</v>
      </c>
      <c r="H759" s="84" t="s">
        <v>257</v>
      </c>
      <c r="I759" s="117">
        <v>44484.754965277803</v>
      </c>
      <c r="J759" s="117">
        <v>44484.6967939815</v>
      </c>
      <c r="K759" s="92" t="s">
        <v>85</v>
      </c>
      <c r="L759" s="101">
        <v>12000</v>
      </c>
      <c r="M759" s="56" t="s">
        <v>86</v>
      </c>
    </row>
    <row r="760" spans="1:13" x14ac:dyDescent="0.4">
      <c r="A760" s="35">
        <v>736</v>
      </c>
      <c r="B760" s="92" t="s">
        <v>80</v>
      </c>
      <c r="C760" s="56" t="s">
        <v>267</v>
      </c>
      <c r="D760" s="84" t="s">
        <v>192</v>
      </c>
      <c r="E760" s="49" t="s">
        <v>173</v>
      </c>
      <c r="F760" s="76">
        <v>44470.605243055601</v>
      </c>
      <c r="G760" s="76">
        <v>44477.618912037004</v>
      </c>
      <c r="H760" s="84" t="s">
        <v>257</v>
      </c>
      <c r="I760" s="117">
        <v>44588.6508680556</v>
      </c>
      <c r="J760" s="117">
        <v>44587.387812499997</v>
      </c>
      <c r="K760" s="92" t="s">
        <v>85</v>
      </c>
      <c r="L760" s="101">
        <v>12000</v>
      </c>
      <c r="M760" s="56" t="s">
        <v>86</v>
      </c>
    </row>
    <row r="761" spans="1:13" x14ac:dyDescent="0.4">
      <c r="A761" s="35">
        <v>737</v>
      </c>
      <c r="B761" s="92" t="s">
        <v>80</v>
      </c>
      <c r="C761" s="56" t="s">
        <v>267</v>
      </c>
      <c r="D761" s="84" t="s">
        <v>186</v>
      </c>
      <c r="E761" s="49" t="s">
        <v>173</v>
      </c>
      <c r="F761" s="76">
        <v>44470.605243055601</v>
      </c>
      <c r="G761" s="76">
        <v>44477.618912037004</v>
      </c>
      <c r="H761" s="84" t="s">
        <v>257</v>
      </c>
      <c r="I761" s="117">
        <v>44748.830069444397</v>
      </c>
      <c r="J761" s="117">
        <v>44747.718946759298</v>
      </c>
      <c r="K761" s="92" t="s">
        <v>85</v>
      </c>
      <c r="L761" s="101">
        <v>12000</v>
      </c>
      <c r="M761" s="56" t="s">
        <v>86</v>
      </c>
    </row>
    <row r="762" spans="1:13" x14ac:dyDescent="0.4">
      <c r="A762" s="35">
        <v>738</v>
      </c>
      <c r="B762" s="92" t="s">
        <v>80</v>
      </c>
      <c r="C762" s="56" t="s">
        <v>267</v>
      </c>
      <c r="D762" s="84" t="s">
        <v>319</v>
      </c>
      <c r="E762" s="49" t="s">
        <v>173</v>
      </c>
      <c r="F762" s="76">
        <v>44470.605243055601</v>
      </c>
      <c r="G762" s="76">
        <v>44477.618912037004</v>
      </c>
      <c r="H762" s="84" t="s">
        <v>257</v>
      </c>
      <c r="I762" s="117">
        <v>44748.830081018503</v>
      </c>
      <c r="J762" s="117">
        <v>44747.719004629602</v>
      </c>
      <c r="K762" s="92" t="s">
        <v>85</v>
      </c>
      <c r="L762" s="101">
        <v>12000</v>
      </c>
      <c r="M762" s="56" t="s">
        <v>86</v>
      </c>
    </row>
    <row r="763" spans="1:13" x14ac:dyDescent="0.4">
      <c r="A763" s="35">
        <v>739</v>
      </c>
      <c r="B763" s="92" t="s">
        <v>80</v>
      </c>
      <c r="C763" s="56" t="s">
        <v>171</v>
      </c>
      <c r="D763" s="84" t="s">
        <v>163</v>
      </c>
      <c r="E763" s="49" t="s">
        <v>173</v>
      </c>
      <c r="F763" s="76">
        <v>44483.719340277799</v>
      </c>
      <c r="G763" s="76">
        <v>44483.737627314797</v>
      </c>
      <c r="H763" s="84" t="s">
        <v>257</v>
      </c>
      <c r="I763" s="117">
        <v>44699.661655092597</v>
      </c>
      <c r="J763" s="117">
        <v>44707.429861111101</v>
      </c>
      <c r="K763" s="92" t="s">
        <v>85</v>
      </c>
      <c r="L763" s="101">
        <v>12000</v>
      </c>
      <c r="M763" s="56" t="s">
        <v>86</v>
      </c>
    </row>
    <row r="764" spans="1:13" x14ac:dyDescent="0.4">
      <c r="A764" s="35">
        <v>740</v>
      </c>
      <c r="B764" s="92" t="s">
        <v>80</v>
      </c>
      <c r="C764" s="56" t="s">
        <v>171</v>
      </c>
      <c r="D764" s="84" t="s">
        <v>164</v>
      </c>
      <c r="E764" s="49" t="s">
        <v>173</v>
      </c>
      <c r="F764" s="76">
        <v>44483.719340277799</v>
      </c>
      <c r="G764" s="76">
        <v>44483.737627314797</v>
      </c>
      <c r="H764" s="84" t="s">
        <v>257</v>
      </c>
      <c r="I764" s="117">
        <v>44699.661620370403</v>
      </c>
      <c r="J764" s="117">
        <v>44707.429861111101</v>
      </c>
      <c r="K764" s="92" t="s">
        <v>85</v>
      </c>
      <c r="L764" s="101">
        <v>12000</v>
      </c>
      <c r="M764" s="56" t="s">
        <v>86</v>
      </c>
    </row>
    <row r="765" spans="1:13" x14ac:dyDescent="0.4">
      <c r="A765" s="35">
        <v>741</v>
      </c>
      <c r="B765" s="92" t="s">
        <v>80</v>
      </c>
      <c r="C765" s="56" t="s">
        <v>171</v>
      </c>
      <c r="D765" s="84" t="s">
        <v>165</v>
      </c>
      <c r="E765" s="49" t="s">
        <v>173</v>
      </c>
      <c r="F765" s="76">
        <v>44483.719340277799</v>
      </c>
      <c r="G765" s="76">
        <v>44483.737627314797</v>
      </c>
      <c r="H765" s="84" t="s">
        <v>257</v>
      </c>
      <c r="I765" s="117">
        <v>44708.8997453704</v>
      </c>
      <c r="J765" s="117">
        <v>44707.429861111101</v>
      </c>
      <c r="K765" s="92" t="s">
        <v>85</v>
      </c>
      <c r="L765" s="101">
        <v>12000</v>
      </c>
      <c r="M765" s="56" t="s">
        <v>86</v>
      </c>
    </row>
    <row r="766" spans="1:13" x14ac:dyDescent="0.4">
      <c r="A766" s="35">
        <v>742</v>
      </c>
      <c r="B766" s="92" t="s">
        <v>80</v>
      </c>
      <c r="C766" s="56" t="s">
        <v>171</v>
      </c>
      <c r="D766" s="84" t="s">
        <v>166</v>
      </c>
      <c r="E766" s="49" t="s">
        <v>173</v>
      </c>
      <c r="F766" s="76">
        <v>44483.719340277799</v>
      </c>
      <c r="G766" s="76">
        <v>44483.737627314797</v>
      </c>
      <c r="H766" s="84" t="s">
        <v>257</v>
      </c>
      <c r="I766" s="117">
        <v>44708.899710648097</v>
      </c>
      <c r="J766" s="117">
        <v>44707.429861111101</v>
      </c>
      <c r="K766" s="92" t="s">
        <v>85</v>
      </c>
      <c r="L766" s="101">
        <v>12000</v>
      </c>
      <c r="M766" s="56" t="s">
        <v>86</v>
      </c>
    </row>
    <row r="767" spans="1:13" x14ac:dyDescent="0.4">
      <c r="A767" s="35">
        <v>743</v>
      </c>
      <c r="B767" s="92" t="s">
        <v>80</v>
      </c>
      <c r="C767" s="56" t="s">
        <v>171</v>
      </c>
      <c r="D767" s="84" t="s">
        <v>167</v>
      </c>
      <c r="E767" s="49" t="s">
        <v>173</v>
      </c>
      <c r="F767" s="76">
        <v>44483.719340277799</v>
      </c>
      <c r="G767" s="76">
        <v>44483.737627314797</v>
      </c>
      <c r="H767" s="84" t="s">
        <v>257</v>
      </c>
      <c r="I767" s="117">
        <v>44708.899710648097</v>
      </c>
      <c r="J767" s="117">
        <v>44707.429861111101</v>
      </c>
      <c r="K767" s="92" t="s">
        <v>85</v>
      </c>
      <c r="L767" s="101">
        <v>12000</v>
      </c>
      <c r="M767" s="56" t="s">
        <v>86</v>
      </c>
    </row>
    <row r="768" spans="1:13" x14ac:dyDescent="0.4">
      <c r="A768" s="35">
        <v>744</v>
      </c>
      <c r="B768" s="92" t="s">
        <v>80</v>
      </c>
      <c r="C768" s="56" t="s">
        <v>171</v>
      </c>
      <c r="D768" s="84" t="s">
        <v>168</v>
      </c>
      <c r="E768" s="49" t="s">
        <v>173</v>
      </c>
      <c r="F768" s="76">
        <v>44483.719340277799</v>
      </c>
      <c r="G768" s="76">
        <v>44483.737627314797</v>
      </c>
      <c r="H768" s="84" t="s">
        <v>257</v>
      </c>
      <c r="I768" s="117">
        <v>44708.899849537003</v>
      </c>
      <c r="J768" s="117">
        <v>44707.429861111101</v>
      </c>
      <c r="K768" s="92" t="s">
        <v>85</v>
      </c>
      <c r="L768" s="101">
        <v>12000</v>
      </c>
      <c r="M768" s="56" t="s">
        <v>86</v>
      </c>
    </row>
    <row r="769" spans="1:13" x14ac:dyDescent="0.4">
      <c r="A769" s="35">
        <v>745</v>
      </c>
      <c r="B769" s="92" t="s">
        <v>80</v>
      </c>
      <c r="C769" s="56" t="s">
        <v>171</v>
      </c>
      <c r="D769" s="84" t="s">
        <v>169</v>
      </c>
      <c r="E769" s="49" t="s">
        <v>173</v>
      </c>
      <c r="F769" s="76">
        <v>44483.719340277799</v>
      </c>
      <c r="G769" s="76">
        <v>44483.737627314797</v>
      </c>
      <c r="H769" s="84" t="s">
        <v>257</v>
      </c>
      <c r="I769" s="117">
        <v>44703.973599536999</v>
      </c>
      <c r="J769" s="119">
        <v>44705.75</v>
      </c>
      <c r="K769" s="92" t="s">
        <v>85</v>
      </c>
      <c r="L769" s="101">
        <v>12000</v>
      </c>
      <c r="M769" s="56" t="s">
        <v>86</v>
      </c>
    </row>
    <row r="770" spans="1:13" x14ac:dyDescent="0.4">
      <c r="A770" s="35">
        <v>746</v>
      </c>
      <c r="B770" s="92" t="s">
        <v>80</v>
      </c>
      <c r="C770" s="56" t="s">
        <v>171</v>
      </c>
      <c r="D770" s="84" t="s">
        <v>170</v>
      </c>
      <c r="E770" s="49" t="s">
        <v>173</v>
      </c>
      <c r="F770" s="76">
        <v>44483.719340277799</v>
      </c>
      <c r="G770" s="76">
        <v>44483.737627314797</v>
      </c>
      <c r="H770" s="84" t="s">
        <v>257</v>
      </c>
      <c r="I770" s="117">
        <v>44703.973773148202</v>
      </c>
      <c r="J770" s="119">
        <v>44705.75</v>
      </c>
      <c r="K770" s="92" t="s">
        <v>85</v>
      </c>
      <c r="L770" s="101">
        <v>12000</v>
      </c>
      <c r="M770" s="56" t="s">
        <v>86</v>
      </c>
    </row>
    <row r="771" spans="1:13" x14ac:dyDescent="0.4">
      <c r="A771" s="35">
        <v>747</v>
      </c>
      <c r="B771" s="92" t="s">
        <v>80</v>
      </c>
      <c r="C771" s="56" t="s">
        <v>171</v>
      </c>
      <c r="D771" s="84" t="s">
        <v>275</v>
      </c>
      <c r="E771" s="49" t="s">
        <v>173</v>
      </c>
      <c r="F771" s="76">
        <v>44483.719340277799</v>
      </c>
      <c r="G771" s="76">
        <v>44483.737627314797</v>
      </c>
      <c r="H771" s="84" t="s">
        <v>257</v>
      </c>
      <c r="I771" s="117">
        <v>44696.7432638889</v>
      </c>
      <c r="J771" s="117">
        <v>44707.429861111101</v>
      </c>
      <c r="K771" s="92" t="s">
        <v>85</v>
      </c>
      <c r="L771" s="101">
        <v>12000</v>
      </c>
      <c r="M771" s="56" t="s">
        <v>86</v>
      </c>
    </row>
    <row r="772" spans="1:13" x14ac:dyDescent="0.4">
      <c r="A772" s="35">
        <v>748</v>
      </c>
      <c r="B772" s="92" t="s">
        <v>80</v>
      </c>
      <c r="C772" s="56" t="s">
        <v>171</v>
      </c>
      <c r="D772" s="84" t="s">
        <v>276</v>
      </c>
      <c r="E772" s="49" t="s">
        <v>173</v>
      </c>
      <c r="F772" s="76">
        <v>44483.719340277799</v>
      </c>
      <c r="G772" s="76">
        <v>44483.737627314797</v>
      </c>
      <c r="H772" s="84" t="s">
        <v>257</v>
      </c>
      <c r="I772" s="117">
        <v>44708.8997453704</v>
      </c>
      <c r="J772" s="117">
        <v>44707.429861111101</v>
      </c>
      <c r="K772" s="92" t="s">
        <v>85</v>
      </c>
      <c r="L772" s="101">
        <v>12000</v>
      </c>
      <c r="M772" s="56" t="s">
        <v>86</v>
      </c>
    </row>
    <row r="773" spans="1:13" x14ac:dyDescent="0.4">
      <c r="A773" s="35">
        <v>749</v>
      </c>
      <c r="B773" s="92" t="s">
        <v>80</v>
      </c>
      <c r="C773" s="56" t="s">
        <v>171</v>
      </c>
      <c r="D773" s="84" t="s">
        <v>277</v>
      </c>
      <c r="E773" s="49" t="s">
        <v>173</v>
      </c>
      <c r="F773" s="76">
        <v>44483.719340277799</v>
      </c>
      <c r="G773" s="76">
        <v>44483.737627314797</v>
      </c>
      <c r="H773" s="84" t="s">
        <v>257</v>
      </c>
      <c r="I773" s="117">
        <v>44696.728379629603</v>
      </c>
      <c r="J773" s="117">
        <v>44707.429861111101</v>
      </c>
      <c r="K773" s="92" t="s">
        <v>85</v>
      </c>
      <c r="L773" s="101">
        <v>12000</v>
      </c>
      <c r="M773" s="56" t="s">
        <v>86</v>
      </c>
    </row>
    <row r="774" spans="1:13" x14ac:dyDescent="0.4">
      <c r="A774" s="35">
        <v>750</v>
      </c>
      <c r="B774" s="92" t="s">
        <v>80</v>
      </c>
      <c r="C774" s="56" t="s">
        <v>171</v>
      </c>
      <c r="D774" s="84" t="s">
        <v>278</v>
      </c>
      <c r="E774" s="49" t="s">
        <v>173</v>
      </c>
      <c r="F774" s="76">
        <v>44483.719340277799</v>
      </c>
      <c r="G774" s="76">
        <v>44483.737627314797</v>
      </c>
      <c r="H774" s="84" t="s">
        <v>257</v>
      </c>
      <c r="I774" s="117">
        <v>44708.899710648097</v>
      </c>
      <c r="J774" s="117">
        <v>44707.429861111101</v>
      </c>
      <c r="K774" s="92" t="s">
        <v>85</v>
      </c>
      <c r="L774" s="101">
        <v>12000</v>
      </c>
      <c r="M774" s="56" t="s">
        <v>86</v>
      </c>
    </row>
    <row r="775" spans="1:13" x14ac:dyDescent="0.4">
      <c r="A775" s="35">
        <v>751</v>
      </c>
      <c r="B775" s="92" t="s">
        <v>80</v>
      </c>
      <c r="C775" s="56" t="s">
        <v>171</v>
      </c>
      <c r="D775" s="84" t="s">
        <v>279</v>
      </c>
      <c r="E775" s="49" t="s">
        <v>173</v>
      </c>
      <c r="F775" s="76">
        <v>44483.719340277799</v>
      </c>
      <c r="G775" s="76">
        <v>44483.737627314797</v>
      </c>
      <c r="H775" s="84" t="s">
        <v>257</v>
      </c>
      <c r="I775" s="117">
        <v>44708.916574074101</v>
      </c>
      <c r="J775" s="117">
        <v>44707.429861111101</v>
      </c>
      <c r="K775" s="92" t="s">
        <v>85</v>
      </c>
      <c r="L775" s="101">
        <v>12000</v>
      </c>
      <c r="M775" s="56" t="s">
        <v>86</v>
      </c>
    </row>
    <row r="776" spans="1:13" x14ac:dyDescent="0.4">
      <c r="A776" s="35">
        <v>752</v>
      </c>
      <c r="B776" s="92" t="s">
        <v>80</v>
      </c>
      <c r="C776" s="56" t="s">
        <v>171</v>
      </c>
      <c r="D776" s="84" t="s">
        <v>280</v>
      </c>
      <c r="E776" s="49" t="s">
        <v>173</v>
      </c>
      <c r="F776" s="76">
        <v>44483.719340277799</v>
      </c>
      <c r="G776" s="76">
        <v>44483.737627314797</v>
      </c>
      <c r="H776" s="84" t="s">
        <v>257</v>
      </c>
      <c r="I776" s="117">
        <v>44708.916597222204</v>
      </c>
      <c r="J776" s="117">
        <v>44707.429861111101</v>
      </c>
      <c r="K776" s="92" t="s">
        <v>85</v>
      </c>
      <c r="L776" s="101">
        <v>12000</v>
      </c>
      <c r="M776" s="56" t="s">
        <v>86</v>
      </c>
    </row>
    <row r="777" spans="1:13" x14ac:dyDescent="0.4">
      <c r="A777" s="35">
        <v>753</v>
      </c>
      <c r="B777" s="92" t="s">
        <v>80</v>
      </c>
      <c r="C777" s="56" t="s">
        <v>171</v>
      </c>
      <c r="D777" s="84" t="s">
        <v>281</v>
      </c>
      <c r="E777" s="49" t="s">
        <v>173</v>
      </c>
      <c r="F777" s="76">
        <v>44483.719340277799</v>
      </c>
      <c r="G777" s="76">
        <v>44483.737627314797</v>
      </c>
      <c r="H777" s="84" t="s">
        <v>257</v>
      </c>
      <c r="I777" s="117">
        <v>44708.916597222204</v>
      </c>
      <c r="J777" s="117">
        <v>44707.429861111101</v>
      </c>
      <c r="K777" s="92" t="s">
        <v>85</v>
      </c>
      <c r="L777" s="101">
        <v>12000</v>
      </c>
      <c r="M777" s="56" t="s">
        <v>86</v>
      </c>
    </row>
    <row r="778" spans="1:13" x14ac:dyDescent="0.4">
      <c r="A778" s="35">
        <v>754</v>
      </c>
      <c r="B778" s="92" t="s">
        <v>80</v>
      </c>
      <c r="C778" s="56" t="s">
        <v>171</v>
      </c>
      <c r="D778" s="84" t="s">
        <v>282</v>
      </c>
      <c r="E778" s="49" t="s">
        <v>173</v>
      </c>
      <c r="F778" s="76">
        <v>44483.719340277799</v>
      </c>
      <c r="G778" s="76">
        <v>44483.737627314797</v>
      </c>
      <c r="H778" s="84" t="s">
        <v>257</v>
      </c>
      <c r="I778" s="117">
        <v>44708.916597222204</v>
      </c>
      <c r="J778" s="117">
        <v>44707.429861111101</v>
      </c>
      <c r="K778" s="92" t="s">
        <v>85</v>
      </c>
      <c r="L778" s="101">
        <v>12000</v>
      </c>
      <c r="M778" s="56" t="s">
        <v>86</v>
      </c>
    </row>
    <row r="779" spans="1:13" x14ac:dyDescent="0.4">
      <c r="A779" s="35">
        <v>755</v>
      </c>
      <c r="B779" s="92" t="s">
        <v>80</v>
      </c>
      <c r="C779" s="56" t="s">
        <v>171</v>
      </c>
      <c r="D779" s="84" t="s">
        <v>283</v>
      </c>
      <c r="E779" s="49" t="s">
        <v>173</v>
      </c>
      <c r="F779" s="76">
        <v>44483.719340277799</v>
      </c>
      <c r="G779" s="76">
        <v>44483.737627314797</v>
      </c>
      <c r="H779" s="84" t="s">
        <v>257</v>
      </c>
      <c r="I779" s="117">
        <v>44708.916562500002</v>
      </c>
      <c r="J779" s="117">
        <v>44707.429861111101</v>
      </c>
      <c r="K779" s="92" t="s">
        <v>85</v>
      </c>
      <c r="L779" s="101">
        <v>12000</v>
      </c>
      <c r="M779" s="56" t="s">
        <v>86</v>
      </c>
    </row>
    <row r="780" spans="1:13" x14ac:dyDescent="0.4">
      <c r="A780" s="35">
        <v>756</v>
      </c>
      <c r="B780" s="92" t="s">
        <v>80</v>
      </c>
      <c r="C780" s="56" t="s">
        <v>171</v>
      </c>
      <c r="D780" s="84" t="s">
        <v>284</v>
      </c>
      <c r="E780" s="49" t="s">
        <v>173</v>
      </c>
      <c r="F780" s="76">
        <v>44483.719340277799</v>
      </c>
      <c r="G780" s="76">
        <v>44483.737627314797</v>
      </c>
      <c r="H780" s="84" t="s">
        <v>257</v>
      </c>
      <c r="I780" s="117">
        <v>44708.916712963</v>
      </c>
      <c r="J780" s="117">
        <v>44707.429861111101</v>
      </c>
      <c r="K780" s="92" t="s">
        <v>85</v>
      </c>
      <c r="L780" s="101">
        <v>12000</v>
      </c>
      <c r="M780" s="56" t="s">
        <v>86</v>
      </c>
    </row>
    <row r="781" spans="1:13" x14ac:dyDescent="0.4">
      <c r="A781" s="35">
        <v>757</v>
      </c>
      <c r="B781" s="92" t="s">
        <v>80</v>
      </c>
      <c r="C781" s="56" t="s">
        <v>171</v>
      </c>
      <c r="D781" s="84" t="s">
        <v>285</v>
      </c>
      <c r="E781" s="49" t="s">
        <v>173</v>
      </c>
      <c r="F781" s="76">
        <v>44483.719340277799</v>
      </c>
      <c r="G781" s="76">
        <v>44483.737627314797</v>
      </c>
      <c r="H781" s="84" t="s">
        <v>257</v>
      </c>
      <c r="I781" s="117">
        <v>44708.916597222204</v>
      </c>
      <c r="J781" s="117">
        <v>44707.429861111101</v>
      </c>
      <c r="K781" s="92" t="s">
        <v>85</v>
      </c>
      <c r="L781" s="101">
        <v>12000</v>
      </c>
      <c r="M781" s="56" t="s">
        <v>86</v>
      </c>
    </row>
    <row r="782" spans="1:13" x14ac:dyDescent="0.4">
      <c r="A782" s="35">
        <v>758</v>
      </c>
      <c r="B782" s="92" t="s">
        <v>80</v>
      </c>
      <c r="C782" s="56" t="s">
        <v>171</v>
      </c>
      <c r="D782" s="84" t="s">
        <v>286</v>
      </c>
      <c r="E782" s="49" t="s">
        <v>173</v>
      </c>
      <c r="F782" s="76">
        <v>44483.719340277799</v>
      </c>
      <c r="G782" s="76">
        <v>44483.737627314797</v>
      </c>
      <c r="H782" s="84" t="s">
        <v>257</v>
      </c>
      <c r="I782" s="117">
        <v>44703.973599536999</v>
      </c>
      <c r="J782" s="119">
        <v>44705.75</v>
      </c>
      <c r="K782" s="92" t="s">
        <v>85</v>
      </c>
      <c r="L782" s="101">
        <v>12000</v>
      </c>
      <c r="M782" s="56" t="s">
        <v>86</v>
      </c>
    </row>
    <row r="783" spans="1:13" x14ac:dyDescent="0.4">
      <c r="A783" s="35">
        <v>759</v>
      </c>
      <c r="B783" s="92" t="s">
        <v>80</v>
      </c>
      <c r="C783" s="56" t="s">
        <v>171</v>
      </c>
      <c r="D783" s="84" t="s">
        <v>287</v>
      </c>
      <c r="E783" s="49" t="s">
        <v>173</v>
      </c>
      <c r="F783" s="76">
        <v>44483.719340277799</v>
      </c>
      <c r="G783" s="76">
        <v>44483.737627314797</v>
      </c>
      <c r="H783" s="84" t="s">
        <v>257</v>
      </c>
      <c r="I783" s="117">
        <v>44703.973738425899</v>
      </c>
      <c r="J783" s="119">
        <v>44707.75</v>
      </c>
      <c r="K783" s="92" t="s">
        <v>85</v>
      </c>
      <c r="L783" s="101">
        <v>12000</v>
      </c>
      <c r="M783" s="56" t="s">
        <v>86</v>
      </c>
    </row>
    <row r="784" spans="1:13" x14ac:dyDescent="0.4">
      <c r="A784" s="35">
        <v>760</v>
      </c>
      <c r="B784" s="92" t="s">
        <v>80</v>
      </c>
      <c r="C784" s="56" t="s">
        <v>171</v>
      </c>
      <c r="D784" s="84" t="s">
        <v>288</v>
      </c>
      <c r="E784" s="49" t="s">
        <v>173</v>
      </c>
      <c r="F784" s="76">
        <v>44483.719340277799</v>
      </c>
      <c r="G784" s="76">
        <v>44483.737627314797</v>
      </c>
      <c r="H784" s="84" t="s">
        <v>257</v>
      </c>
      <c r="I784" s="117">
        <v>44708.916597222204</v>
      </c>
      <c r="J784" s="117">
        <v>44707.429861111101</v>
      </c>
      <c r="K784" s="92" t="s">
        <v>85</v>
      </c>
      <c r="L784" s="101">
        <v>12000</v>
      </c>
      <c r="M784" s="56" t="s">
        <v>86</v>
      </c>
    </row>
    <row r="785" spans="1:13" x14ac:dyDescent="0.4">
      <c r="A785" s="35">
        <v>761</v>
      </c>
      <c r="B785" s="92" t="s">
        <v>80</v>
      </c>
      <c r="C785" s="56" t="s">
        <v>171</v>
      </c>
      <c r="D785" s="84" t="s">
        <v>289</v>
      </c>
      <c r="E785" s="49" t="s">
        <v>173</v>
      </c>
      <c r="F785" s="76">
        <v>44483.719340277799</v>
      </c>
      <c r="G785" s="76">
        <v>44483.737627314797</v>
      </c>
      <c r="H785" s="84" t="s">
        <v>257</v>
      </c>
      <c r="I785" s="117">
        <v>44708.916574074101</v>
      </c>
      <c r="J785" s="117">
        <v>44707.429861111101</v>
      </c>
      <c r="K785" s="92" t="s">
        <v>85</v>
      </c>
      <c r="L785" s="101">
        <v>12000</v>
      </c>
      <c r="M785" s="56" t="s">
        <v>86</v>
      </c>
    </row>
    <row r="786" spans="1:13" x14ac:dyDescent="0.4">
      <c r="A786" s="35">
        <v>762</v>
      </c>
      <c r="B786" s="92" t="s">
        <v>80</v>
      </c>
      <c r="C786" s="56" t="s">
        <v>171</v>
      </c>
      <c r="D786" s="84" t="s">
        <v>290</v>
      </c>
      <c r="E786" s="49" t="s">
        <v>173</v>
      </c>
      <c r="F786" s="76">
        <v>44483.719340277799</v>
      </c>
      <c r="G786" s="76">
        <v>44483.737627314797</v>
      </c>
      <c r="H786" s="84" t="s">
        <v>257</v>
      </c>
      <c r="I786" s="117">
        <v>44708.916574074101</v>
      </c>
      <c r="J786" s="117">
        <v>44707.429861111101</v>
      </c>
      <c r="K786" s="92" t="s">
        <v>85</v>
      </c>
      <c r="L786" s="101">
        <v>12000</v>
      </c>
      <c r="M786" s="56" t="s">
        <v>86</v>
      </c>
    </row>
    <row r="787" spans="1:13" x14ac:dyDescent="0.4">
      <c r="A787" s="35">
        <v>763</v>
      </c>
      <c r="B787" s="92" t="s">
        <v>80</v>
      </c>
      <c r="C787" s="56" t="s">
        <v>171</v>
      </c>
      <c r="D787" s="84" t="s">
        <v>291</v>
      </c>
      <c r="E787" s="49" t="s">
        <v>173</v>
      </c>
      <c r="F787" s="76">
        <v>44483.719340277799</v>
      </c>
      <c r="G787" s="76">
        <v>44483.737627314797</v>
      </c>
      <c r="H787" s="84" t="s">
        <v>257</v>
      </c>
      <c r="I787" s="117">
        <v>44708.921493055597</v>
      </c>
      <c r="J787" s="117">
        <v>44707.429861111101</v>
      </c>
      <c r="K787" s="92" t="s">
        <v>85</v>
      </c>
      <c r="L787" s="101">
        <v>12000</v>
      </c>
      <c r="M787" s="56" t="s">
        <v>86</v>
      </c>
    </row>
    <row r="788" spans="1:13" x14ac:dyDescent="0.4">
      <c r="A788" s="35">
        <v>764</v>
      </c>
      <c r="B788" s="92" t="s">
        <v>80</v>
      </c>
      <c r="C788" s="56" t="s">
        <v>171</v>
      </c>
      <c r="D788" s="84" t="s">
        <v>292</v>
      </c>
      <c r="E788" s="49" t="s">
        <v>173</v>
      </c>
      <c r="F788" s="76">
        <v>44483.719340277799</v>
      </c>
      <c r="G788" s="76">
        <v>44483.737627314797</v>
      </c>
      <c r="H788" s="84" t="s">
        <v>257</v>
      </c>
      <c r="I788" s="117">
        <v>44708.921493055597</v>
      </c>
      <c r="J788" s="117">
        <v>44707.429861111101</v>
      </c>
      <c r="K788" s="92" t="s">
        <v>85</v>
      </c>
      <c r="L788" s="101">
        <v>12000</v>
      </c>
      <c r="M788" s="56" t="s">
        <v>86</v>
      </c>
    </row>
    <row r="789" spans="1:13" x14ac:dyDescent="0.4">
      <c r="A789" s="35">
        <v>765</v>
      </c>
      <c r="B789" s="92" t="s">
        <v>80</v>
      </c>
      <c r="C789" s="56" t="s">
        <v>171</v>
      </c>
      <c r="D789" s="84" t="s">
        <v>293</v>
      </c>
      <c r="E789" s="49" t="s">
        <v>173</v>
      </c>
      <c r="F789" s="76">
        <v>44483.719340277799</v>
      </c>
      <c r="G789" s="76">
        <v>44483.737627314797</v>
      </c>
      <c r="H789" s="84" t="s">
        <v>257</v>
      </c>
      <c r="I789" s="117">
        <v>44708.921493055597</v>
      </c>
      <c r="J789" s="117">
        <v>44707.429861111101</v>
      </c>
      <c r="K789" s="92" t="s">
        <v>85</v>
      </c>
      <c r="L789" s="101">
        <v>12000</v>
      </c>
      <c r="M789" s="56" t="s">
        <v>86</v>
      </c>
    </row>
    <row r="790" spans="1:13" x14ac:dyDescent="0.4">
      <c r="A790" s="35">
        <v>766</v>
      </c>
      <c r="B790" s="92" t="s">
        <v>80</v>
      </c>
      <c r="C790" s="56" t="s">
        <v>171</v>
      </c>
      <c r="D790" s="84" t="s">
        <v>294</v>
      </c>
      <c r="E790" s="49" t="s">
        <v>173</v>
      </c>
      <c r="F790" s="76">
        <v>44483.719340277799</v>
      </c>
      <c r="G790" s="76">
        <v>44483.737627314797</v>
      </c>
      <c r="H790" s="84" t="s">
        <v>257</v>
      </c>
      <c r="I790" s="117">
        <v>44708.9214236111</v>
      </c>
      <c r="J790" s="117">
        <v>44707.429861111101</v>
      </c>
      <c r="K790" s="92" t="s">
        <v>85</v>
      </c>
      <c r="L790" s="101">
        <v>12000</v>
      </c>
      <c r="M790" s="56" t="s">
        <v>86</v>
      </c>
    </row>
    <row r="791" spans="1:13" x14ac:dyDescent="0.4">
      <c r="A791" s="35">
        <v>767</v>
      </c>
      <c r="B791" s="92" t="s">
        <v>80</v>
      </c>
      <c r="C791" s="56" t="s">
        <v>171</v>
      </c>
      <c r="D791" s="84" t="s">
        <v>295</v>
      </c>
      <c r="E791" s="49" t="s">
        <v>173</v>
      </c>
      <c r="F791" s="76">
        <v>44483.719340277799</v>
      </c>
      <c r="G791" s="76">
        <v>44483.737627314797</v>
      </c>
      <c r="H791" s="84" t="s">
        <v>257</v>
      </c>
      <c r="I791" s="117">
        <v>44708.921493055597</v>
      </c>
      <c r="J791" s="117">
        <v>44707.429861111101</v>
      </c>
      <c r="K791" s="92" t="s">
        <v>85</v>
      </c>
      <c r="L791" s="101">
        <v>12000</v>
      </c>
      <c r="M791" s="56" t="s">
        <v>86</v>
      </c>
    </row>
    <row r="792" spans="1:13" x14ac:dyDescent="0.4">
      <c r="A792" s="35">
        <v>768</v>
      </c>
      <c r="B792" s="92" t="s">
        <v>80</v>
      </c>
      <c r="C792" s="56" t="s">
        <v>171</v>
      </c>
      <c r="D792" s="84" t="s">
        <v>296</v>
      </c>
      <c r="E792" s="49" t="s">
        <v>173</v>
      </c>
      <c r="F792" s="76">
        <v>44483.719340277799</v>
      </c>
      <c r="G792" s="76">
        <v>44483.737627314797</v>
      </c>
      <c r="H792" s="84" t="s">
        <v>257</v>
      </c>
      <c r="I792" s="117">
        <v>44708.921527777798</v>
      </c>
      <c r="J792" s="117">
        <v>44707.429861111101</v>
      </c>
      <c r="K792" s="92" t="s">
        <v>85</v>
      </c>
      <c r="L792" s="101">
        <v>12000</v>
      </c>
      <c r="M792" s="56" t="s">
        <v>86</v>
      </c>
    </row>
    <row r="793" spans="1:13" x14ac:dyDescent="0.4">
      <c r="A793" s="35">
        <v>769</v>
      </c>
      <c r="B793" s="92" t="s">
        <v>80</v>
      </c>
      <c r="C793" s="56" t="s">
        <v>171</v>
      </c>
      <c r="D793" s="84" t="s">
        <v>297</v>
      </c>
      <c r="E793" s="49" t="s">
        <v>173</v>
      </c>
      <c r="F793" s="76">
        <v>44483.719340277799</v>
      </c>
      <c r="G793" s="76">
        <v>44483.737627314797</v>
      </c>
      <c r="H793" s="84" t="s">
        <v>257</v>
      </c>
      <c r="I793" s="117">
        <v>44708.921493055597</v>
      </c>
      <c r="J793" s="117">
        <v>44707.429861111101</v>
      </c>
      <c r="K793" s="92" t="s">
        <v>85</v>
      </c>
      <c r="L793" s="101">
        <v>12000</v>
      </c>
      <c r="M793" s="56" t="s">
        <v>86</v>
      </c>
    </row>
    <row r="794" spans="1:13" x14ac:dyDescent="0.4">
      <c r="A794" s="35">
        <v>770</v>
      </c>
      <c r="B794" s="92" t="s">
        <v>80</v>
      </c>
      <c r="C794" s="56" t="s">
        <v>171</v>
      </c>
      <c r="D794" s="84" t="s">
        <v>298</v>
      </c>
      <c r="E794" s="49" t="s">
        <v>173</v>
      </c>
      <c r="F794" s="76">
        <v>44483.719340277799</v>
      </c>
      <c r="G794" s="76">
        <v>44483.737627314797</v>
      </c>
      <c r="H794" s="84" t="s">
        <v>257</v>
      </c>
      <c r="I794" s="117">
        <v>44708.9214236111</v>
      </c>
      <c r="J794" s="117">
        <v>44707.429861111101</v>
      </c>
      <c r="K794" s="92" t="s">
        <v>85</v>
      </c>
      <c r="L794" s="101">
        <v>12000</v>
      </c>
      <c r="M794" s="56" t="s">
        <v>86</v>
      </c>
    </row>
    <row r="795" spans="1:13" x14ac:dyDescent="0.4">
      <c r="A795" s="35">
        <v>771</v>
      </c>
      <c r="B795" s="93" t="s">
        <v>80</v>
      </c>
      <c r="C795" s="89" t="s">
        <v>267</v>
      </c>
      <c r="D795" s="111" t="s">
        <v>191</v>
      </c>
      <c r="E795" s="49" t="s">
        <v>173</v>
      </c>
      <c r="F795" s="76">
        <v>44483.755324074104</v>
      </c>
      <c r="G795" s="76">
        <v>44484.698240740698</v>
      </c>
      <c r="H795" s="84" t="s">
        <v>257</v>
      </c>
      <c r="I795" s="117">
        <v>44703.9675347222</v>
      </c>
      <c r="J795" s="119">
        <v>44705.75</v>
      </c>
      <c r="K795" s="92" t="s">
        <v>85</v>
      </c>
      <c r="L795" s="101">
        <v>12000</v>
      </c>
      <c r="M795" s="56" t="s">
        <v>86</v>
      </c>
    </row>
    <row r="796" spans="1:13" x14ac:dyDescent="0.4">
      <c r="A796" s="275">
        <v>772</v>
      </c>
      <c r="B796" s="259" t="s">
        <v>80</v>
      </c>
      <c r="C796" s="228" t="s">
        <v>267</v>
      </c>
      <c r="D796" s="247" t="s">
        <v>187</v>
      </c>
      <c r="E796" s="49" t="s">
        <v>173</v>
      </c>
      <c r="F796" s="76">
        <v>44483.755324074104</v>
      </c>
      <c r="G796" s="76">
        <v>44484.698240740698</v>
      </c>
      <c r="H796" s="84" t="s">
        <v>257</v>
      </c>
      <c r="I796" s="119">
        <v>44517.722627314797</v>
      </c>
      <c r="J796" s="119">
        <v>44517.592418981498</v>
      </c>
      <c r="K796" s="92" t="s">
        <v>85</v>
      </c>
      <c r="L796" s="101">
        <v>12000</v>
      </c>
      <c r="M796" s="56" t="s">
        <v>86</v>
      </c>
    </row>
    <row r="797" spans="1:13" x14ac:dyDescent="0.4">
      <c r="A797" s="275"/>
      <c r="B797" s="260"/>
      <c r="C797" s="229"/>
      <c r="D797" s="248"/>
      <c r="E797" s="49"/>
      <c r="F797" s="76"/>
      <c r="G797" s="76"/>
      <c r="H797" s="84" t="s">
        <v>257</v>
      </c>
      <c r="I797" s="117">
        <v>44703.967430555596</v>
      </c>
      <c r="J797" s="119">
        <v>44705.75</v>
      </c>
      <c r="K797" s="92" t="s">
        <v>85</v>
      </c>
      <c r="L797" s="101"/>
      <c r="M797" s="56"/>
    </row>
    <row r="798" spans="1:13" x14ac:dyDescent="0.4">
      <c r="A798" s="35">
        <v>773</v>
      </c>
      <c r="B798" s="92" t="s">
        <v>80</v>
      </c>
      <c r="C798" s="56" t="s">
        <v>267</v>
      </c>
      <c r="D798" s="84" t="s">
        <v>209</v>
      </c>
      <c r="E798" s="49" t="s">
        <v>173</v>
      </c>
      <c r="F798" s="76">
        <v>44483.755324074104</v>
      </c>
      <c r="G798" s="76">
        <v>44484.698240740698</v>
      </c>
      <c r="H798" s="84" t="s">
        <v>257</v>
      </c>
      <c r="I798" s="117">
        <v>44703.967430555596</v>
      </c>
      <c r="J798" s="53"/>
      <c r="K798" s="92" t="s">
        <v>85</v>
      </c>
      <c r="L798" s="101">
        <v>12000</v>
      </c>
      <c r="M798" s="56" t="s">
        <v>86</v>
      </c>
    </row>
    <row r="799" spans="1:13" x14ac:dyDescent="0.4">
      <c r="A799" s="35">
        <v>774</v>
      </c>
      <c r="B799" s="92" t="s">
        <v>80</v>
      </c>
      <c r="C799" s="56" t="s">
        <v>267</v>
      </c>
      <c r="D799" s="84" t="s">
        <v>213</v>
      </c>
      <c r="E799" s="49" t="s">
        <v>173</v>
      </c>
      <c r="F799" s="76">
        <v>44483.755324074104</v>
      </c>
      <c r="G799" s="76">
        <v>44484.698240740698</v>
      </c>
      <c r="H799" s="84" t="s">
        <v>257</v>
      </c>
      <c r="I799" s="117">
        <v>44703.967465277798</v>
      </c>
      <c r="J799" s="119">
        <v>44705.75</v>
      </c>
      <c r="K799" s="92" t="s">
        <v>85</v>
      </c>
      <c r="L799" s="101">
        <v>12000</v>
      </c>
      <c r="M799" s="56" t="s">
        <v>86</v>
      </c>
    </row>
    <row r="800" spans="1:13" x14ac:dyDescent="0.4">
      <c r="A800" s="35">
        <v>775</v>
      </c>
      <c r="B800" s="92" t="s">
        <v>80</v>
      </c>
      <c r="C800" s="56" t="s">
        <v>267</v>
      </c>
      <c r="D800" s="84" t="s">
        <v>270</v>
      </c>
      <c r="E800" s="49" t="s">
        <v>173</v>
      </c>
      <c r="F800" s="76">
        <v>44483.755324074104</v>
      </c>
      <c r="G800" s="76">
        <v>44484.698240740698</v>
      </c>
      <c r="H800" s="84" t="s">
        <v>257</v>
      </c>
      <c r="I800" s="117">
        <v>44703.967430555596</v>
      </c>
      <c r="J800" s="53"/>
      <c r="K800" s="92" t="s">
        <v>85</v>
      </c>
      <c r="L800" s="101">
        <v>12000</v>
      </c>
      <c r="M800" s="56" t="s">
        <v>86</v>
      </c>
    </row>
    <row r="801" spans="1:13" x14ac:dyDescent="0.4">
      <c r="A801" s="35">
        <v>776</v>
      </c>
      <c r="B801" s="92" t="s">
        <v>80</v>
      </c>
      <c r="C801" s="56" t="s">
        <v>267</v>
      </c>
      <c r="D801" s="84" t="s">
        <v>95</v>
      </c>
      <c r="E801" s="49" t="s">
        <v>173</v>
      </c>
      <c r="F801" s="76">
        <v>44483.755324074104</v>
      </c>
      <c r="G801" s="76">
        <v>44484.698240740698</v>
      </c>
      <c r="H801" s="84" t="s">
        <v>257</v>
      </c>
      <c r="I801" s="117">
        <v>44703.967523148101</v>
      </c>
      <c r="J801" s="119">
        <v>44705.75</v>
      </c>
      <c r="K801" s="92" t="s">
        <v>85</v>
      </c>
      <c r="L801" s="101">
        <v>12000</v>
      </c>
      <c r="M801" s="56" t="s">
        <v>86</v>
      </c>
    </row>
    <row r="802" spans="1:13" x14ac:dyDescent="0.4">
      <c r="A802" s="35">
        <v>777</v>
      </c>
      <c r="B802" s="92" t="s">
        <v>80</v>
      </c>
      <c r="C802" s="56" t="s">
        <v>267</v>
      </c>
      <c r="D802" s="84" t="s">
        <v>97</v>
      </c>
      <c r="E802" s="49" t="s">
        <v>173</v>
      </c>
      <c r="F802" s="76">
        <v>44483.755324074104</v>
      </c>
      <c r="G802" s="76">
        <v>44484.698240740698</v>
      </c>
      <c r="H802" s="84" t="s">
        <v>257</v>
      </c>
      <c r="I802" s="117">
        <v>44703.989212963003</v>
      </c>
      <c r="J802" s="119">
        <v>44705.75</v>
      </c>
      <c r="K802" s="92" t="s">
        <v>85</v>
      </c>
      <c r="L802" s="101">
        <v>12000</v>
      </c>
      <c r="M802" s="56" t="s">
        <v>86</v>
      </c>
    </row>
    <row r="803" spans="1:13" x14ac:dyDescent="0.4">
      <c r="A803" s="35">
        <v>778</v>
      </c>
      <c r="B803" s="92" t="s">
        <v>80</v>
      </c>
      <c r="C803" s="56" t="s">
        <v>267</v>
      </c>
      <c r="D803" s="84" t="s">
        <v>98</v>
      </c>
      <c r="E803" s="49" t="s">
        <v>173</v>
      </c>
      <c r="F803" s="76">
        <v>44483.755324074104</v>
      </c>
      <c r="G803" s="76">
        <v>44484.698240740698</v>
      </c>
      <c r="H803" s="84" t="s">
        <v>257</v>
      </c>
      <c r="I803" s="117">
        <v>44703.989212963003</v>
      </c>
      <c r="J803" s="119">
        <v>44705.75</v>
      </c>
      <c r="K803" s="92" t="s">
        <v>85</v>
      </c>
      <c r="L803" s="101">
        <v>12000</v>
      </c>
      <c r="M803" s="56" t="s">
        <v>86</v>
      </c>
    </row>
    <row r="804" spans="1:13" x14ac:dyDescent="0.4">
      <c r="A804" s="35">
        <v>779</v>
      </c>
      <c r="B804" s="92" t="s">
        <v>80</v>
      </c>
      <c r="C804" s="56" t="s">
        <v>267</v>
      </c>
      <c r="D804" s="84" t="s">
        <v>271</v>
      </c>
      <c r="E804" s="49" t="s">
        <v>173</v>
      </c>
      <c r="F804" s="76">
        <v>44483.755324074104</v>
      </c>
      <c r="G804" s="76">
        <v>44484.698240740698</v>
      </c>
      <c r="H804" s="84" t="s">
        <v>257</v>
      </c>
      <c r="I804" s="117">
        <v>44704.003067129597</v>
      </c>
      <c r="J804" s="117">
        <v>44705.602719907401</v>
      </c>
      <c r="K804" s="92" t="s">
        <v>85</v>
      </c>
      <c r="L804" s="101">
        <v>12000</v>
      </c>
      <c r="M804" s="56" t="s">
        <v>86</v>
      </c>
    </row>
    <row r="805" spans="1:13" x14ac:dyDescent="0.4">
      <c r="A805" s="35">
        <v>780</v>
      </c>
      <c r="B805" s="92" t="s">
        <v>80</v>
      </c>
      <c r="C805" s="56" t="s">
        <v>267</v>
      </c>
      <c r="D805" s="84" t="s">
        <v>272</v>
      </c>
      <c r="E805" s="49" t="s">
        <v>173</v>
      </c>
      <c r="F805" s="76">
        <v>44483.755324074104</v>
      </c>
      <c r="G805" s="76">
        <v>44484.698240740698</v>
      </c>
      <c r="H805" s="84" t="s">
        <v>257</v>
      </c>
      <c r="I805" s="117">
        <v>44704.003125000003</v>
      </c>
      <c r="J805" s="117">
        <v>44705.602083333302</v>
      </c>
      <c r="K805" s="92" t="s">
        <v>85</v>
      </c>
      <c r="L805" s="101">
        <v>12000</v>
      </c>
      <c r="M805" s="56" t="s">
        <v>86</v>
      </c>
    </row>
    <row r="806" spans="1:13" x14ac:dyDescent="0.4">
      <c r="A806" s="35">
        <v>781</v>
      </c>
      <c r="B806" s="92" t="s">
        <v>80</v>
      </c>
      <c r="C806" s="56" t="s">
        <v>267</v>
      </c>
      <c r="D806" s="84" t="s">
        <v>99</v>
      </c>
      <c r="E806" s="49" t="s">
        <v>173</v>
      </c>
      <c r="F806" s="76">
        <v>44483.755324074104</v>
      </c>
      <c r="G806" s="76">
        <v>44484.698240740698</v>
      </c>
      <c r="H806" s="84" t="s">
        <v>257</v>
      </c>
      <c r="I806" s="117">
        <v>44704.003067129597</v>
      </c>
      <c r="J806" s="117">
        <v>44705.602719907401</v>
      </c>
      <c r="K806" s="92" t="s">
        <v>85</v>
      </c>
      <c r="L806" s="101">
        <v>12000</v>
      </c>
      <c r="M806" s="56" t="s">
        <v>86</v>
      </c>
    </row>
    <row r="807" spans="1:13" x14ac:dyDescent="0.4">
      <c r="A807" s="35">
        <v>782</v>
      </c>
      <c r="B807" s="92" t="s">
        <v>80</v>
      </c>
      <c r="C807" s="56" t="s">
        <v>267</v>
      </c>
      <c r="D807" s="84" t="s">
        <v>100</v>
      </c>
      <c r="E807" s="49" t="s">
        <v>173</v>
      </c>
      <c r="F807" s="76">
        <v>44483.755324074104</v>
      </c>
      <c r="G807" s="76">
        <v>44484.698240740698</v>
      </c>
      <c r="H807" s="84" t="s">
        <v>257</v>
      </c>
      <c r="I807" s="117">
        <v>44704.003240740698</v>
      </c>
      <c r="J807" s="117">
        <v>44705.602083333302</v>
      </c>
      <c r="K807" s="92" t="s">
        <v>85</v>
      </c>
      <c r="L807" s="101">
        <v>12000</v>
      </c>
      <c r="M807" s="56" t="s">
        <v>86</v>
      </c>
    </row>
    <row r="808" spans="1:13" x14ac:dyDescent="0.4">
      <c r="A808" s="35">
        <v>783</v>
      </c>
      <c r="B808" s="92" t="s">
        <v>80</v>
      </c>
      <c r="C808" s="56" t="s">
        <v>267</v>
      </c>
      <c r="D808" s="84" t="s">
        <v>101</v>
      </c>
      <c r="E808" s="49" t="s">
        <v>173</v>
      </c>
      <c r="F808" s="76">
        <v>44483.755324074104</v>
      </c>
      <c r="G808" s="76">
        <v>44484.698240740698</v>
      </c>
      <c r="H808" s="84" t="s">
        <v>257</v>
      </c>
      <c r="I808" s="117">
        <v>44704.003067129597</v>
      </c>
      <c r="J808" s="117">
        <v>44705.602627314802</v>
      </c>
      <c r="K808" s="92" t="s">
        <v>85</v>
      </c>
      <c r="L808" s="101">
        <v>12000</v>
      </c>
      <c r="M808" s="56" t="s">
        <v>86</v>
      </c>
    </row>
    <row r="809" spans="1:13" x14ac:dyDescent="0.4">
      <c r="A809" s="35">
        <v>784</v>
      </c>
      <c r="B809" s="92" t="s">
        <v>80</v>
      </c>
      <c r="C809" s="56" t="s">
        <v>267</v>
      </c>
      <c r="D809" s="84" t="s">
        <v>102</v>
      </c>
      <c r="E809" s="49" t="s">
        <v>173</v>
      </c>
      <c r="F809" s="76">
        <v>44483.755324074104</v>
      </c>
      <c r="G809" s="76">
        <v>44484.698240740698</v>
      </c>
      <c r="H809" s="84" t="s">
        <v>257</v>
      </c>
      <c r="I809" s="117">
        <v>44704.003067129597</v>
      </c>
      <c r="J809" s="117">
        <v>44705.602083333302</v>
      </c>
      <c r="K809" s="92" t="s">
        <v>85</v>
      </c>
      <c r="L809" s="101">
        <v>12000</v>
      </c>
      <c r="M809" s="56" t="s">
        <v>86</v>
      </c>
    </row>
    <row r="810" spans="1:13" x14ac:dyDescent="0.4">
      <c r="A810" s="35">
        <v>785</v>
      </c>
      <c r="B810" s="92" t="s">
        <v>80</v>
      </c>
      <c r="C810" s="56" t="s">
        <v>267</v>
      </c>
      <c r="D810" s="84" t="s">
        <v>103</v>
      </c>
      <c r="E810" s="49" t="s">
        <v>173</v>
      </c>
      <c r="F810" s="76">
        <v>44483.755324074104</v>
      </c>
      <c r="G810" s="76">
        <v>44484.698240740698</v>
      </c>
      <c r="H810" s="84" t="s">
        <v>257</v>
      </c>
      <c r="I810" s="117">
        <v>44704.003090277802</v>
      </c>
      <c r="J810" s="117">
        <v>44705.602083333302</v>
      </c>
      <c r="K810" s="92" t="s">
        <v>85</v>
      </c>
      <c r="L810" s="101">
        <v>12000</v>
      </c>
      <c r="M810" s="56" t="s">
        <v>86</v>
      </c>
    </row>
    <row r="811" spans="1:13" x14ac:dyDescent="0.4">
      <c r="A811" s="35">
        <v>786</v>
      </c>
      <c r="B811" s="92" t="s">
        <v>80</v>
      </c>
      <c r="C811" s="56" t="s">
        <v>267</v>
      </c>
      <c r="D811" s="84" t="s">
        <v>104</v>
      </c>
      <c r="E811" s="49" t="s">
        <v>173</v>
      </c>
      <c r="F811" s="76">
        <v>44483.755324074104</v>
      </c>
      <c r="G811" s="76">
        <v>44484.698240740698</v>
      </c>
      <c r="H811" s="84" t="s">
        <v>257</v>
      </c>
      <c r="I811" s="117">
        <v>44704.003067129597</v>
      </c>
      <c r="J811" s="117">
        <v>44705.602719907401</v>
      </c>
      <c r="K811" s="92" t="s">
        <v>85</v>
      </c>
      <c r="L811" s="101">
        <v>12000</v>
      </c>
      <c r="M811" s="56" t="s">
        <v>86</v>
      </c>
    </row>
    <row r="812" spans="1:13" x14ac:dyDescent="0.4">
      <c r="A812" s="35">
        <v>787</v>
      </c>
      <c r="B812" s="92" t="s">
        <v>80</v>
      </c>
      <c r="C812" s="56" t="s">
        <v>267</v>
      </c>
      <c r="D812" s="84" t="s">
        <v>105</v>
      </c>
      <c r="E812" s="49" t="s">
        <v>173</v>
      </c>
      <c r="F812" s="76">
        <v>44483.755324074104</v>
      </c>
      <c r="G812" s="76">
        <v>44484.698240740698</v>
      </c>
      <c r="H812" s="84" t="s">
        <v>257</v>
      </c>
      <c r="I812" s="117">
        <v>44704.003067129597</v>
      </c>
      <c r="J812" s="117">
        <v>44705.602719907401</v>
      </c>
      <c r="K812" s="92" t="s">
        <v>85</v>
      </c>
      <c r="L812" s="101">
        <v>12000</v>
      </c>
      <c r="M812" s="56" t="s">
        <v>86</v>
      </c>
    </row>
    <row r="813" spans="1:13" x14ac:dyDescent="0.4">
      <c r="A813" s="35">
        <v>788</v>
      </c>
      <c r="B813" s="92" t="s">
        <v>80</v>
      </c>
      <c r="C813" s="56" t="s">
        <v>267</v>
      </c>
      <c r="D813" s="84" t="s">
        <v>106</v>
      </c>
      <c r="E813" s="49" t="s">
        <v>173</v>
      </c>
      <c r="F813" s="76">
        <v>44483.755324074104</v>
      </c>
      <c r="G813" s="76">
        <v>44484.698240740698</v>
      </c>
      <c r="H813" s="84" t="s">
        <v>257</v>
      </c>
      <c r="I813" s="117">
        <v>44704.003240740698</v>
      </c>
      <c r="J813" s="117">
        <v>44705.602083333302</v>
      </c>
      <c r="K813" s="92" t="s">
        <v>85</v>
      </c>
      <c r="L813" s="101">
        <v>12000</v>
      </c>
      <c r="M813" s="56" t="s">
        <v>86</v>
      </c>
    </row>
    <row r="814" spans="1:13" x14ac:dyDescent="0.4">
      <c r="A814" s="35">
        <v>789</v>
      </c>
      <c r="B814" s="92" t="s">
        <v>80</v>
      </c>
      <c r="C814" s="56" t="s">
        <v>81</v>
      </c>
      <c r="D814" s="84" t="s">
        <v>149</v>
      </c>
      <c r="E814" s="49" t="s">
        <v>173</v>
      </c>
      <c r="F814" s="76">
        <v>44483.755324074104</v>
      </c>
      <c r="G814" s="76">
        <v>44484.698240740698</v>
      </c>
      <c r="H814" s="84" t="s">
        <v>257</v>
      </c>
      <c r="I814" s="117"/>
      <c r="J814" s="117"/>
      <c r="K814" s="92" t="s">
        <v>85</v>
      </c>
      <c r="L814" s="101">
        <v>12000</v>
      </c>
      <c r="M814" s="56" t="s">
        <v>86</v>
      </c>
    </row>
    <row r="815" spans="1:13" x14ac:dyDescent="0.4">
      <c r="A815" s="275">
        <v>790</v>
      </c>
      <c r="B815" s="259" t="s">
        <v>80</v>
      </c>
      <c r="C815" s="228" t="s">
        <v>81</v>
      </c>
      <c r="D815" s="247" t="s">
        <v>150</v>
      </c>
      <c r="E815" s="49" t="s">
        <v>173</v>
      </c>
      <c r="F815" s="76">
        <v>44483.755324074104</v>
      </c>
      <c r="G815" s="76">
        <v>44484.698240740698</v>
      </c>
      <c r="H815" s="84" t="s">
        <v>257</v>
      </c>
      <c r="I815" s="117">
        <v>44539.706446759301</v>
      </c>
      <c r="J815" s="117">
        <v>44538.607037037</v>
      </c>
      <c r="K815" s="92" t="s">
        <v>85</v>
      </c>
      <c r="L815" s="101">
        <v>12000</v>
      </c>
      <c r="M815" s="56" t="s">
        <v>86</v>
      </c>
    </row>
    <row r="816" spans="1:13" x14ac:dyDescent="0.4">
      <c r="A816" s="275"/>
      <c r="B816" s="260"/>
      <c r="C816" s="229"/>
      <c r="D816" s="248"/>
      <c r="E816" s="49" t="s">
        <v>269</v>
      </c>
      <c r="F816" s="76">
        <v>45267.618321759299</v>
      </c>
      <c r="G816" s="76">
        <v>45267.388587963003</v>
      </c>
      <c r="H816" s="84" t="s">
        <v>257</v>
      </c>
      <c r="I816" s="117"/>
      <c r="J816" s="117"/>
      <c r="K816" s="92" t="s">
        <v>85</v>
      </c>
      <c r="L816" s="101">
        <v>12000</v>
      </c>
      <c r="M816" s="56" t="s">
        <v>86</v>
      </c>
    </row>
    <row r="817" spans="1:13" x14ac:dyDescent="0.4">
      <c r="A817" s="35">
        <v>791</v>
      </c>
      <c r="B817" s="92" t="s">
        <v>80</v>
      </c>
      <c r="C817" s="56" t="s">
        <v>267</v>
      </c>
      <c r="D817" s="84" t="s">
        <v>162</v>
      </c>
      <c r="E817" s="49" t="s">
        <v>173</v>
      </c>
      <c r="F817" s="76">
        <v>44483.755324074104</v>
      </c>
      <c r="G817" s="76">
        <v>44484.698240740698</v>
      </c>
      <c r="H817" s="84" t="s">
        <v>257</v>
      </c>
      <c r="I817" s="117">
        <v>44482.729421296302</v>
      </c>
      <c r="J817" s="117">
        <v>44481.454814814802</v>
      </c>
      <c r="K817" s="92" t="s">
        <v>85</v>
      </c>
      <c r="L817" s="101">
        <v>12000</v>
      </c>
      <c r="M817" s="56" t="s">
        <v>86</v>
      </c>
    </row>
    <row r="818" spans="1:13" x14ac:dyDescent="0.4">
      <c r="A818" s="35">
        <v>792</v>
      </c>
      <c r="B818" s="92" t="s">
        <v>80</v>
      </c>
      <c r="C818" s="56" t="s">
        <v>267</v>
      </c>
      <c r="D818" s="84" t="s">
        <v>163</v>
      </c>
      <c r="E818" s="49" t="s">
        <v>173</v>
      </c>
      <c r="F818" s="76">
        <v>44483.755324074104</v>
      </c>
      <c r="G818" s="76">
        <v>44484.698240740698</v>
      </c>
      <c r="H818" s="84" t="s">
        <v>257</v>
      </c>
      <c r="I818" s="117">
        <v>44471.618680555599</v>
      </c>
      <c r="J818" s="117">
        <v>44469.650486111103</v>
      </c>
      <c r="K818" s="92" t="s">
        <v>85</v>
      </c>
      <c r="L818" s="101">
        <v>12000</v>
      </c>
      <c r="M818" s="56" t="s">
        <v>86</v>
      </c>
    </row>
    <row r="819" spans="1:13" x14ac:dyDescent="0.4">
      <c r="A819" s="35">
        <v>793</v>
      </c>
      <c r="B819" s="92" t="s">
        <v>80</v>
      </c>
      <c r="C819" s="56" t="s">
        <v>180</v>
      </c>
      <c r="D819" s="56" t="s">
        <v>293</v>
      </c>
      <c r="E819" s="49" t="s">
        <v>173</v>
      </c>
      <c r="F819" s="76">
        <v>44741.643530092602</v>
      </c>
      <c r="G819" s="76">
        <v>44740.666666666701</v>
      </c>
      <c r="H819" s="84" t="s">
        <v>257</v>
      </c>
      <c r="I819" s="61">
        <v>45030.726006944402</v>
      </c>
      <c r="J819" s="61">
        <v>45029.600868055597</v>
      </c>
      <c r="K819" s="92" t="s">
        <v>85</v>
      </c>
      <c r="L819" s="101">
        <v>12000</v>
      </c>
      <c r="M819" s="56" t="s">
        <v>86</v>
      </c>
    </row>
    <row r="820" spans="1:13" x14ac:dyDescent="0.4">
      <c r="A820" s="35">
        <v>794</v>
      </c>
      <c r="B820" s="92" t="s">
        <v>80</v>
      </c>
      <c r="C820" s="56" t="s">
        <v>180</v>
      </c>
      <c r="D820" s="56" t="s">
        <v>294</v>
      </c>
      <c r="E820" s="49" t="s">
        <v>173</v>
      </c>
      <c r="F820" s="76">
        <v>44741.643599536997</v>
      </c>
      <c r="G820" s="76">
        <v>44740.666666666701</v>
      </c>
      <c r="H820" s="84" t="s">
        <v>257</v>
      </c>
      <c r="I820" s="61">
        <v>45030.726041666698</v>
      </c>
      <c r="J820" s="61">
        <v>45029.600925925901</v>
      </c>
      <c r="K820" s="92" t="s">
        <v>85</v>
      </c>
      <c r="L820" s="101">
        <v>12000</v>
      </c>
      <c r="M820" s="56" t="s">
        <v>86</v>
      </c>
    </row>
    <row r="821" spans="1:13" x14ac:dyDescent="0.4">
      <c r="A821" s="35">
        <v>795</v>
      </c>
      <c r="B821" s="92" t="s">
        <v>80</v>
      </c>
      <c r="C821" s="56" t="s">
        <v>180</v>
      </c>
      <c r="D821" s="56" t="s">
        <v>278</v>
      </c>
      <c r="E821" s="49" t="s">
        <v>173</v>
      </c>
      <c r="F821" s="76">
        <v>44741.643310185202</v>
      </c>
      <c r="G821" s="76">
        <v>44740.666666608799</v>
      </c>
      <c r="H821" s="84" t="s">
        <v>257</v>
      </c>
      <c r="I821" s="76">
        <v>44789.660416666702</v>
      </c>
      <c r="J821" s="76">
        <v>44789.670833333301</v>
      </c>
      <c r="K821" s="92" t="s">
        <v>85</v>
      </c>
      <c r="L821" s="101">
        <v>12000</v>
      </c>
      <c r="M821" s="56" t="s">
        <v>86</v>
      </c>
    </row>
    <row r="822" spans="1:13" x14ac:dyDescent="0.4">
      <c r="A822" s="35">
        <v>796</v>
      </c>
      <c r="B822" s="92" t="s">
        <v>80</v>
      </c>
      <c r="C822" s="56" t="s">
        <v>180</v>
      </c>
      <c r="D822" s="56" t="s">
        <v>304</v>
      </c>
      <c r="E822" s="49" t="s">
        <v>173</v>
      </c>
      <c r="F822" s="76">
        <v>44741.643761574102</v>
      </c>
      <c r="G822" s="76">
        <v>44740.666666608799</v>
      </c>
      <c r="H822" s="84" t="s">
        <v>257</v>
      </c>
      <c r="I822" s="61">
        <v>45030.726041666698</v>
      </c>
      <c r="J822" s="61">
        <v>45029.601030092599</v>
      </c>
      <c r="K822" s="92" t="s">
        <v>85</v>
      </c>
      <c r="L822" s="101">
        <v>12000</v>
      </c>
      <c r="M822" s="56" t="s">
        <v>86</v>
      </c>
    </row>
    <row r="823" spans="1:13" x14ac:dyDescent="0.4">
      <c r="A823" s="35">
        <v>797</v>
      </c>
      <c r="B823" s="92" t="s">
        <v>80</v>
      </c>
      <c r="C823" s="56" t="s">
        <v>180</v>
      </c>
      <c r="D823" s="56" t="s">
        <v>291</v>
      </c>
      <c r="E823" s="49" t="s">
        <v>173</v>
      </c>
      <c r="F823" s="76">
        <v>44741.643391203703</v>
      </c>
      <c r="G823" s="76">
        <v>44740.666666608799</v>
      </c>
      <c r="H823" s="84" t="s">
        <v>257</v>
      </c>
      <c r="I823" s="76">
        <v>44878.507384259297</v>
      </c>
      <c r="J823" s="76">
        <v>44876.738946759302</v>
      </c>
      <c r="K823" s="92" t="s">
        <v>85</v>
      </c>
      <c r="L823" s="101">
        <v>12000</v>
      </c>
      <c r="M823" s="56" t="s">
        <v>86</v>
      </c>
    </row>
    <row r="824" spans="1:13" x14ac:dyDescent="0.4">
      <c r="A824" s="35">
        <v>798</v>
      </c>
      <c r="B824" s="92" t="s">
        <v>80</v>
      </c>
      <c r="C824" s="56" t="s">
        <v>180</v>
      </c>
      <c r="D824" s="56" t="s">
        <v>303</v>
      </c>
      <c r="E824" s="49" t="s">
        <v>173</v>
      </c>
      <c r="F824" s="76">
        <v>44741.6436805556</v>
      </c>
      <c r="G824" s="76">
        <v>44740.666666608799</v>
      </c>
      <c r="H824" s="84" t="s">
        <v>257</v>
      </c>
      <c r="I824" s="61">
        <v>45030.726041666698</v>
      </c>
      <c r="J824" s="61">
        <v>45029.600972222201</v>
      </c>
      <c r="K824" s="92" t="s">
        <v>85</v>
      </c>
      <c r="L824" s="101">
        <v>12000</v>
      </c>
      <c r="M824" s="56" t="s">
        <v>86</v>
      </c>
    </row>
    <row r="825" spans="1:13" x14ac:dyDescent="0.4">
      <c r="A825" s="35">
        <v>799</v>
      </c>
      <c r="B825" s="92" t="s">
        <v>80</v>
      </c>
      <c r="C825" s="56" t="s">
        <v>180</v>
      </c>
      <c r="D825" s="56" t="s">
        <v>275</v>
      </c>
      <c r="E825" s="49" t="s">
        <v>173</v>
      </c>
      <c r="F825" s="76">
        <v>44741.643067129597</v>
      </c>
      <c r="G825" s="76">
        <v>44740.666666608799</v>
      </c>
      <c r="H825" s="84" t="s">
        <v>257</v>
      </c>
      <c r="I825" s="53"/>
      <c r="J825" s="76"/>
      <c r="K825" s="92" t="s">
        <v>85</v>
      </c>
      <c r="L825" s="101">
        <v>12000</v>
      </c>
      <c r="M825" s="56" t="s">
        <v>86</v>
      </c>
    </row>
    <row r="826" spans="1:13" x14ac:dyDescent="0.4">
      <c r="A826" s="35">
        <v>800</v>
      </c>
      <c r="B826" s="92" t="s">
        <v>80</v>
      </c>
      <c r="C826" s="56" t="s">
        <v>180</v>
      </c>
      <c r="D826" s="56" t="s">
        <v>277</v>
      </c>
      <c r="E826" s="49" t="s">
        <v>173</v>
      </c>
      <c r="F826" s="76">
        <v>44741.643240740697</v>
      </c>
      <c r="G826" s="76">
        <v>44740.666666608799</v>
      </c>
      <c r="H826" s="84" t="s">
        <v>257</v>
      </c>
      <c r="I826" s="76">
        <v>44789.652777777803</v>
      </c>
      <c r="J826" s="76">
        <v>44789.670833333301</v>
      </c>
      <c r="K826" s="92" t="s">
        <v>85</v>
      </c>
      <c r="L826" s="101">
        <v>12000</v>
      </c>
      <c r="M826" s="56" t="s">
        <v>86</v>
      </c>
    </row>
    <row r="827" spans="1:13" x14ac:dyDescent="0.4">
      <c r="A827" s="275">
        <v>801</v>
      </c>
      <c r="B827" s="261" t="s">
        <v>80</v>
      </c>
      <c r="C827" s="247" t="s">
        <v>180</v>
      </c>
      <c r="D827" s="247" t="s">
        <v>164</v>
      </c>
      <c r="E827" s="49" t="s">
        <v>173</v>
      </c>
      <c r="F827" s="76">
        <v>44741.642777777801</v>
      </c>
      <c r="G827" s="76">
        <v>44740.666666608799</v>
      </c>
      <c r="H827" s="253" t="s">
        <v>182</v>
      </c>
      <c r="I827" s="120">
        <v>44755.905902777798</v>
      </c>
      <c r="J827" s="120">
        <v>44754.380960648101</v>
      </c>
      <c r="K827" s="92" t="s">
        <v>85</v>
      </c>
      <c r="L827" s="101">
        <v>12000</v>
      </c>
      <c r="M827" s="56" t="s">
        <v>86</v>
      </c>
    </row>
    <row r="828" spans="1:13" ht="14.15" x14ac:dyDescent="0.35">
      <c r="A828" s="275"/>
      <c r="B828" s="262"/>
      <c r="C828" s="248"/>
      <c r="D828" s="248"/>
      <c r="E828" s="121" t="s">
        <v>183</v>
      </c>
      <c r="F828" s="61">
        <v>45655.834710648101</v>
      </c>
      <c r="G828" s="61">
        <v>45654.8348148148</v>
      </c>
      <c r="H828" s="254"/>
      <c r="I828" s="61">
        <v>45731.882337962998</v>
      </c>
      <c r="J828" s="61">
        <v>45730.8824537037</v>
      </c>
      <c r="K828" s="92" t="s">
        <v>85</v>
      </c>
      <c r="L828" s="101">
        <v>12000</v>
      </c>
      <c r="M828" s="56" t="s">
        <v>86</v>
      </c>
    </row>
    <row r="829" spans="1:13" x14ac:dyDescent="0.4">
      <c r="A829" s="35">
        <v>802</v>
      </c>
      <c r="B829" s="92" t="s">
        <v>80</v>
      </c>
      <c r="C829" s="56" t="s">
        <v>180</v>
      </c>
      <c r="D829" s="56" t="s">
        <v>292</v>
      </c>
      <c r="E829" s="49" t="s">
        <v>173</v>
      </c>
      <c r="F829" s="76">
        <v>44741.643460648098</v>
      </c>
      <c r="G829" s="76">
        <v>44740.666666608799</v>
      </c>
      <c r="H829" s="252" t="s">
        <v>257</v>
      </c>
      <c r="I829" s="61">
        <v>45030.722557870402</v>
      </c>
      <c r="J829" s="61">
        <v>45029.600810185198</v>
      </c>
      <c r="K829" s="92" t="s">
        <v>85</v>
      </c>
      <c r="L829" s="101">
        <v>12000</v>
      </c>
      <c r="M829" s="56" t="s">
        <v>86</v>
      </c>
    </row>
    <row r="830" spans="1:13" x14ac:dyDescent="0.4">
      <c r="A830" s="35">
        <v>803</v>
      </c>
      <c r="B830" s="92" t="s">
        <v>80</v>
      </c>
      <c r="C830" s="56" t="s">
        <v>171</v>
      </c>
      <c r="D830" s="56" t="s">
        <v>299</v>
      </c>
      <c r="E830" s="49" t="s">
        <v>173</v>
      </c>
      <c r="F830" s="76">
        <v>44741.642407407402</v>
      </c>
      <c r="G830" s="76">
        <v>44740.666666608799</v>
      </c>
      <c r="H830" s="250"/>
      <c r="I830" s="61">
        <v>45060.666666666701</v>
      </c>
      <c r="J830" s="61">
        <v>45058.797152777799</v>
      </c>
      <c r="K830" s="92" t="s">
        <v>85</v>
      </c>
      <c r="L830" s="101">
        <v>12000</v>
      </c>
      <c r="M830" s="56" t="s">
        <v>86</v>
      </c>
    </row>
    <row r="831" spans="1:13" x14ac:dyDescent="0.4">
      <c r="A831" s="35">
        <v>804</v>
      </c>
      <c r="B831" s="92" t="s">
        <v>80</v>
      </c>
      <c r="C831" s="56" t="s">
        <v>180</v>
      </c>
      <c r="D831" s="56" t="s">
        <v>276</v>
      </c>
      <c r="E831" s="49" t="s">
        <v>173</v>
      </c>
      <c r="F831" s="76">
        <v>44741.643159722204</v>
      </c>
      <c r="G831" s="76">
        <v>44740.666666608799</v>
      </c>
      <c r="H831" s="251"/>
      <c r="I831" s="53"/>
      <c r="J831" s="53"/>
      <c r="K831" s="92" t="s">
        <v>85</v>
      </c>
      <c r="L831" s="101">
        <v>12000</v>
      </c>
      <c r="M831" s="56" t="s">
        <v>86</v>
      </c>
    </row>
    <row r="832" spans="1:13" x14ac:dyDescent="0.4">
      <c r="A832" s="275">
        <v>805</v>
      </c>
      <c r="B832" s="261" t="s">
        <v>80</v>
      </c>
      <c r="C832" s="247" t="s">
        <v>180</v>
      </c>
      <c r="D832" s="247" t="s">
        <v>166</v>
      </c>
      <c r="E832" s="49" t="s">
        <v>173</v>
      </c>
      <c r="F832" s="76">
        <v>44741.642974536997</v>
      </c>
      <c r="G832" s="122">
        <v>44740.666666608799</v>
      </c>
      <c r="H832" s="253" t="s">
        <v>182</v>
      </c>
      <c r="I832" s="123">
        <v>44759.690081018503</v>
      </c>
      <c r="J832" s="123">
        <v>44782.437164351897</v>
      </c>
      <c r="K832" s="92" t="s">
        <v>85</v>
      </c>
      <c r="L832" s="101">
        <v>12000</v>
      </c>
      <c r="M832" s="56" t="s">
        <v>86</v>
      </c>
    </row>
    <row r="833" spans="1:13" ht="14.15" x14ac:dyDescent="0.35">
      <c r="A833" s="275"/>
      <c r="B833" s="262"/>
      <c r="C833" s="248"/>
      <c r="D833" s="248"/>
      <c r="E833" s="121" t="s">
        <v>183</v>
      </c>
      <c r="F833" s="61">
        <v>45655.834710648101</v>
      </c>
      <c r="G833" s="124">
        <v>45654.8348148148</v>
      </c>
      <c r="H833" s="255"/>
      <c r="I833" s="61">
        <v>45731.882337962998</v>
      </c>
      <c r="J833" s="61">
        <v>45730.8824537037</v>
      </c>
      <c r="K833" s="92" t="s">
        <v>85</v>
      </c>
      <c r="L833" s="101">
        <v>12000</v>
      </c>
      <c r="M833" s="56" t="s">
        <v>86</v>
      </c>
    </row>
    <row r="834" spans="1:13" x14ac:dyDescent="0.4">
      <c r="A834" s="35">
        <v>806</v>
      </c>
      <c r="B834" s="92" t="s">
        <v>80</v>
      </c>
      <c r="C834" s="56" t="s">
        <v>180</v>
      </c>
      <c r="D834" s="56" t="s">
        <v>163</v>
      </c>
      <c r="E834" s="49" t="s">
        <v>173</v>
      </c>
      <c r="F834" s="76">
        <v>44741.642708333296</v>
      </c>
      <c r="G834" s="122">
        <v>44740.666666608799</v>
      </c>
      <c r="H834" s="255"/>
      <c r="I834" s="53"/>
      <c r="J834" s="53"/>
      <c r="K834" s="92" t="s">
        <v>85</v>
      </c>
      <c r="L834" s="101">
        <v>12000</v>
      </c>
      <c r="M834" s="56" t="s">
        <v>86</v>
      </c>
    </row>
    <row r="835" spans="1:13" x14ac:dyDescent="0.4">
      <c r="A835" s="35">
        <v>807</v>
      </c>
      <c r="B835" s="92" t="s">
        <v>80</v>
      </c>
      <c r="C835" s="56" t="s">
        <v>180</v>
      </c>
      <c r="D835" s="56" t="s">
        <v>165</v>
      </c>
      <c r="E835" s="49" t="s">
        <v>173</v>
      </c>
      <c r="F835" s="76">
        <v>44741.6428703704</v>
      </c>
      <c r="G835" s="122">
        <v>44740.666666608799</v>
      </c>
      <c r="H835" s="254"/>
      <c r="I835" s="53"/>
      <c r="J835" s="53"/>
      <c r="K835" s="92" t="s">
        <v>85</v>
      </c>
      <c r="L835" s="101">
        <v>12000</v>
      </c>
      <c r="M835" s="56" t="s">
        <v>86</v>
      </c>
    </row>
    <row r="836" spans="1:13" x14ac:dyDescent="0.4">
      <c r="A836" s="35">
        <v>808</v>
      </c>
      <c r="B836" s="92" t="s">
        <v>80</v>
      </c>
      <c r="C836" s="56" t="s">
        <v>171</v>
      </c>
      <c r="D836" s="56" t="s">
        <v>300</v>
      </c>
      <c r="E836" s="49" t="s">
        <v>173</v>
      </c>
      <c r="F836" s="76">
        <v>44741.6425115741</v>
      </c>
      <c r="G836" s="76">
        <v>44740.666666608799</v>
      </c>
      <c r="H836" s="51" t="s">
        <v>257</v>
      </c>
      <c r="I836" s="61">
        <v>45060.666666666701</v>
      </c>
      <c r="J836" s="61">
        <v>45058.797199074099</v>
      </c>
      <c r="K836" s="92" t="s">
        <v>85</v>
      </c>
      <c r="L836" s="101">
        <v>12000</v>
      </c>
      <c r="M836" s="56" t="s">
        <v>86</v>
      </c>
    </row>
    <row r="837" spans="1:13" x14ac:dyDescent="0.4">
      <c r="A837" s="35">
        <v>809</v>
      </c>
      <c r="B837" s="108" t="s">
        <v>80</v>
      </c>
      <c r="C837" s="51" t="s">
        <v>171</v>
      </c>
      <c r="D837" s="51" t="s">
        <v>304</v>
      </c>
      <c r="E837" s="49" t="s">
        <v>173</v>
      </c>
      <c r="F837" s="76">
        <v>44743.711712962999</v>
      </c>
      <c r="G837" s="76">
        <v>44742.688101851898</v>
      </c>
      <c r="H837" s="240" t="s">
        <v>182</v>
      </c>
      <c r="I837" s="117">
        <v>45065.441400463002</v>
      </c>
      <c r="J837" s="117">
        <v>45063.567581018498</v>
      </c>
      <c r="K837" s="108" t="s">
        <v>85</v>
      </c>
      <c r="L837" s="110">
        <v>12000</v>
      </c>
      <c r="M837" s="51" t="s">
        <v>86</v>
      </c>
    </row>
    <row r="838" spans="1:13" x14ac:dyDescent="0.4">
      <c r="A838" s="35">
        <v>810</v>
      </c>
      <c r="B838" s="108" t="s">
        <v>80</v>
      </c>
      <c r="C838" s="51" t="s">
        <v>171</v>
      </c>
      <c r="D838" s="51" t="s">
        <v>303</v>
      </c>
      <c r="E838" s="49" t="s">
        <v>173</v>
      </c>
      <c r="F838" s="76">
        <v>44743.614270833299</v>
      </c>
      <c r="G838" s="76">
        <v>44742.688101851898</v>
      </c>
      <c r="H838" s="241"/>
      <c r="I838" s="117">
        <v>45065.441400463002</v>
      </c>
      <c r="J838" s="117">
        <v>45063.567534722199</v>
      </c>
      <c r="K838" s="108" t="s">
        <v>85</v>
      </c>
      <c r="L838" s="110">
        <v>12000</v>
      </c>
      <c r="M838" s="51" t="s">
        <v>86</v>
      </c>
    </row>
    <row r="839" spans="1:13" x14ac:dyDescent="0.4">
      <c r="A839" s="35">
        <v>811</v>
      </c>
      <c r="B839" s="108" t="s">
        <v>80</v>
      </c>
      <c r="C839" s="51" t="s">
        <v>171</v>
      </c>
      <c r="D839" s="51" t="s">
        <v>306</v>
      </c>
      <c r="E839" s="49" t="s">
        <v>173</v>
      </c>
      <c r="F839" s="76">
        <v>44743.614502314798</v>
      </c>
      <c r="G839" s="76">
        <v>44742.688101851898</v>
      </c>
      <c r="H839" s="241"/>
      <c r="I839" s="117">
        <v>45065.441400463002</v>
      </c>
      <c r="J839" s="117">
        <v>45063.567650463003</v>
      </c>
      <c r="K839" s="108" t="s">
        <v>85</v>
      </c>
      <c r="L839" s="110">
        <v>12000</v>
      </c>
      <c r="M839" s="51" t="s">
        <v>86</v>
      </c>
    </row>
    <row r="840" spans="1:13" x14ac:dyDescent="0.4">
      <c r="A840" s="35">
        <v>812</v>
      </c>
      <c r="B840" s="108" t="s">
        <v>80</v>
      </c>
      <c r="C840" s="84" t="s">
        <v>171</v>
      </c>
      <c r="D840" s="84" t="s">
        <v>305</v>
      </c>
      <c r="E840" s="49" t="s">
        <v>173</v>
      </c>
      <c r="F840" s="76">
        <v>44743.614386574103</v>
      </c>
      <c r="G840" s="76">
        <v>44742.688101851898</v>
      </c>
      <c r="H840" s="242"/>
      <c r="I840" s="117">
        <v>45065.441365740699</v>
      </c>
      <c r="J840" s="117">
        <v>45063.5676157407</v>
      </c>
      <c r="K840" s="108" t="s">
        <v>85</v>
      </c>
      <c r="L840" s="110">
        <v>12000</v>
      </c>
      <c r="M840" s="51" t="s">
        <v>86</v>
      </c>
    </row>
    <row r="841" spans="1:13" x14ac:dyDescent="0.4">
      <c r="A841" s="35">
        <v>813</v>
      </c>
      <c r="B841" s="92" t="s">
        <v>80</v>
      </c>
      <c r="C841" s="84" t="s">
        <v>267</v>
      </c>
      <c r="D841" s="84" t="s">
        <v>246</v>
      </c>
      <c r="E841" s="49" t="s">
        <v>173</v>
      </c>
      <c r="F841" s="76">
        <v>44810.575868055603</v>
      </c>
      <c r="G841" s="76">
        <v>44810.674421296302</v>
      </c>
      <c r="H841" s="240" t="s">
        <v>257</v>
      </c>
      <c r="I841" s="61">
        <v>45016.736273148097</v>
      </c>
      <c r="J841" s="61">
        <v>45015.632430555597</v>
      </c>
      <c r="K841" s="92" t="s">
        <v>85</v>
      </c>
      <c r="L841" s="101">
        <v>12000</v>
      </c>
      <c r="M841" s="56" t="s">
        <v>86</v>
      </c>
    </row>
    <row r="842" spans="1:13" x14ac:dyDescent="0.4">
      <c r="A842" s="35">
        <v>814</v>
      </c>
      <c r="B842" s="92" t="s">
        <v>80</v>
      </c>
      <c r="C842" s="84" t="s">
        <v>267</v>
      </c>
      <c r="D842" s="84" t="s">
        <v>185</v>
      </c>
      <c r="E842" s="49" t="s">
        <v>173</v>
      </c>
      <c r="F842" s="76">
        <v>44810.576018518499</v>
      </c>
      <c r="G842" s="76">
        <v>44810.674479166701</v>
      </c>
      <c r="H842" s="241"/>
      <c r="I842" s="61">
        <v>44983.458622685197</v>
      </c>
      <c r="J842" s="61">
        <v>44984.420474537001</v>
      </c>
      <c r="K842" s="92" t="s">
        <v>85</v>
      </c>
      <c r="L842" s="101">
        <v>12000</v>
      </c>
      <c r="M842" s="56" t="s">
        <v>86</v>
      </c>
    </row>
    <row r="843" spans="1:13" x14ac:dyDescent="0.4">
      <c r="A843" s="35">
        <v>815</v>
      </c>
      <c r="B843" s="92" t="s">
        <v>80</v>
      </c>
      <c r="C843" s="84" t="s">
        <v>267</v>
      </c>
      <c r="D843" s="84" t="s">
        <v>193</v>
      </c>
      <c r="E843" s="49" t="s">
        <v>173</v>
      </c>
      <c r="F843" s="76">
        <v>44810.576134259303</v>
      </c>
      <c r="G843" s="76">
        <v>44810.674525463</v>
      </c>
      <c r="H843" s="241"/>
      <c r="I843" s="61">
        <v>45016.743229166699</v>
      </c>
      <c r="J843" s="61">
        <v>45015.632476851897</v>
      </c>
      <c r="K843" s="92" t="s">
        <v>85</v>
      </c>
      <c r="L843" s="101">
        <v>12000</v>
      </c>
      <c r="M843" s="56" t="s">
        <v>86</v>
      </c>
    </row>
    <row r="844" spans="1:13" x14ac:dyDescent="0.4">
      <c r="A844" s="35">
        <v>816</v>
      </c>
      <c r="B844" s="92" t="s">
        <v>80</v>
      </c>
      <c r="C844" s="84" t="s">
        <v>81</v>
      </c>
      <c r="D844" s="84" t="s">
        <v>477</v>
      </c>
      <c r="E844" s="49" t="s">
        <v>173</v>
      </c>
      <c r="F844" s="76">
        <v>44810.576423611099</v>
      </c>
      <c r="G844" s="76">
        <v>44810.6746180556</v>
      </c>
      <c r="H844" s="241"/>
      <c r="I844" s="61">
        <v>44983.437696759298</v>
      </c>
      <c r="J844" s="61">
        <v>44984.420555555596</v>
      </c>
      <c r="K844" s="92" t="s">
        <v>85</v>
      </c>
      <c r="L844" s="101">
        <v>12000</v>
      </c>
      <c r="M844" s="56" t="s">
        <v>86</v>
      </c>
    </row>
    <row r="845" spans="1:13" x14ac:dyDescent="0.4">
      <c r="A845" s="35">
        <v>817</v>
      </c>
      <c r="B845" s="92" t="s">
        <v>80</v>
      </c>
      <c r="C845" s="84" t="s">
        <v>94</v>
      </c>
      <c r="D845" s="84" t="s">
        <v>449</v>
      </c>
      <c r="E845" s="49" t="s">
        <v>173</v>
      </c>
      <c r="F845" s="76">
        <v>44810.576678240701</v>
      </c>
      <c r="G845" s="76">
        <v>44810.674664351798</v>
      </c>
      <c r="H845" s="241"/>
      <c r="I845" s="61">
        <v>44983.444629629601</v>
      </c>
      <c r="J845" s="61">
        <v>44984.420590277798</v>
      </c>
      <c r="K845" s="92" t="s">
        <v>85</v>
      </c>
      <c r="L845" s="101">
        <v>12000</v>
      </c>
      <c r="M845" s="56" t="s">
        <v>86</v>
      </c>
    </row>
    <row r="846" spans="1:13" x14ac:dyDescent="0.4">
      <c r="A846" s="35">
        <v>818</v>
      </c>
      <c r="B846" s="92" t="s">
        <v>80</v>
      </c>
      <c r="C846" s="84" t="s">
        <v>94</v>
      </c>
      <c r="D846" s="84" t="s">
        <v>222</v>
      </c>
      <c r="E846" s="49" t="s">
        <v>173</v>
      </c>
      <c r="F846" s="76">
        <v>44810.576759259297</v>
      </c>
      <c r="G846" s="76">
        <v>44810.6723263889</v>
      </c>
      <c r="H846" s="241"/>
      <c r="I846" s="61">
        <v>44983.444629629601</v>
      </c>
      <c r="J846" s="61">
        <v>44984.420636574097</v>
      </c>
      <c r="K846" s="92" t="s">
        <v>85</v>
      </c>
      <c r="L846" s="101">
        <v>12000</v>
      </c>
      <c r="M846" s="56" t="s">
        <v>86</v>
      </c>
    </row>
    <row r="847" spans="1:13" x14ac:dyDescent="0.4">
      <c r="A847" s="35">
        <v>819</v>
      </c>
      <c r="B847" s="92" t="s">
        <v>80</v>
      </c>
      <c r="C847" s="84" t="s">
        <v>171</v>
      </c>
      <c r="D847" s="84" t="s">
        <v>191</v>
      </c>
      <c r="E847" s="84" t="s">
        <v>83</v>
      </c>
      <c r="F847" s="76">
        <v>44861.685578703698</v>
      </c>
      <c r="G847" s="76">
        <v>44862.745706018497</v>
      </c>
      <c r="H847" s="241"/>
      <c r="I847" s="125"/>
      <c r="J847" s="53"/>
      <c r="K847" s="102" t="s">
        <v>184</v>
      </c>
      <c r="L847" s="103">
        <v>16000</v>
      </c>
      <c r="M847" s="56" t="s">
        <v>86</v>
      </c>
    </row>
    <row r="848" spans="1:13" x14ac:dyDescent="0.4">
      <c r="A848" s="35">
        <v>820</v>
      </c>
      <c r="B848" s="92" t="s">
        <v>80</v>
      </c>
      <c r="C848" s="84" t="s">
        <v>171</v>
      </c>
      <c r="D848" s="84" t="s">
        <v>187</v>
      </c>
      <c r="E848" s="84" t="s">
        <v>83</v>
      </c>
      <c r="F848" s="76">
        <v>44861.679085648102</v>
      </c>
      <c r="G848" s="76">
        <v>44862.745798611097</v>
      </c>
      <c r="H848" s="242"/>
      <c r="I848" s="53"/>
      <c r="J848" s="53"/>
      <c r="K848" s="102" t="s">
        <v>184</v>
      </c>
      <c r="L848" s="103">
        <v>16000</v>
      </c>
      <c r="M848" s="56" t="s">
        <v>86</v>
      </c>
    </row>
    <row r="849" spans="1:13" x14ac:dyDescent="0.4">
      <c r="A849" s="35">
        <v>825</v>
      </c>
      <c r="B849" s="92" t="s">
        <v>80</v>
      </c>
      <c r="C849" s="84" t="s">
        <v>171</v>
      </c>
      <c r="D849" s="84" t="s">
        <v>135</v>
      </c>
      <c r="E849" s="84" t="s">
        <v>173</v>
      </c>
      <c r="F849" s="76">
        <v>44861.693449074097</v>
      </c>
      <c r="G849" s="76">
        <v>44871.712025462999</v>
      </c>
      <c r="H849" s="240" t="s">
        <v>182</v>
      </c>
      <c r="I849" s="117">
        <v>45526.707569444399</v>
      </c>
      <c r="J849" s="117">
        <v>45531.3977662037</v>
      </c>
      <c r="K849" s="92" t="s">
        <v>85</v>
      </c>
      <c r="L849" s="101">
        <v>12000</v>
      </c>
      <c r="M849" s="56" t="s">
        <v>86</v>
      </c>
    </row>
    <row r="850" spans="1:13" x14ac:dyDescent="0.4">
      <c r="A850" s="35">
        <v>826</v>
      </c>
      <c r="B850" s="92" t="s">
        <v>80</v>
      </c>
      <c r="C850" s="84" t="s">
        <v>171</v>
      </c>
      <c r="D850" s="84" t="s">
        <v>136</v>
      </c>
      <c r="E850" s="84" t="s">
        <v>173</v>
      </c>
      <c r="F850" s="76">
        <v>44861.680034722202</v>
      </c>
      <c r="G850" s="76">
        <v>44871.7121064815</v>
      </c>
      <c r="H850" s="242"/>
      <c r="I850" s="117">
        <v>45526.707569444399</v>
      </c>
      <c r="J850" s="117">
        <v>45531.3977662037</v>
      </c>
      <c r="K850" s="92" t="s">
        <v>85</v>
      </c>
      <c r="L850" s="101">
        <v>12000</v>
      </c>
      <c r="M850" s="56" t="s">
        <v>86</v>
      </c>
    </row>
    <row r="851" spans="1:13" x14ac:dyDescent="0.4">
      <c r="A851" s="35">
        <v>827</v>
      </c>
      <c r="B851" s="92" t="s">
        <v>80</v>
      </c>
      <c r="C851" s="84" t="s">
        <v>171</v>
      </c>
      <c r="D851" s="84" t="s">
        <v>317</v>
      </c>
      <c r="E851" s="84" t="s">
        <v>173</v>
      </c>
      <c r="F851" s="76">
        <v>45024.682812500003</v>
      </c>
      <c r="G851" s="76">
        <v>45026.698067129597</v>
      </c>
      <c r="H851" s="252" t="s">
        <v>257</v>
      </c>
      <c r="I851" s="126">
        <v>45085.653078703697</v>
      </c>
      <c r="J851" s="126">
        <v>45083.675798611097</v>
      </c>
      <c r="K851" s="92" t="s">
        <v>85</v>
      </c>
      <c r="L851" s="101">
        <v>12000</v>
      </c>
      <c r="M851" s="56" t="s">
        <v>86</v>
      </c>
    </row>
    <row r="852" spans="1:13" x14ac:dyDescent="0.4">
      <c r="A852" s="35">
        <v>828</v>
      </c>
      <c r="B852" s="92" t="s">
        <v>80</v>
      </c>
      <c r="C852" s="84" t="s">
        <v>171</v>
      </c>
      <c r="D852" s="84" t="s">
        <v>318</v>
      </c>
      <c r="E852" s="84" t="s">
        <v>173</v>
      </c>
      <c r="F852" s="76">
        <v>45024.682812500003</v>
      </c>
      <c r="G852" s="76">
        <v>45026.698125000003</v>
      </c>
      <c r="H852" s="250"/>
      <c r="I852" s="126">
        <v>45085.653113425898</v>
      </c>
      <c r="J852" s="126">
        <v>45083.675844907397</v>
      </c>
      <c r="K852" s="92" t="s">
        <v>85</v>
      </c>
      <c r="L852" s="101">
        <v>12000</v>
      </c>
      <c r="M852" s="56" t="s">
        <v>86</v>
      </c>
    </row>
    <row r="853" spans="1:13" x14ac:dyDescent="0.4">
      <c r="A853" s="35">
        <v>829</v>
      </c>
      <c r="B853" s="92" t="s">
        <v>80</v>
      </c>
      <c r="C853" s="84" t="s">
        <v>180</v>
      </c>
      <c r="D853" s="84" t="s">
        <v>301</v>
      </c>
      <c r="E853" s="84" t="s">
        <v>173</v>
      </c>
      <c r="F853" s="76">
        <v>45024.682812500003</v>
      </c>
      <c r="G853" s="76">
        <v>45026.698217592602</v>
      </c>
      <c r="H853" s="250"/>
      <c r="I853" s="76">
        <v>45071.4515972222</v>
      </c>
      <c r="J853" s="76">
        <v>45069.594837962999</v>
      </c>
      <c r="K853" s="92" t="s">
        <v>85</v>
      </c>
      <c r="L853" s="101">
        <v>12000</v>
      </c>
      <c r="M853" s="56" t="s">
        <v>86</v>
      </c>
    </row>
    <row r="854" spans="1:13" x14ac:dyDescent="0.4">
      <c r="A854" s="35">
        <v>830</v>
      </c>
      <c r="B854" s="92" t="s">
        <v>80</v>
      </c>
      <c r="C854" s="84" t="s">
        <v>180</v>
      </c>
      <c r="D854" s="84" t="s">
        <v>302</v>
      </c>
      <c r="E854" s="84" t="s">
        <v>173</v>
      </c>
      <c r="F854" s="76">
        <v>45024.682812500003</v>
      </c>
      <c r="G854" s="76">
        <v>45026.698333333297</v>
      </c>
      <c r="H854" s="250"/>
      <c r="I854" s="76">
        <v>45071.451631944401</v>
      </c>
      <c r="J854" s="76">
        <v>45069.594884259299</v>
      </c>
      <c r="K854" s="92" t="s">
        <v>85</v>
      </c>
      <c r="L854" s="101">
        <v>12000</v>
      </c>
      <c r="M854" s="56" t="s">
        <v>86</v>
      </c>
    </row>
    <row r="855" spans="1:13" x14ac:dyDescent="0.4">
      <c r="A855" s="35">
        <v>831</v>
      </c>
      <c r="B855" s="92" t="s">
        <v>80</v>
      </c>
      <c r="C855" s="84" t="s">
        <v>180</v>
      </c>
      <c r="D855" s="84" t="s">
        <v>311</v>
      </c>
      <c r="E855" s="84" t="s">
        <v>173</v>
      </c>
      <c r="F855" s="76">
        <v>45024.682812500003</v>
      </c>
      <c r="G855" s="76">
        <v>45026.698379629597</v>
      </c>
      <c r="H855" s="250"/>
      <c r="I855" s="76">
        <v>45071.4586458333</v>
      </c>
      <c r="J855" s="76">
        <v>45069.5949189815</v>
      </c>
      <c r="K855" s="92" t="s">
        <v>85</v>
      </c>
      <c r="L855" s="101">
        <v>12000</v>
      </c>
      <c r="M855" s="56" t="s">
        <v>86</v>
      </c>
    </row>
    <row r="856" spans="1:13" x14ac:dyDescent="0.4">
      <c r="A856" s="35">
        <v>832</v>
      </c>
      <c r="B856" s="92" t="s">
        <v>80</v>
      </c>
      <c r="C856" s="84" t="s">
        <v>180</v>
      </c>
      <c r="D856" s="84" t="s">
        <v>312</v>
      </c>
      <c r="E856" s="84" t="s">
        <v>173</v>
      </c>
      <c r="F856" s="76">
        <v>45024.682812500003</v>
      </c>
      <c r="G856" s="76">
        <v>45026.698518518497</v>
      </c>
      <c r="H856" s="250"/>
      <c r="I856" s="76">
        <v>45071.458680555603</v>
      </c>
      <c r="J856" s="76">
        <v>45069.5949652778</v>
      </c>
      <c r="K856" s="92" t="s">
        <v>85</v>
      </c>
      <c r="L856" s="101">
        <v>12000</v>
      </c>
      <c r="M856" s="56" t="s">
        <v>86</v>
      </c>
    </row>
    <row r="857" spans="1:13" x14ac:dyDescent="0.4">
      <c r="A857" s="35">
        <v>833</v>
      </c>
      <c r="B857" s="92" t="s">
        <v>80</v>
      </c>
      <c r="C857" s="84" t="s">
        <v>180</v>
      </c>
      <c r="D857" s="84" t="s">
        <v>313</v>
      </c>
      <c r="E857" s="84" t="s">
        <v>173</v>
      </c>
      <c r="F857" s="76">
        <v>45024.682812500003</v>
      </c>
      <c r="G857" s="76">
        <v>45026.698599536998</v>
      </c>
      <c r="H857" s="250"/>
      <c r="I857" s="76">
        <v>45071.458738425899</v>
      </c>
      <c r="J857" s="76">
        <v>45069.595092592601</v>
      </c>
      <c r="K857" s="92" t="s">
        <v>85</v>
      </c>
      <c r="L857" s="101">
        <v>12000</v>
      </c>
      <c r="M857" s="56" t="s">
        <v>86</v>
      </c>
    </row>
    <row r="858" spans="1:13" x14ac:dyDescent="0.4">
      <c r="A858" s="35">
        <v>834</v>
      </c>
      <c r="B858" s="92" t="s">
        <v>80</v>
      </c>
      <c r="C858" s="84" t="s">
        <v>180</v>
      </c>
      <c r="D858" s="84" t="s">
        <v>314</v>
      </c>
      <c r="E858" s="84" t="s">
        <v>173</v>
      </c>
      <c r="F858" s="76">
        <v>45024.682812500003</v>
      </c>
      <c r="G858" s="76">
        <v>45026.698680555601</v>
      </c>
      <c r="H858" s="250"/>
      <c r="I858" s="76">
        <v>45071.455150463</v>
      </c>
      <c r="J858" s="76">
        <v>45069.595138888901</v>
      </c>
      <c r="K858" s="92" t="s">
        <v>85</v>
      </c>
      <c r="L858" s="101">
        <v>12000</v>
      </c>
      <c r="M858" s="56" t="s">
        <v>86</v>
      </c>
    </row>
    <row r="859" spans="1:13" x14ac:dyDescent="0.4">
      <c r="A859" s="35">
        <v>835</v>
      </c>
      <c r="B859" s="92" t="s">
        <v>80</v>
      </c>
      <c r="C859" s="84" t="s">
        <v>180</v>
      </c>
      <c r="D859" s="84" t="s">
        <v>315</v>
      </c>
      <c r="E859" s="84" t="s">
        <v>173</v>
      </c>
      <c r="F859" s="76">
        <v>45024.682812500003</v>
      </c>
      <c r="G859" s="76">
        <v>45026.698761574102</v>
      </c>
      <c r="H859" s="250"/>
      <c r="I859" s="76">
        <v>45071.455150463</v>
      </c>
      <c r="J859" s="76">
        <v>45069.595219907402</v>
      </c>
      <c r="K859" s="92" t="s">
        <v>85</v>
      </c>
      <c r="L859" s="101">
        <v>12000</v>
      </c>
      <c r="M859" s="56" t="s">
        <v>86</v>
      </c>
    </row>
    <row r="860" spans="1:13" x14ac:dyDescent="0.4">
      <c r="A860" s="35">
        <v>836</v>
      </c>
      <c r="B860" s="92" t="s">
        <v>80</v>
      </c>
      <c r="C860" s="84" t="s">
        <v>180</v>
      </c>
      <c r="D860" s="84" t="s">
        <v>316</v>
      </c>
      <c r="E860" s="84" t="s">
        <v>173</v>
      </c>
      <c r="F860" s="76">
        <v>45024.682812500003</v>
      </c>
      <c r="G860" s="76">
        <v>45026.699166666702</v>
      </c>
      <c r="H860" s="250"/>
      <c r="I860" s="76">
        <v>45071.455115740697</v>
      </c>
      <c r="J860" s="76">
        <v>45069.595590277801</v>
      </c>
      <c r="K860" s="92" t="s">
        <v>85</v>
      </c>
      <c r="L860" s="101">
        <v>12000</v>
      </c>
      <c r="M860" s="56" t="s">
        <v>86</v>
      </c>
    </row>
    <row r="861" spans="1:13" x14ac:dyDescent="0.4">
      <c r="A861" s="35">
        <v>837</v>
      </c>
      <c r="B861" s="92" t="s">
        <v>80</v>
      </c>
      <c r="C861" s="84" t="s">
        <v>180</v>
      </c>
      <c r="D861" s="84" t="s">
        <v>317</v>
      </c>
      <c r="E861" s="84" t="s">
        <v>173</v>
      </c>
      <c r="F861" s="76">
        <v>45024.682812500003</v>
      </c>
      <c r="G861" s="76">
        <v>45026.699247685203</v>
      </c>
      <c r="H861" s="250"/>
      <c r="I861" s="76">
        <v>45071.455115740697</v>
      </c>
      <c r="J861" s="76">
        <v>45069.593148148102</v>
      </c>
      <c r="K861" s="92" t="s">
        <v>85</v>
      </c>
      <c r="L861" s="101">
        <v>12000</v>
      </c>
      <c r="M861" s="56" t="s">
        <v>86</v>
      </c>
    </row>
    <row r="862" spans="1:13" x14ac:dyDescent="0.4">
      <c r="A862" s="35">
        <v>838</v>
      </c>
      <c r="B862" s="92" t="s">
        <v>80</v>
      </c>
      <c r="C862" s="84" t="s">
        <v>180</v>
      </c>
      <c r="D862" s="84" t="s">
        <v>318</v>
      </c>
      <c r="E862" s="84" t="s">
        <v>173</v>
      </c>
      <c r="F862" s="76">
        <v>45024.682812500003</v>
      </c>
      <c r="G862" s="76">
        <v>45026.698993055601</v>
      </c>
      <c r="H862" s="250"/>
      <c r="I862" s="76">
        <v>45071.455150463</v>
      </c>
      <c r="J862" s="76">
        <v>45069.593043981498</v>
      </c>
      <c r="K862" s="92" t="s">
        <v>85</v>
      </c>
      <c r="L862" s="101">
        <v>12000</v>
      </c>
      <c r="M862" s="56" t="s">
        <v>86</v>
      </c>
    </row>
    <row r="863" spans="1:13" x14ac:dyDescent="0.4">
      <c r="A863" s="35">
        <v>839</v>
      </c>
      <c r="B863" s="92" t="s">
        <v>80</v>
      </c>
      <c r="C863" s="84" t="s">
        <v>180</v>
      </c>
      <c r="D863" s="84" t="s">
        <v>285</v>
      </c>
      <c r="E863" s="84" t="s">
        <v>173</v>
      </c>
      <c r="F863" s="61">
        <v>45028</v>
      </c>
      <c r="G863" s="61">
        <v>45033.752210648097</v>
      </c>
      <c r="H863" s="250"/>
      <c r="I863" s="76">
        <v>45071.444745370398</v>
      </c>
      <c r="J863" s="76">
        <v>45069.594583333303</v>
      </c>
      <c r="K863" s="92" t="s">
        <v>85</v>
      </c>
      <c r="L863" s="101">
        <v>12000</v>
      </c>
      <c r="M863" s="56" t="s">
        <v>86</v>
      </c>
    </row>
    <row r="864" spans="1:13" x14ac:dyDescent="0.4">
      <c r="A864" s="35">
        <v>840</v>
      </c>
      <c r="B864" s="92" t="s">
        <v>80</v>
      </c>
      <c r="C864" s="84" t="s">
        <v>180</v>
      </c>
      <c r="D864" s="84" t="s">
        <v>286</v>
      </c>
      <c r="E864" s="84" t="s">
        <v>173</v>
      </c>
      <c r="F864" s="61">
        <v>45028</v>
      </c>
      <c r="G864" s="61">
        <v>45033.7522916667</v>
      </c>
      <c r="H864" s="250"/>
      <c r="I864" s="76">
        <v>45071.4447685185</v>
      </c>
      <c r="J864" s="76">
        <v>45069.594618055598</v>
      </c>
      <c r="K864" s="92" t="s">
        <v>85</v>
      </c>
      <c r="L864" s="101">
        <v>12000</v>
      </c>
      <c r="M864" s="56" t="s">
        <v>86</v>
      </c>
    </row>
    <row r="865" spans="1:13" x14ac:dyDescent="0.4">
      <c r="A865" s="35">
        <v>841</v>
      </c>
      <c r="B865" s="92" t="s">
        <v>80</v>
      </c>
      <c r="C865" s="84" t="s">
        <v>180</v>
      </c>
      <c r="D865" s="84" t="s">
        <v>287</v>
      </c>
      <c r="E865" s="84" t="s">
        <v>173</v>
      </c>
      <c r="F865" s="61">
        <v>45028</v>
      </c>
      <c r="G865" s="61">
        <v>45033.752361111103</v>
      </c>
      <c r="H865" s="250"/>
      <c r="I865" s="76">
        <v>45072.406539351898</v>
      </c>
      <c r="J865" s="76">
        <v>45070.581655092603</v>
      </c>
      <c r="K865" s="92" t="s">
        <v>85</v>
      </c>
      <c r="L865" s="101">
        <v>12000</v>
      </c>
      <c r="M865" s="56" t="s">
        <v>86</v>
      </c>
    </row>
    <row r="866" spans="1:13" x14ac:dyDescent="0.4">
      <c r="A866" s="35">
        <v>842</v>
      </c>
      <c r="B866" s="92" t="s">
        <v>80</v>
      </c>
      <c r="C866" s="84" t="s">
        <v>180</v>
      </c>
      <c r="D866" s="84" t="s">
        <v>288</v>
      </c>
      <c r="E866" s="84" t="s">
        <v>173</v>
      </c>
      <c r="F866" s="61">
        <v>45028</v>
      </c>
      <c r="G866" s="61">
        <v>45033.7524305556</v>
      </c>
      <c r="H866" s="250"/>
      <c r="I866" s="76">
        <v>45072.406539351898</v>
      </c>
      <c r="J866" s="76">
        <v>45070.583611111098</v>
      </c>
      <c r="K866" s="92" t="s">
        <v>85</v>
      </c>
      <c r="L866" s="101">
        <v>12000</v>
      </c>
      <c r="M866" s="56" t="s">
        <v>86</v>
      </c>
    </row>
    <row r="867" spans="1:13" x14ac:dyDescent="0.4">
      <c r="A867" s="35">
        <v>843</v>
      </c>
      <c r="B867" s="92" t="s">
        <v>80</v>
      </c>
      <c r="C867" s="84" t="s">
        <v>180</v>
      </c>
      <c r="D867" s="84" t="s">
        <v>289</v>
      </c>
      <c r="E867" s="84" t="s">
        <v>173</v>
      </c>
      <c r="F867" s="61">
        <v>45028</v>
      </c>
      <c r="G867" s="61">
        <v>45033.752511574101</v>
      </c>
      <c r="H867" s="250"/>
      <c r="I867" s="76">
        <v>45072.708668981497</v>
      </c>
      <c r="J867" s="76">
        <v>45071.473611111098</v>
      </c>
      <c r="K867" s="92" t="s">
        <v>85</v>
      </c>
      <c r="L867" s="101">
        <v>12000</v>
      </c>
      <c r="M867" s="56" t="s">
        <v>86</v>
      </c>
    </row>
    <row r="868" spans="1:13" x14ac:dyDescent="0.4">
      <c r="A868" s="35">
        <v>844</v>
      </c>
      <c r="B868" s="92" t="s">
        <v>80</v>
      </c>
      <c r="C868" s="84" t="s">
        <v>180</v>
      </c>
      <c r="D868" s="84" t="s">
        <v>290</v>
      </c>
      <c r="E868" s="84" t="s">
        <v>173</v>
      </c>
      <c r="F868" s="61">
        <v>45028</v>
      </c>
      <c r="G868" s="61">
        <v>45033.752581018503</v>
      </c>
      <c r="H868" s="250"/>
      <c r="I868" s="76">
        <v>45072.708668981497</v>
      </c>
      <c r="J868" s="76">
        <v>45071.465810185196</v>
      </c>
      <c r="K868" s="92" t="s">
        <v>85</v>
      </c>
      <c r="L868" s="101">
        <v>12000</v>
      </c>
      <c r="M868" s="56" t="s">
        <v>86</v>
      </c>
    </row>
    <row r="869" spans="1:13" x14ac:dyDescent="0.4">
      <c r="A869" s="35">
        <v>845</v>
      </c>
      <c r="B869" s="92" t="s">
        <v>80</v>
      </c>
      <c r="C869" s="84" t="s">
        <v>180</v>
      </c>
      <c r="D869" s="84" t="s">
        <v>297</v>
      </c>
      <c r="E869" s="84" t="s">
        <v>173</v>
      </c>
      <c r="F869" s="61">
        <v>45028</v>
      </c>
      <c r="G869" s="61">
        <v>45033.752662036997</v>
      </c>
      <c r="H869" s="250"/>
      <c r="I869" s="76">
        <v>45071.4515972222</v>
      </c>
      <c r="J869" s="76">
        <v>45069.594664351898</v>
      </c>
      <c r="K869" s="92" t="s">
        <v>85</v>
      </c>
      <c r="L869" s="101">
        <v>12000</v>
      </c>
      <c r="M869" s="56" t="s">
        <v>86</v>
      </c>
    </row>
    <row r="870" spans="1:13" x14ac:dyDescent="0.4">
      <c r="A870" s="35">
        <v>846</v>
      </c>
      <c r="B870" s="92" t="s">
        <v>80</v>
      </c>
      <c r="C870" s="84" t="s">
        <v>180</v>
      </c>
      <c r="D870" s="84" t="s">
        <v>298</v>
      </c>
      <c r="E870" s="84" t="s">
        <v>173</v>
      </c>
      <c r="F870" s="61">
        <v>45028</v>
      </c>
      <c r="G870" s="61">
        <v>45033.752800925897</v>
      </c>
      <c r="H870" s="250"/>
      <c r="I870" s="76">
        <v>45071.4515972222</v>
      </c>
      <c r="J870" s="76">
        <v>45069.594710648104</v>
      </c>
      <c r="K870" s="92" t="s">
        <v>85</v>
      </c>
      <c r="L870" s="101">
        <v>12000</v>
      </c>
      <c r="M870" s="56" t="s">
        <v>86</v>
      </c>
    </row>
    <row r="871" spans="1:13" x14ac:dyDescent="0.4">
      <c r="A871" s="35">
        <v>847</v>
      </c>
      <c r="B871" s="92" t="s">
        <v>80</v>
      </c>
      <c r="C871" s="84" t="s">
        <v>180</v>
      </c>
      <c r="D871" s="84" t="s">
        <v>299</v>
      </c>
      <c r="E871" s="84" t="s">
        <v>173</v>
      </c>
      <c r="F871" s="61">
        <v>45028</v>
      </c>
      <c r="G871" s="61">
        <v>45033.752881944398</v>
      </c>
      <c r="H871" s="250"/>
      <c r="I871" s="76">
        <v>45071.4515972222</v>
      </c>
      <c r="J871" s="76">
        <v>45069.594745370399</v>
      </c>
      <c r="K871" s="92" t="s">
        <v>85</v>
      </c>
      <c r="L871" s="101">
        <v>12000</v>
      </c>
      <c r="M871" s="56" t="s">
        <v>86</v>
      </c>
    </row>
    <row r="872" spans="1:13" x14ac:dyDescent="0.4">
      <c r="A872" s="35">
        <v>848</v>
      </c>
      <c r="B872" s="92" t="s">
        <v>80</v>
      </c>
      <c r="C872" s="84" t="s">
        <v>180</v>
      </c>
      <c r="D872" s="84" t="s">
        <v>300</v>
      </c>
      <c r="E872" s="84" t="s">
        <v>173</v>
      </c>
      <c r="F872" s="61">
        <v>45028</v>
      </c>
      <c r="G872" s="61">
        <v>45033.752951388902</v>
      </c>
      <c r="H872" s="250"/>
      <c r="I872" s="76">
        <v>45071.4515972222</v>
      </c>
      <c r="J872" s="76">
        <v>45069.594791666699</v>
      </c>
      <c r="K872" s="92" t="s">
        <v>85</v>
      </c>
      <c r="L872" s="101">
        <v>12000</v>
      </c>
      <c r="M872" s="56" t="s">
        <v>86</v>
      </c>
    </row>
    <row r="873" spans="1:13" x14ac:dyDescent="0.4">
      <c r="A873" s="35">
        <v>849</v>
      </c>
      <c r="B873" s="92" t="s">
        <v>80</v>
      </c>
      <c r="C873" s="84" t="s">
        <v>180</v>
      </c>
      <c r="D873" s="84" t="s">
        <v>283</v>
      </c>
      <c r="E873" s="84" t="s">
        <v>173</v>
      </c>
      <c r="F873" s="61">
        <v>45034.659201388902</v>
      </c>
      <c r="G873" s="61">
        <v>45052.7573148148</v>
      </c>
      <c r="H873" s="250"/>
      <c r="I873" s="76">
        <v>45072.406539351898</v>
      </c>
      <c r="J873" s="76">
        <v>45070.581562500003</v>
      </c>
      <c r="K873" s="92" t="s">
        <v>85</v>
      </c>
      <c r="L873" s="101">
        <v>12000</v>
      </c>
      <c r="M873" s="56" t="s">
        <v>86</v>
      </c>
    </row>
    <row r="874" spans="1:13" x14ac:dyDescent="0.4">
      <c r="A874" s="35">
        <v>850</v>
      </c>
      <c r="B874" s="92" t="s">
        <v>80</v>
      </c>
      <c r="C874" s="84" t="s">
        <v>180</v>
      </c>
      <c r="D874" s="84" t="s">
        <v>284</v>
      </c>
      <c r="E874" s="84" t="s">
        <v>173</v>
      </c>
      <c r="F874" s="61">
        <v>45034.7027662037</v>
      </c>
      <c r="G874" s="61">
        <v>45052.741666666698</v>
      </c>
      <c r="H874" s="250"/>
      <c r="I874" s="76">
        <v>45072.406539351898</v>
      </c>
      <c r="J874" s="76">
        <v>45070.581608796303</v>
      </c>
      <c r="K874" s="92" t="s">
        <v>85</v>
      </c>
      <c r="L874" s="101">
        <v>12000</v>
      </c>
      <c r="M874" s="56" t="s">
        <v>86</v>
      </c>
    </row>
    <row r="875" spans="1:13" x14ac:dyDescent="0.4">
      <c r="A875" s="35">
        <v>851</v>
      </c>
      <c r="B875" s="92" t="s">
        <v>80</v>
      </c>
      <c r="C875" s="84" t="s">
        <v>171</v>
      </c>
      <c r="D875" s="84" t="s">
        <v>365</v>
      </c>
      <c r="E875" s="84" t="s">
        <v>173</v>
      </c>
      <c r="F875" s="61">
        <v>45059.537164351903</v>
      </c>
      <c r="G875" s="61">
        <v>45058.733402777798</v>
      </c>
      <c r="H875" s="250"/>
      <c r="I875" s="126">
        <v>45122.976168981499</v>
      </c>
      <c r="J875" s="126">
        <v>45121.598530092597</v>
      </c>
      <c r="K875" s="92" t="s">
        <v>85</v>
      </c>
      <c r="L875" s="101">
        <v>12000</v>
      </c>
      <c r="M875" s="56" t="s">
        <v>86</v>
      </c>
    </row>
    <row r="876" spans="1:13" x14ac:dyDescent="0.4">
      <c r="A876" s="35">
        <v>852</v>
      </c>
      <c r="B876" s="92" t="s">
        <v>80</v>
      </c>
      <c r="C876" s="84" t="s">
        <v>171</v>
      </c>
      <c r="D876" s="84" t="s">
        <v>368</v>
      </c>
      <c r="E876" s="84" t="s">
        <v>173</v>
      </c>
      <c r="F876" s="61">
        <v>45059.537314814799</v>
      </c>
      <c r="G876" s="61">
        <v>45058.733449074098</v>
      </c>
      <c r="H876" s="250"/>
      <c r="I876" s="126">
        <v>45122.976145833301</v>
      </c>
      <c r="J876" s="126">
        <v>45121.598576388897</v>
      </c>
      <c r="K876" s="92" t="s">
        <v>85</v>
      </c>
      <c r="L876" s="101">
        <v>12000</v>
      </c>
      <c r="M876" s="56" t="s">
        <v>86</v>
      </c>
    </row>
    <row r="877" spans="1:13" x14ac:dyDescent="0.4">
      <c r="A877" s="35">
        <v>853</v>
      </c>
      <c r="B877" s="92" t="s">
        <v>80</v>
      </c>
      <c r="C877" s="84" t="s">
        <v>171</v>
      </c>
      <c r="D877" s="84" t="s">
        <v>301</v>
      </c>
      <c r="E877" s="84" t="s">
        <v>173</v>
      </c>
      <c r="F877" s="61">
        <v>45056</v>
      </c>
      <c r="G877" s="61">
        <v>45058.733541666697</v>
      </c>
      <c r="H877" s="250"/>
      <c r="I877" s="126">
        <v>45088.885763888902</v>
      </c>
      <c r="J877" s="126">
        <v>45089.413692129601</v>
      </c>
      <c r="K877" s="92" t="s">
        <v>85</v>
      </c>
      <c r="L877" s="101">
        <v>12000</v>
      </c>
      <c r="M877" s="56" t="s">
        <v>86</v>
      </c>
    </row>
    <row r="878" spans="1:13" x14ac:dyDescent="0.4">
      <c r="A878" s="35">
        <v>854</v>
      </c>
      <c r="B878" s="92" t="s">
        <v>80</v>
      </c>
      <c r="C878" s="84" t="s">
        <v>171</v>
      </c>
      <c r="D878" s="84" t="s">
        <v>302</v>
      </c>
      <c r="E878" s="84" t="s">
        <v>173</v>
      </c>
      <c r="F878" s="61">
        <v>45056</v>
      </c>
      <c r="G878" s="61">
        <v>45058.733668981498</v>
      </c>
      <c r="H878" s="250"/>
      <c r="I878" s="126">
        <v>45088.885763888902</v>
      </c>
      <c r="J878" s="126">
        <v>45089.413912037002</v>
      </c>
      <c r="K878" s="92" t="s">
        <v>85</v>
      </c>
      <c r="L878" s="101">
        <v>12000</v>
      </c>
      <c r="M878" s="56" t="s">
        <v>86</v>
      </c>
    </row>
    <row r="879" spans="1:13" x14ac:dyDescent="0.4">
      <c r="A879" s="35">
        <v>855</v>
      </c>
      <c r="B879" s="92" t="s">
        <v>80</v>
      </c>
      <c r="C879" s="84" t="s">
        <v>171</v>
      </c>
      <c r="D879" s="84" t="s">
        <v>307</v>
      </c>
      <c r="E879" s="84" t="s">
        <v>173</v>
      </c>
      <c r="F879" s="61">
        <v>45056</v>
      </c>
      <c r="G879" s="61">
        <v>45058.733807870398</v>
      </c>
      <c r="H879" s="250"/>
      <c r="I879" s="126">
        <v>45088.885763888902</v>
      </c>
      <c r="J879" s="126">
        <v>45089.413958333302</v>
      </c>
      <c r="K879" s="92" t="s">
        <v>85</v>
      </c>
      <c r="L879" s="101">
        <v>12000</v>
      </c>
      <c r="M879" s="56" t="s">
        <v>86</v>
      </c>
    </row>
    <row r="880" spans="1:13" x14ac:dyDescent="0.4">
      <c r="A880" s="35">
        <v>856</v>
      </c>
      <c r="B880" s="92" t="s">
        <v>80</v>
      </c>
      <c r="C880" s="84" t="s">
        <v>171</v>
      </c>
      <c r="D880" s="84" t="s">
        <v>308</v>
      </c>
      <c r="E880" s="84" t="s">
        <v>173</v>
      </c>
      <c r="F880" s="61">
        <v>45056</v>
      </c>
      <c r="G880" s="61">
        <v>45058.7338773148</v>
      </c>
      <c r="H880" s="250"/>
      <c r="I880" s="126">
        <v>45088.889282407399</v>
      </c>
      <c r="J880" s="126">
        <v>45089.414004629602</v>
      </c>
      <c r="K880" s="92" t="s">
        <v>85</v>
      </c>
      <c r="L880" s="101">
        <v>12000</v>
      </c>
      <c r="M880" s="56" t="s">
        <v>86</v>
      </c>
    </row>
    <row r="881" spans="1:13" x14ac:dyDescent="0.4">
      <c r="A881" s="35">
        <v>857</v>
      </c>
      <c r="B881" s="92" t="s">
        <v>80</v>
      </c>
      <c r="C881" s="84" t="s">
        <v>171</v>
      </c>
      <c r="D881" s="84" t="s">
        <v>309</v>
      </c>
      <c r="E881" s="84" t="s">
        <v>173</v>
      </c>
      <c r="F881" s="61">
        <v>45056</v>
      </c>
      <c r="G881" s="61">
        <v>45058.7340625</v>
      </c>
      <c r="H881" s="250"/>
      <c r="I881" s="126">
        <v>45088.889328703699</v>
      </c>
      <c r="J881" s="126">
        <v>45089.414050925901</v>
      </c>
      <c r="K881" s="92" t="s">
        <v>85</v>
      </c>
      <c r="L881" s="101">
        <v>12000</v>
      </c>
      <c r="M881" s="56" t="s">
        <v>86</v>
      </c>
    </row>
    <row r="882" spans="1:13" x14ac:dyDescent="0.4">
      <c r="A882" s="35">
        <v>858</v>
      </c>
      <c r="B882" s="92" t="s">
        <v>80</v>
      </c>
      <c r="C882" s="84" t="s">
        <v>171</v>
      </c>
      <c r="D882" s="84" t="s">
        <v>310</v>
      </c>
      <c r="E882" s="84" t="s">
        <v>173</v>
      </c>
      <c r="F882" s="61">
        <v>45056</v>
      </c>
      <c r="G882" s="61">
        <v>45058.734317129602</v>
      </c>
      <c r="H882" s="250"/>
      <c r="I882" s="126">
        <v>45088.889282407399</v>
      </c>
      <c r="J882" s="126">
        <v>45089.414097222201</v>
      </c>
      <c r="K882" s="92" t="s">
        <v>85</v>
      </c>
      <c r="L882" s="101">
        <v>12000</v>
      </c>
      <c r="M882" s="56" t="s">
        <v>86</v>
      </c>
    </row>
    <row r="883" spans="1:13" x14ac:dyDescent="0.4">
      <c r="A883" s="35">
        <v>859</v>
      </c>
      <c r="B883" s="92" t="s">
        <v>80</v>
      </c>
      <c r="C883" s="84" t="s">
        <v>171</v>
      </c>
      <c r="D883" s="84" t="s">
        <v>311</v>
      </c>
      <c r="E883" s="84" t="s">
        <v>173</v>
      </c>
      <c r="F883" s="61">
        <v>45056</v>
      </c>
      <c r="G883" s="61">
        <v>45058.734386574099</v>
      </c>
      <c r="H883" s="250"/>
      <c r="I883" s="126">
        <v>45088.889259259297</v>
      </c>
      <c r="J883" s="126">
        <v>45089.414143518501</v>
      </c>
      <c r="K883" s="92" t="s">
        <v>85</v>
      </c>
      <c r="L883" s="101">
        <v>12000</v>
      </c>
      <c r="M883" s="56" t="s">
        <v>86</v>
      </c>
    </row>
    <row r="884" spans="1:13" x14ac:dyDescent="0.4">
      <c r="A884" s="35">
        <v>860</v>
      </c>
      <c r="B884" s="92" t="s">
        <v>80</v>
      </c>
      <c r="C884" s="84" t="s">
        <v>171</v>
      </c>
      <c r="D884" s="84" t="s">
        <v>312</v>
      </c>
      <c r="E884" s="84" t="s">
        <v>173</v>
      </c>
      <c r="F884" s="61">
        <v>45056</v>
      </c>
      <c r="G884" s="61">
        <v>45058.734456018501</v>
      </c>
      <c r="H884" s="250"/>
      <c r="I884" s="126">
        <v>45088.892708333296</v>
      </c>
      <c r="J884" s="126">
        <v>45089.414189814801</v>
      </c>
      <c r="K884" s="92" t="s">
        <v>85</v>
      </c>
      <c r="L884" s="101">
        <v>12000</v>
      </c>
      <c r="M884" s="56" t="s">
        <v>86</v>
      </c>
    </row>
    <row r="885" spans="1:13" x14ac:dyDescent="0.4">
      <c r="A885" s="35">
        <v>861</v>
      </c>
      <c r="B885" s="92" t="s">
        <v>80</v>
      </c>
      <c r="C885" s="84" t="s">
        <v>171</v>
      </c>
      <c r="D885" s="84" t="s">
        <v>313</v>
      </c>
      <c r="E885" s="84" t="s">
        <v>173</v>
      </c>
      <c r="F885" s="61">
        <v>45056</v>
      </c>
      <c r="G885" s="61">
        <v>45058.735439814802</v>
      </c>
      <c r="H885" s="250"/>
      <c r="I885" s="126">
        <v>45088.892708333296</v>
      </c>
      <c r="J885" s="126">
        <v>45089.414247685199</v>
      </c>
      <c r="K885" s="92" t="s">
        <v>85</v>
      </c>
      <c r="L885" s="101">
        <v>12000</v>
      </c>
      <c r="M885" s="56" t="s">
        <v>86</v>
      </c>
    </row>
    <row r="886" spans="1:13" x14ac:dyDescent="0.4">
      <c r="A886" s="35">
        <v>862</v>
      </c>
      <c r="B886" s="92" t="s">
        <v>80</v>
      </c>
      <c r="C886" s="84" t="s">
        <v>171</v>
      </c>
      <c r="D886" s="84" t="s">
        <v>314</v>
      </c>
      <c r="E886" s="84" t="s">
        <v>173</v>
      </c>
      <c r="F886" s="61">
        <v>45056</v>
      </c>
      <c r="G886" s="61">
        <v>45058.735555555599</v>
      </c>
      <c r="H886" s="250"/>
      <c r="I886" s="126">
        <v>45088.892673611103</v>
      </c>
      <c r="J886" s="126">
        <v>45089.414305555598</v>
      </c>
      <c r="K886" s="92" t="s">
        <v>85</v>
      </c>
      <c r="L886" s="101">
        <v>12000</v>
      </c>
      <c r="M886" s="56" t="s">
        <v>86</v>
      </c>
    </row>
    <row r="887" spans="1:13" x14ac:dyDescent="0.4">
      <c r="A887" s="35">
        <v>863</v>
      </c>
      <c r="B887" s="92" t="s">
        <v>80</v>
      </c>
      <c r="C887" s="84" t="s">
        <v>171</v>
      </c>
      <c r="D887" s="84" t="s">
        <v>315</v>
      </c>
      <c r="E887" s="84" t="s">
        <v>173</v>
      </c>
      <c r="F887" s="61">
        <v>45056</v>
      </c>
      <c r="G887" s="61">
        <v>45058.735648148097</v>
      </c>
      <c r="H887" s="250"/>
      <c r="I887" s="126">
        <v>45088.892673611103</v>
      </c>
      <c r="J887" s="126">
        <v>45089.414444444403</v>
      </c>
      <c r="K887" s="92" t="s">
        <v>85</v>
      </c>
      <c r="L887" s="101">
        <v>12000</v>
      </c>
      <c r="M887" s="56" t="s">
        <v>86</v>
      </c>
    </row>
    <row r="888" spans="1:13" x14ac:dyDescent="0.4">
      <c r="A888" s="35">
        <v>864</v>
      </c>
      <c r="B888" s="92" t="s">
        <v>80</v>
      </c>
      <c r="C888" s="84" t="s">
        <v>171</v>
      </c>
      <c r="D888" s="84" t="s">
        <v>316</v>
      </c>
      <c r="E888" s="84" t="s">
        <v>173</v>
      </c>
      <c r="F888" s="61">
        <v>45056</v>
      </c>
      <c r="G888" s="61">
        <v>45058.735717592601</v>
      </c>
      <c r="H888" s="250"/>
      <c r="I888" s="126">
        <v>45088.892673611103</v>
      </c>
      <c r="J888" s="126">
        <v>45089.414525462998</v>
      </c>
      <c r="K888" s="92" t="s">
        <v>85</v>
      </c>
      <c r="L888" s="101">
        <v>12000</v>
      </c>
      <c r="M888" s="56" t="s">
        <v>86</v>
      </c>
    </row>
    <row r="889" spans="1:13" x14ac:dyDescent="0.4">
      <c r="A889" s="35">
        <v>865</v>
      </c>
      <c r="B889" s="92" t="s">
        <v>80</v>
      </c>
      <c r="C889" s="84" t="s">
        <v>180</v>
      </c>
      <c r="D889" s="84" t="s">
        <v>305</v>
      </c>
      <c r="E889" s="84" t="s">
        <v>173</v>
      </c>
      <c r="F889" s="61">
        <v>45056</v>
      </c>
      <c r="G889" s="61">
        <v>45058.735868055599</v>
      </c>
      <c r="H889" s="250"/>
      <c r="I889" s="126">
        <v>45088.899641203701</v>
      </c>
      <c r="J889" s="126">
        <v>45089.415150462999</v>
      </c>
      <c r="K889" s="92" t="s">
        <v>85</v>
      </c>
      <c r="L889" s="101">
        <v>12000</v>
      </c>
      <c r="M889" s="56" t="s">
        <v>86</v>
      </c>
    </row>
    <row r="890" spans="1:13" x14ac:dyDescent="0.4">
      <c r="A890" s="35">
        <v>866</v>
      </c>
      <c r="B890" s="92" t="s">
        <v>80</v>
      </c>
      <c r="C890" s="84" t="s">
        <v>180</v>
      </c>
      <c r="D890" s="84" t="s">
        <v>306</v>
      </c>
      <c r="E890" s="84" t="s">
        <v>173</v>
      </c>
      <c r="F890" s="61">
        <v>45056</v>
      </c>
      <c r="G890" s="61">
        <v>45058.735960648097</v>
      </c>
      <c r="H890" s="250"/>
      <c r="I890" s="126">
        <v>45088.903171296297</v>
      </c>
      <c r="J890" s="126">
        <v>45089.415196759299</v>
      </c>
      <c r="K890" s="92" t="s">
        <v>85</v>
      </c>
      <c r="L890" s="101">
        <v>12000</v>
      </c>
      <c r="M890" s="56" t="s">
        <v>86</v>
      </c>
    </row>
    <row r="891" spans="1:13" x14ac:dyDescent="0.4">
      <c r="A891" s="35">
        <v>867</v>
      </c>
      <c r="B891" s="92" t="s">
        <v>80</v>
      </c>
      <c r="C891" s="84" t="s">
        <v>180</v>
      </c>
      <c r="D891" s="84" t="s">
        <v>307</v>
      </c>
      <c r="E891" s="84" t="s">
        <v>173</v>
      </c>
      <c r="F891" s="61">
        <v>45056</v>
      </c>
      <c r="G891" s="61">
        <v>45058.736018518503</v>
      </c>
      <c r="H891" s="250"/>
      <c r="I891" s="126">
        <v>45122.9448148148</v>
      </c>
      <c r="J891" s="126">
        <v>45121.598622685196</v>
      </c>
      <c r="K891" s="92" t="s">
        <v>85</v>
      </c>
      <c r="L891" s="101">
        <v>12000</v>
      </c>
      <c r="M891" s="56" t="s">
        <v>86</v>
      </c>
    </row>
    <row r="892" spans="1:13" x14ac:dyDescent="0.4">
      <c r="A892" s="35">
        <v>868</v>
      </c>
      <c r="B892" s="92" t="s">
        <v>80</v>
      </c>
      <c r="C892" s="84" t="s">
        <v>180</v>
      </c>
      <c r="D892" s="84" t="s">
        <v>308</v>
      </c>
      <c r="E892" s="84" t="s">
        <v>173</v>
      </c>
      <c r="F892" s="61">
        <v>45056</v>
      </c>
      <c r="G892" s="61">
        <v>45058.736099537004</v>
      </c>
      <c r="H892" s="250"/>
      <c r="I892" s="126">
        <v>45122.9448148148</v>
      </c>
      <c r="J892" s="126">
        <v>45121.598749999997</v>
      </c>
      <c r="K892" s="92" t="s">
        <v>85</v>
      </c>
      <c r="L892" s="101">
        <v>12000</v>
      </c>
      <c r="M892" s="56" t="s">
        <v>86</v>
      </c>
    </row>
    <row r="893" spans="1:13" x14ac:dyDescent="0.4">
      <c r="A893" s="35">
        <v>869</v>
      </c>
      <c r="B893" s="92" t="s">
        <v>80</v>
      </c>
      <c r="C893" s="84" t="s">
        <v>180</v>
      </c>
      <c r="D893" s="84" t="s">
        <v>309</v>
      </c>
      <c r="E893" s="84" t="s">
        <v>173</v>
      </c>
      <c r="F893" s="61">
        <v>45056</v>
      </c>
      <c r="G893" s="61">
        <v>45058.736168981501</v>
      </c>
      <c r="H893" s="250"/>
      <c r="I893" s="126">
        <v>45122.944884259297</v>
      </c>
      <c r="J893" s="126">
        <v>45121.598796296297</v>
      </c>
      <c r="K893" s="92" t="s">
        <v>85</v>
      </c>
      <c r="L893" s="101">
        <v>12000</v>
      </c>
      <c r="M893" s="56" t="s">
        <v>86</v>
      </c>
    </row>
    <row r="894" spans="1:13" x14ac:dyDescent="0.4">
      <c r="A894" s="35">
        <v>870</v>
      </c>
      <c r="B894" s="92" t="s">
        <v>80</v>
      </c>
      <c r="C894" s="84" t="s">
        <v>180</v>
      </c>
      <c r="D894" s="84" t="s">
        <v>310</v>
      </c>
      <c r="E894" s="84" t="s">
        <v>173</v>
      </c>
      <c r="F894" s="61">
        <v>45056</v>
      </c>
      <c r="G894" s="61">
        <v>45058.736331018503</v>
      </c>
      <c r="H894" s="250"/>
      <c r="I894" s="126">
        <v>45084.729537036997</v>
      </c>
      <c r="J894" s="126">
        <v>45083.419259259303</v>
      </c>
      <c r="K894" s="92" t="s">
        <v>85</v>
      </c>
      <c r="L894" s="101">
        <v>12000</v>
      </c>
      <c r="M894" s="56" t="s">
        <v>86</v>
      </c>
    </row>
    <row r="895" spans="1:13" x14ac:dyDescent="0.4">
      <c r="A895" s="35">
        <v>871</v>
      </c>
      <c r="B895" s="92" t="s">
        <v>80</v>
      </c>
      <c r="C895" s="84" t="s">
        <v>180</v>
      </c>
      <c r="D895" s="84" t="s">
        <v>279</v>
      </c>
      <c r="E895" s="84" t="s">
        <v>173</v>
      </c>
      <c r="F895" s="61">
        <v>45056</v>
      </c>
      <c r="G895" s="61">
        <v>45061.741608796299</v>
      </c>
      <c r="H895" s="250"/>
      <c r="I895" s="126">
        <v>45088.896238425899</v>
      </c>
      <c r="J895" s="126">
        <v>45089.4146064815</v>
      </c>
      <c r="K895" s="92" t="s">
        <v>85</v>
      </c>
      <c r="L895" s="101">
        <v>12000</v>
      </c>
      <c r="M895" s="56" t="s">
        <v>86</v>
      </c>
    </row>
    <row r="896" spans="1:13" x14ac:dyDescent="0.4">
      <c r="A896" s="35">
        <v>872</v>
      </c>
      <c r="B896" s="92" t="s">
        <v>80</v>
      </c>
      <c r="C896" s="84" t="s">
        <v>180</v>
      </c>
      <c r="D896" s="84" t="s">
        <v>280</v>
      </c>
      <c r="E896" s="84" t="s">
        <v>173</v>
      </c>
      <c r="F896" s="61">
        <v>45056</v>
      </c>
      <c r="G896" s="61">
        <v>45061.741712962998</v>
      </c>
      <c r="H896" s="250"/>
      <c r="I896" s="126">
        <v>45088.896331018499</v>
      </c>
      <c r="J896" s="126">
        <v>45089.414652777799</v>
      </c>
      <c r="K896" s="92" t="s">
        <v>85</v>
      </c>
      <c r="L896" s="101">
        <v>12000</v>
      </c>
      <c r="M896" s="56" t="s">
        <v>86</v>
      </c>
    </row>
    <row r="897" spans="1:13" x14ac:dyDescent="0.4">
      <c r="A897" s="35">
        <v>873</v>
      </c>
      <c r="B897" s="92" t="s">
        <v>80</v>
      </c>
      <c r="C897" s="84" t="s">
        <v>180</v>
      </c>
      <c r="D897" s="84" t="s">
        <v>281</v>
      </c>
      <c r="E897" s="84" t="s">
        <v>173</v>
      </c>
      <c r="F897" s="61">
        <v>45056</v>
      </c>
      <c r="G897" s="61">
        <v>45061.7417824074</v>
      </c>
      <c r="H897" s="250"/>
      <c r="I897" s="126">
        <v>45088.896226851903</v>
      </c>
      <c r="J897" s="126">
        <v>45089.414710648103</v>
      </c>
      <c r="K897" s="92" t="s">
        <v>85</v>
      </c>
      <c r="L897" s="101">
        <v>12000</v>
      </c>
      <c r="M897" s="56" t="s">
        <v>86</v>
      </c>
    </row>
    <row r="898" spans="1:13" x14ac:dyDescent="0.4">
      <c r="A898" s="35">
        <v>874</v>
      </c>
      <c r="B898" s="92" t="s">
        <v>80</v>
      </c>
      <c r="C898" s="84" t="s">
        <v>180</v>
      </c>
      <c r="D898" s="84" t="s">
        <v>282</v>
      </c>
      <c r="E898" s="84" t="s">
        <v>173</v>
      </c>
      <c r="F898" s="61">
        <v>45056</v>
      </c>
      <c r="G898" s="61">
        <v>45061.741851851897</v>
      </c>
      <c r="H898" s="250"/>
      <c r="I898" s="126">
        <v>45088.8961921296</v>
      </c>
      <c r="J898" s="126">
        <v>45089.4148263889</v>
      </c>
      <c r="K898" s="92" t="s">
        <v>85</v>
      </c>
      <c r="L898" s="101">
        <v>12000</v>
      </c>
      <c r="M898" s="56" t="s">
        <v>86</v>
      </c>
    </row>
    <row r="899" spans="1:13" x14ac:dyDescent="0.4">
      <c r="A899" s="35">
        <v>875</v>
      </c>
      <c r="B899" s="92" t="s">
        <v>80</v>
      </c>
      <c r="C899" s="84" t="s">
        <v>180</v>
      </c>
      <c r="D899" s="84" t="s">
        <v>295</v>
      </c>
      <c r="E899" s="84" t="s">
        <v>173</v>
      </c>
      <c r="F899" s="61">
        <v>45056</v>
      </c>
      <c r="G899" s="61">
        <v>45061.742013888899</v>
      </c>
      <c r="H899" s="250"/>
      <c r="I899" s="126">
        <v>45088.896238425899</v>
      </c>
      <c r="J899" s="126">
        <v>45089.414942129602</v>
      </c>
      <c r="K899" s="92" t="s">
        <v>85</v>
      </c>
      <c r="L899" s="101">
        <v>12000</v>
      </c>
      <c r="M899" s="56" t="s">
        <v>86</v>
      </c>
    </row>
    <row r="900" spans="1:13" x14ac:dyDescent="0.4">
      <c r="A900" s="35">
        <v>876</v>
      </c>
      <c r="B900" s="92" t="s">
        <v>80</v>
      </c>
      <c r="C900" s="84" t="s">
        <v>180</v>
      </c>
      <c r="D900" s="84" t="s">
        <v>296</v>
      </c>
      <c r="E900" s="84" t="s">
        <v>173</v>
      </c>
      <c r="F900" s="61">
        <v>45056</v>
      </c>
      <c r="G900" s="61">
        <v>45061.742083333302</v>
      </c>
      <c r="H900" s="250"/>
      <c r="I900" s="126">
        <v>45088.899675925903</v>
      </c>
      <c r="J900" s="126">
        <v>45089.414768518502</v>
      </c>
      <c r="K900" s="92" t="s">
        <v>85</v>
      </c>
      <c r="L900" s="101">
        <v>12000</v>
      </c>
      <c r="M900" s="56" t="s">
        <v>86</v>
      </c>
    </row>
    <row r="901" spans="1:13" x14ac:dyDescent="0.4">
      <c r="A901" s="35">
        <v>877</v>
      </c>
      <c r="B901" s="92" t="s">
        <v>80</v>
      </c>
      <c r="C901" s="84" t="s">
        <v>267</v>
      </c>
      <c r="D901" s="84" t="s">
        <v>449</v>
      </c>
      <c r="E901" s="84" t="s">
        <v>173</v>
      </c>
      <c r="F901" s="61">
        <v>45059.729629629597</v>
      </c>
      <c r="G901" s="61">
        <v>45061.741504629601</v>
      </c>
      <c r="H901" s="250"/>
      <c r="I901" s="117">
        <v>45171.719004629602</v>
      </c>
      <c r="J901" s="117">
        <v>45175.508564814802</v>
      </c>
      <c r="K901" s="92" t="s">
        <v>85</v>
      </c>
      <c r="L901" s="101">
        <v>12000</v>
      </c>
      <c r="M901" s="56" t="s">
        <v>86</v>
      </c>
    </row>
    <row r="902" spans="1:13" x14ac:dyDescent="0.4">
      <c r="A902" s="35">
        <v>878</v>
      </c>
      <c r="B902" s="92" t="s">
        <v>80</v>
      </c>
      <c r="C902" s="84" t="s">
        <v>171</v>
      </c>
      <c r="D902" s="84" t="s">
        <v>124</v>
      </c>
      <c r="E902" s="84" t="s">
        <v>83</v>
      </c>
      <c r="F902" s="61">
        <v>45059.679895833302</v>
      </c>
      <c r="G902" s="61">
        <v>45062.634456018503</v>
      </c>
      <c r="H902" s="250"/>
      <c r="I902" s="53"/>
      <c r="J902" s="53"/>
      <c r="K902" s="102" t="s">
        <v>184</v>
      </c>
      <c r="L902" s="103">
        <v>16000</v>
      </c>
      <c r="M902" s="56" t="s">
        <v>86</v>
      </c>
    </row>
    <row r="903" spans="1:13" x14ac:dyDescent="0.4">
      <c r="A903" s="35">
        <v>879</v>
      </c>
      <c r="B903" s="92" t="s">
        <v>80</v>
      </c>
      <c r="C903" s="84" t="s">
        <v>180</v>
      </c>
      <c r="D903" s="84" t="s">
        <v>167</v>
      </c>
      <c r="E903" s="84" t="s">
        <v>173</v>
      </c>
      <c r="F903" s="61">
        <v>45028</v>
      </c>
      <c r="G903" s="61">
        <v>45065.726666666698</v>
      </c>
      <c r="H903" s="250"/>
      <c r="I903" s="117">
        <v>45177.590740740699</v>
      </c>
      <c r="J903" s="117">
        <v>45176.553692129601</v>
      </c>
      <c r="K903" s="92" t="s">
        <v>85</v>
      </c>
      <c r="L903" s="101">
        <v>12000</v>
      </c>
      <c r="M903" s="56" t="s">
        <v>86</v>
      </c>
    </row>
    <row r="904" spans="1:13" x14ac:dyDescent="0.4">
      <c r="A904" s="35">
        <v>880</v>
      </c>
      <c r="B904" s="92" t="s">
        <v>80</v>
      </c>
      <c r="C904" s="84" t="s">
        <v>180</v>
      </c>
      <c r="D904" s="84" t="s">
        <v>168</v>
      </c>
      <c r="E904" s="84" t="s">
        <v>173</v>
      </c>
      <c r="F904" s="61">
        <v>45028</v>
      </c>
      <c r="G904" s="61">
        <v>45065.726736111101</v>
      </c>
      <c r="H904" s="250"/>
      <c r="I904" s="117">
        <v>45177.594097222202</v>
      </c>
      <c r="J904" s="117">
        <v>45176.553738425901</v>
      </c>
      <c r="K904" s="92" t="s">
        <v>85</v>
      </c>
      <c r="L904" s="101">
        <v>12000</v>
      </c>
      <c r="M904" s="56" t="s">
        <v>86</v>
      </c>
    </row>
    <row r="905" spans="1:13" x14ac:dyDescent="0.4">
      <c r="A905" s="35">
        <v>881</v>
      </c>
      <c r="B905" s="92" t="s">
        <v>80</v>
      </c>
      <c r="C905" s="84" t="s">
        <v>180</v>
      </c>
      <c r="D905" s="84" t="s">
        <v>169</v>
      </c>
      <c r="E905" s="84" t="s">
        <v>173</v>
      </c>
      <c r="F905" s="61">
        <v>45028</v>
      </c>
      <c r="G905" s="61">
        <v>45065.726793981499</v>
      </c>
      <c r="H905" s="250"/>
      <c r="I905" s="117">
        <v>45177.611643518503</v>
      </c>
      <c r="J905" s="117">
        <v>45176.553807870398</v>
      </c>
      <c r="K905" s="92" t="s">
        <v>85</v>
      </c>
      <c r="L905" s="101">
        <v>12000</v>
      </c>
      <c r="M905" s="56" t="s">
        <v>86</v>
      </c>
    </row>
    <row r="906" spans="1:13" x14ac:dyDescent="0.4">
      <c r="A906" s="35">
        <v>882</v>
      </c>
      <c r="B906" s="92" t="s">
        <v>80</v>
      </c>
      <c r="C906" s="84" t="s">
        <v>180</v>
      </c>
      <c r="D906" s="84" t="s">
        <v>170</v>
      </c>
      <c r="E906" s="84" t="s">
        <v>173</v>
      </c>
      <c r="F906" s="61">
        <v>45028</v>
      </c>
      <c r="G906" s="61">
        <v>45065.726956018501</v>
      </c>
      <c r="H906" s="251"/>
      <c r="I906" s="117">
        <v>45177.614965277797</v>
      </c>
      <c r="J906" s="117">
        <v>45176.554085648102</v>
      </c>
      <c r="K906" s="92" t="s">
        <v>85</v>
      </c>
      <c r="L906" s="101">
        <v>12000</v>
      </c>
      <c r="M906" s="56" t="s">
        <v>86</v>
      </c>
    </row>
    <row r="907" spans="1:13" x14ac:dyDescent="0.4">
      <c r="A907" s="35">
        <v>883</v>
      </c>
      <c r="B907" s="92" t="s">
        <v>80</v>
      </c>
      <c r="C907" s="84" t="s">
        <v>171</v>
      </c>
      <c r="D907" s="84" t="s">
        <v>371</v>
      </c>
      <c r="E907" s="84" t="s">
        <v>173</v>
      </c>
      <c r="F907" s="126">
        <v>45163.479722222197</v>
      </c>
      <c r="G907" s="126">
        <v>45162.767129629603</v>
      </c>
      <c r="H907" s="240" t="s">
        <v>182</v>
      </c>
      <c r="I907" s="117">
        <v>45221.729340277801</v>
      </c>
      <c r="J907" s="117">
        <v>45222.699178240699</v>
      </c>
      <c r="K907" s="92" t="s">
        <v>85</v>
      </c>
      <c r="L907" s="101">
        <v>12000</v>
      </c>
      <c r="M907" s="56" t="s">
        <v>86</v>
      </c>
    </row>
    <row r="908" spans="1:13" x14ac:dyDescent="0.4">
      <c r="A908" s="35">
        <v>884</v>
      </c>
      <c r="B908" s="92" t="s">
        <v>80</v>
      </c>
      <c r="C908" s="84" t="s">
        <v>171</v>
      </c>
      <c r="D908" s="84" t="s">
        <v>374</v>
      </c>
      <c r="E908" s="84" t="s">
        <v>173</v>
      </c>
      <c r="F908" s="126">
        <v>45163.482557870397</v>
      </c>
      <c r="G908" s="126">
        <v>45162.767175925903</v>
      </c>
      <c r="H908" s="241"/>
      <c r="I908" s="117">
        <v>45221.732789351903</v>
      </c>
      <c r="J908" s="117">
        <v>45222.699224536998</v>
      </c>
      <c r="K908" s="92" t="s">
        <v>85</v>
      </c>
      <c r="L908" s="101">
        <v>12000</v>
      </c>
      <c r="M908" s="56" t="s">
        <v>86</v>
      </c>
    </row>
    <row r="909" spans="1:13" x14ac:dyDescent="0.4">
      <c r="A909" s="35">
        <v>885</v>
      </c>
      <c r="B909" s="92" t="s">
        <v>80</v>
      </c>
      <c r="C909" s="84" t="s">
        <v>180</v>
      </c>
      <c r="D909" s="84" t="s">
        <v>368</v>
      </c>
      <c r="E909" s="84" t="s">
        <v>173</v>
      </c>
      <c r="F909" s="126">
        <v>45163.475208333301</v>
      </c>
      <c r="G909" s="126">
        <v>45162.767280092601</v>
      </c>
      <c r="H909" s="241"/>
      <c r="I909" s="117">
        <v>45217.482777777797</v>
      </c>
      <c r="J909" s="117">
        <v>45216.372812499998</v>
      </c>
      <c r="K909" s="92" t="s">
        <v>85</v>
      </c>
      <c r="L909" s="101">
        <v>12000</v>
      </c>
      <c r="M909" s="56" t="s">
        <v>86</v>
      </c>
    </row>
    <row r="910" spans="1:13" x14ac:dyDescent="0.4">
      <c r="A910" s="35">
        <v>886</v>
      </c>
      <c r="B910" s="92" t="s">
        <v>80</v>
      </c>
      <c r="C910" s="84" t="s">
        <v>171</v>
      </c>
      <c r="D910" s="84" t="s">
        <v>262</v>
      </c>
      <c r="E910" s="84" t="s">
        <v>173</v>
      </c>
      <c r="F910" s="126">
        <v>45163.479398148098</v>
      </c>
      <c r="G910" s="126">
        <v>45162.789282407401</v>
      </c>
      <c r="H910" s="241"/>
      <c r="I910" s="117">
        <v>45310.746504629598</v>
      </c>
      <c r="J910" s="117">
        <v>45310.453541666699</v>
      </c>
      <c r="K910" s="102" t="s">
        <v>184</v>
      </c>
      <c r="L910" s="103">
        <v>16000</v>
      </c>
      <c r="M910" s="56" t="s">
        <v>86</v>
      </c>
    </row>
    <row r="911" spans="1:13" x14ac:dyDescent="0.4">
      <c r="A911" s="35">
        <v>887</v>
      </c>
      <c r="B911" s="92" t="s">
        <v>80</v>
      </c>
      <c r="C911" s="84" t="s">
        <v>180</v>
      </c>
      <c r="D911" s="84" t="s">
        <v>374</v>
      </c>
      <c r="E911" s="84" t="s">
        <v>173</v>
      </c>
      <c r="F911" s="126">
        <v>45163.475428240701</v>
      </c>
      <c r="G911" s="126">
        <v>45162.767407407402</v>
      </c>
      <c r="H911" s="241"/>
      <c r="I911" s="117">
        <v>45217.482777777797</v>
      </c>
      <c r="J911" s="117">
        <v>45216.3729282407</v>
      </c>
      <c r="K911" s="92" t="s">
        <v>85</v>
      </c>
      <c r="L911" s="101">
        <v>12000</v>
      </c>
      <c r="M911" s="56" t="s">
        <v>86</v>
      </c>
    </row>
    <row r="912" spans="1:13" x14ac:dyDescent="0.4">
      <c r="A912" s="35">
        <v>888</v>
      </c>
      <c r="B912" s="92" t="s">
        <v>80</v>
      </c>
      <c r="C912" s="84" t="s">
        <v>180</v>
      </c>
      <c r="D912" s="84" t="s">
        <v>371</v>
      </c>
      <c r="E912" s="84" t="s">
        <v>173</v>
      </c>
      <c r="F912" s="126">
        <v>45163.475277777798</v>
      </c>
      <c r="G912" s="126">
        <v>45162.767361111102</v>
      </c>
      <c r="H912" s="241"/>
      <c r="I912" s="117">
        <v>45217.482777777797</v>
      </c>
      <c r="J912" s="117">
        <v>45216.372870370396</v>
      </c>
      <c r="K912" s="92" t="s">
        <v>85</v>
      </c>
      <c r="L912" s="101">
        <v>12000</v>
      </c>
      <c r="M912" s="56" t="s">
        <v>86</v>
      </c>
    </row>
    <row r="913" spans="1:13" x14ac:dyDescent="0.4">
      <c r="A913" s="35">
        <v>889</v>
      </c>
      <c r="B913" s="92" t="s">
        <v>80</v>
      </c>
      <c r="C913" s="84" t="s">
        <v>171</v>
      </c>
      <c r="D913" s="84" t="s">
        <v>477</v>
      </c>
      <c r="E913" s="84" t="s">
        <v>173</v>
      </c>
      <c r="F913" s="76">
        <v>45160.704039351898</v>
      </c>
      <c r="G913" s="76">
        <v>45163.720451388901</v>
      </c>
      <c r="H913" s="242"/>
      <c r="I913" s="117">
        <v>45310.746504629598</v>
      </c>
      <c r="J913" s="117">
        <v>45310.453645833302</v>
      </c>
      <c r="K913" s="92" t="s">
        <v>85</v>
      </c>
      <c r="L913" s="101">
        <v>12000</v>
      </c>
      <c r="M913" s="56" t="s">
        <v>86</v>
      </c>
    </row>
    <row r="914" spans="1:13" x14ac:dyDescent="0.4">
      <c r="A914" s="35">
        <v>890</v>
      </c>
      <c r="B914" s="92" t="s">
        <v>80</v>
      </c>
      <c r="C914" s="84" t="s">
        <v>180</v>
      </c>
      <c r="D914" s="84" t="s">
        <v>259</v>
      </c>
      <c r="E914" s="84" t="s">
        <v>173</v>
      </c>
      <c r="F914" s="76">
        <v>45168.391620370399</v>
      </c>
      <c r="G914" s="76">
        <v>45167.706400463001</v>
      </c>
      <c r="H914" s="240" t="s">
        <v>257</v>
      </c>
      <c r="I914" s="117">
        <v>45185.430983796301</v>
      </c>
      <c r="J914" s="117">
        <v>45184.642430555599</v>
      </c>
      <c r="K914" s="102" t="s">
        <v>184</v>
      </c>
      <c r="L914" s="103">
        <v>16000</v>
      </c>
      <c r="M914" s="56" t="s">
        <v>86</v>
      </c>
    </row>
    <row r="915" spans="1:13" x14ac:dyDescent="0.4">
      <c r="A915" s="275">
        <v>891</v>
      </c>
      <c r="B915" s="259" t="s">
        <v>80</v>
      </c>
      <c r="C915" s="247" t="s">
        <v>180</v>
      </c>
      <c r="D915" s="247" t="s">
        <v>172</v>
      </c>
      <c r="E915" s="84" t="s">
        <v>173</v>
      </c>
      <c r="F915" s="76">
        <v>45168.391759259299</v>
      </c>
      <c r="G915" s="76">
        <v>45167.706435185202</v>
      </c>
      <c r="H915" s="242"/>
      <c r="I915" s="117">
        <v>45185.430983796301</v>
      </c>
      <c r="J915" s="117">
        <v>45184.642592592601</v>
      </c>
      <c r="K915" s="92" t="s">
        <v>85</v>
      </c>
      <c r="L915" s="101">
        <v>12000</v>
      </c>
      <c r="M915" s="56" t="s">
        <v>86</v>
      </c>
    </row>
    <row r="916" spans="1:13" x14ac:dyDescent="0.4">
      <c r="A916" s="275"/>
      <c r="B916" s="260"/>
      <c r="C916" s="248"/>
      <c r="D916" s="248"/>
      <c r="E916" s="84" t="s">
        <v>269</v>
      </c>
      <c r="F916" s="76">
        <v>45283.674282407403</v>
      </c>
      <c r="G916" s="76">
        <v>45285.637395833299</v>
      </c>
      <c r="H916" s="84" t="s">
        <v>182</v>
      </c>
      <c r="I916" s="117">
        <v>45310.729664351798</v>
      </c>
      <c r="J916" s="117">
        <v>45310.453680555598</v>
      </c>
      <c r="K916" s="92" t="s">
        <v>85</v>
      </c>
      <c r="L916" s="101">
        <v>12000</v>
      </c>
      <c r="M916" s="56" t="s">
        <v>86</v>
      </c>
    </row>
    <row r="917" spans="1:13" x14ac:dyDescent="0.4">
      <c r="A917" s="275">
        <v>892</v>
      </c>
      <c r="B917" s="259" t="s">
        <v>80</v>
      </c>
      <c r="C917" s="247" t="s">
        <v>180</v>
      </c>
      <c r="D917" s="247" t="s">
        <v>177</v>
      </c>
      <c r="E917" s="84" t="s">
        <v>173</v>
      </c>
      <c r="F917" s="76">
        <v>45168.391898148097</v>
      </c>
      <c r="G917" s="76">
        <v>45167.706481481502</v>
      </c>
      <c r="H917" s="84" t="s">
        <v>257</v>
      </c>
      <c r="I917" s="117">
        <v>45185.430983796301</v>
      </c>
      <c r="J917" s="117">
        <v>45184.642754629604</v>
      </c>
      <c r="K917" s="92" t="s">
        <v>85</v>
      </c>
      <c r="L917" s="101">
        <v>12000</v>
      </c>
      <c r="M917" s="56" t="s">
        <v>86</v>
      </c>
    </row>
    <row r="918" spans="1:13" x14ac:dyDescent="0.4">
      <c r="A918" s="275"/>
      <c r="B918" s="260"/>
      <c r="C918" s="248"/>
      <c r="D918" s="248"/>
      <c r="E918" s="84" t="s">
        <v>269</v>
      </c>
      <c r="F918" s="76">
        <v>45283.674282407403</v>
      </c>
      <c r="G918" s="76">
        <v>45285.637395833299</v>
      </c>
      <c r="H918" s="84" t="s">
        <v>182</v>
      </c>
      <c r="I918" s="117">
        <v>45310.729675925897</v>
      </c>
      <c r="J918" s="117">
        <v>45310.453738425902</v>
      </c>
      <c r="K918" s="92" t="s">
        <v>85</v>
      </c>
      <c r="L918" s="101">
        <v>12000</v>
      </c>
      <c r="M918" s="56" t="s">
        <v>86</v>
      </c>
    </row>
    <row r="919" spans="1:13" x14ac:dyDescent="0.4">
      <c r="A919" s="35">
        <v>893</v>
      </c>
      <c r="B919" s="92" t="s">
        <v>80</v>
      </c>
      <c r="C919" s="84" t="s">
        <v>180</v>
      </c>
      <c r="D919" s="84" t="s">
        <v>178</v>
      </c>
      <c r="E919" s="84" t="s">
        <v>173</v>
      </c>
      <c r="F919" s="76">
        <v>45168.392060185201</v>
      </c>
      <c r="G919" s="76">
        <v>45167.706527777802</v>
      </c>
      <c r="H919" s="240" t="s">
        <v>257</v>
      </c>
      <c r="I919" s="117">
        <v>45185.430983796301</v>
      </c>
      <c r="J919" s="117">
        <v>45184.6425115741</v>
      </c>
      <c r="K919" s="92" t="s">
        <v>85</v>
      </c>
      <c r="L919" s="101">
        <v>12000</v>
      </c>
      <c r="M919" s="56" t="s">
        <v>86</v>
      </c>
    </row>
    <row r="920" spans="1:13" x14ac:dyDescent="0.4">
      <c r="A920" s="35">
        <v>894</v>
      </c>
      <c r="B920" s="92" t="s">
        <v>80</v>
      </c>
      <c r="C920" s="84" t="s">
        <v>180</v>
      </c>
      <c r="D920" s="84" t="s">
        <v>129</v>
      </c>
      <c r="E920" s="84" t="s">
        <v>173</v>
      </c>
      <c r="F920" s="76">
        <v>45168.3922916667</v>
      </c>
      <c r="G920" s="76">
        <v>45167.706562500003</v>
      </c>
      <c r="H920" s="241"/>
      <c r="I920" s="117">
        <v>45187.719120370399</v>
      </c>
      <c r="J920" s="117">
        <v>45187.430717592601</v>
      </c>
      <c r="K920" s="92" t="s">
        <v>85</v>
      </c>
      <c r="L920" s="101">
        <v>12000</v>
      </c>
      <c r="M920" s="56" t="s">
        <v>86</v>
      </c>
    </row>
    <row r="921" spans="1:13" x14ac:dyDescent="0.4">
      <c r="A921" s="35">
        <v>895</v>
      </c>
      <c r="B921" s="92" t="s">
        <v>80</v>
      </c>
      <c r="C921" s="84" t="s">
        <v>180</v>
      </c>
      <c r="D921" s="84" t="s">
        <v>130</v>
      </c>
      <c r="E921" s="84" t="s">
        <v>173</v>
      </c>
      <c r="F921" s="76">
        <v>45168.3925115741</v>
      </c>
      <c r="G921" s="76">
        <v>45167.706608796303</v>
      </c>
      <c r="H921" s="241"/>
      <c r="I921" s="117">
        <v>45187.719120370399</v>
      </c>
      <c r="J921" s="117">
        <v>45187.4307638889</v>
      </c>
      <c r="K921" s="92" t="s">
        <v>85</v>
      </c>
      <c r="L921" s="101">
        <v>12000</v>
      </c>
      <c r="M921" s="56" t="s">
        <v>86</v>
      </c>
    </row>
    <row r="922" spans="1:13" x14ac:dyDescent="0.4">
      <c r="A922" s="35">
        <v>896</v>
      </c>
      <c r="B922" s="92" t="s">
        <v>80</v>
      </c>
      <c r="C922" s="84" t="s">
        <v>180</v>
      </c>
      <c r="D922" s="84" t="s">
        <v>131</v>
      </c>
      <c r="E922" s="84" t="s">
        <v>173</v>
      </c>
      <c r="F922" s="76">
        <v>45168.392708333296</v>
      </c>
      <c r="G922" s="76">
        <v>45167.706678240698</v>
      </c>
      <c r="H922" s="242"/>
      <c r="I922" s="117">
        <v>45185.427789351903</v>
      </c>
      <c r="J922" s="117">
        <v>45184.642824074101</v>
      </c>
      <c r="K922" s="92" t="s">
        <v>85</v>
      </c>
      <c r="L922" s="101">
        <v>12000</v>
      </c>
      <c r="M922" s="56" t="s">
        <v>86</v>
      </c>
    </row>
    <row r="923" spans="1:13" x14ac:dyDescent="0.4">
      <c r="A923" s="35">
        <v>897</v>
      </c>
      <c r="B923" s="92" t="s">
        <v>80</v>
      </c>
      <c r="C923" s="84" t="s">
        <v>180</v>
      </c>
      <c r="D923" s="84" t="s">
        <v>132</v>
      </c>
      <c r="E923" s="84" t="s">
        <v>173</v>
      </c>
      <c r="F923" s="76">
        <v>45168.392881944397</v>
      </c>
      <c r="G923" s="76">
        <v>45167.706712963001</v>
      </c>
      <c r="H923" s="240" t="s">
        <v>182</v>
      </c>
      <c r="I923" s="117">
        <v>45190.864872685197</v>
      </c>
      <c r="J923" s="117">
        <v>45207.5753819444</v>
      </c>
      <c r="K923" s="92" t="s">
        <v>85</v>
      </c>
      <c r="L923" s="101">
        <v>12000</v>
      </c>
      <c r="M923" s="56" t="s">
        <v>86</v>
      </c>
    </row>
    <row r="924" spans="1:13" x14ac:dyDescent="0.4">
      <c r="A924" s="35">
        <v>898</v>
      </c>
      <c r="B924" s="92" t="s">
        <v>80</v>
      </c>
      <c r="C924" s="84" t="s">
        <v>180</v>
      </c>
      <c r="D924" s="84" t="s">
        <v>133</v>
      </c>
      <c r="E924" s="84" t="s">
        <v>173</v>
      </c>
      <c r="F924" s="76">
        <v>45168.393090277801</v>
      </c>
      <c r="G924" s="76">
        <v>45167.706759259301</v>
      </c>
      <c r="H924" s="241"/>
      <c r="I924" s="117">
        <v>45192.698206018496</v>
      </c>
      <c r="J924" s="117">
        <v>45207.575416666703</v>
      </c>
      <c r="K924" s="92" t="s">
        <v>85</v>
      </c>
      <c r="L924" s="101">
        <v>12000</v>
      </c>
      <c r="M924" s="56" t="s">
        <v>86</v>
      </c>
    </row>
    <row r="925" spans="1:13" x14ac:dyDescent="0.4">
      <c r="A925" s="35">
        <v>899</v>
      </c>
      <c r="B925" s="92" t="s">
        <v>80</v>
      </c>
      <c r="C925" s="84" t="s">
        <v>180</v>
      </c>
      <c r="D925" s="84" t="s">
        <v>134</v>
      </c>
      <c r="E925" s="84" t="s">
        <v>173</v>
      </c>
      <c r="F925" s="76">
        <v>45168.393263888902</v>
      </c>
      <c r="G925" s="76">
        <v>45167.706793981502</v>
      </c>
      <c r="H925" s="242"/>
      <c r="I925" s="117">
        <v>45192.698206018496</v>
      </c>
      <c r="J925" s="117">
        <v>45207.575451388897</v>
      </c>
      <c r="K925" s="92" t="s">
        <v>85</v>
      </c>
      <c r="L925" s="101">
        <v>12000</v>
      </c>
      <c r="M925" s="56" t="s">
        <v>86</v>
      </c>
    </row>
    <row r="926" spans="1:13" x14ac:dyDescent="0.4">
      <c r="A926" s="35">
        <v>900</v>
      </c>
      <c r="B926" s="92" t="s">
        <v>80</v>
      </c>
      <c r="C926" s="84" t="s">
        <v>180</v>
      </c>
      <c r="D926" s="84" t="s">
        <v>135</v>
      </c>
      <c r="E926" s="84" t="s">
        <v>173</v>
      </c>
      <c r="F926" s="76">
        <v>45168.393425925897</v>
      </c>
      <c r="G926" s="76">
        <v>45167.706840277802</v>
      </c>
      <c r="H926" s="240" t="s">
        <v>257</v>
      </c>
      <c r="I926" s="117">
        <v>45185.753784722197</v>
      </c>
      <c r="J926" s="117">
        <v>45184.642893518503</v>
      </c>
      <c r="K926" s="92" t="s">
        <v>85</v>
      </c>
      <c r="L926" s="101">
        <v>12000</v>
      </c>
      <c r="M926" s="56" t="s">
        <v>86</v>
      </c>
    </row>
    <row r="927" spans="1:13" x14ac:dyDescent="0.4">
      <c r="A927" s="275">
        <v>901</v>
      </c>
      <c r="B927" s="259" t="s">
        <v>80</v>
      </c>
      <c r="C927" s="247" t="s">
        <v>180</v>
      </c>
      <c r="D927" s="247" t="s">
        <v>136</v>
      </c>
      <c r="E927" s="84" t="s">
        <v>173</v>
      </c>
      <c r="F927" s="76">
        <v>45168.393726851798</v>
      </c>
      <c r="G927" s="76">
        <v>45167.706875000003</v>
      </c>
      <c r="H927" s="242"/>
      <c r="I927" s="117">
        <v>45185.753784722197</v>
      </c>
      <c r="J927" s="117">
        <v>45184.642951388902</v>
      </c>
      <c r="K927" s="92" t="s">
        <v>85</v>
      </c>
      <c r="L927" s="101">
        <v>12000</v>
      </c>
      <c r="M927" s="56" t="s">
        <v>86</v>
      </c>
    </row>
    <row r="928" spans="1:13" x14ac:dyDescent="0.4">
      <c r="A928" s="275"/>
      <c r="B928" s="260"/>
      <c r="C928" s="248"/>
      <c r="D928" s="248"/>
      <c r="E928" s="84" t="s">
        <v>269</v>
      </c>
      <c r="F928" s="76">
        <v>45283.674282407403</v>
      </c>
      <c r="G928" s="76">
        <v>45285.637395833299</v>
      </c>
      <c r="H928" s="84" t="s">
        <v>182</v>
      </c>
      <c r="I928" s="117">
        <v>45311.730347222197</v>
      </c>
      <c r="J928" s="117">
        <v>45310.464386574102</v>
      </c>
      <c r="K928" s="92" t="s">
        <v>85</v>
      </c>
      <c r="L928" s="101">
        <v>12000</v>
      </c>
      <c r="M928" s="56" t="s">
        <v>86</v>
      </c>
    </row>
    <row r="929" spans="1:13" x14ac:dyDescent="0.4">
      <c r="A929" s="35">
        <v>902</v>
      </c>
      <c r="B929" s="92" t="s">
        <v>80</v>
      </c>
      <c r="C929" s="84" t="s">
        <v>180</v>
      </c>
      <c r="D929" s="84" t="s">
        <v>137</v>
      </c>
      <c r="E929" s="84" t="s">
        <v>173</v>
      </c>
      <c r="F929" s="76">
        <v>45168.393773148098</v>
      </c>
      <c r="G929" s="76">
        <v>45167.706921296303</v>
      </c>
      <c r="H929" s="240" t="s">
        <v>257</v>
      </c>
      <c r="I929" s="117">
        <v>45186.590925925899</v>
      </c>
      <c r="J929" s="117">
        <v>45187.4308101852</v>
      </c>
      <c r="K929" s="92" t="s">
        <v>85</v>
      </c>
      <c r="L929" s="101">
        <v>12000</v>
      </c>
      <c r="M929" s="56" t="s">
        <v>86</v>
      </c>
    </row>
    <row r="930" spans="1:13" x14ac:dyDescent="0.4">
      <c r="A930" s="35">
        <v>903</v>
      </c>
      <c r="B930" s="92" t="s">
        <v>80</v>
      </c>
      <c r="C930" s="84" t="s">
        <v>180</v>
      </c>
      <c r="D930" s="84" t="s">
        <v>138</v>
      </c>
      <c r="E930" s="84" t="s">
        <v>173</v>
      </c>
      <c r="F930" s="76">
        <v>45168.394120370402</v>
      </c>
      <c r="G930" s="76">
        <v>45167.706967592603</v>
      </c>
      <c r="H930" s="241"/>
      <c r="I930" s="117">
        <v>45186.590752314798</v>
      </c>
      <c r="J930" s="117">
        <v>45187.4309490741</v>
      </c>
      <c r="K930" s="92" t="s">
        <v>85</v>
      </c>
      <c r="L930" s="101">
        <v>12000</v>
      </c>
      <c r="M930" s="56" t="s">
        <v>86</v>
      </c>
    </row>
    <row r="931" spans="1:13" x14ac:dyDescent="0.4">
      <c r="A931" s="35">
        <v>904</v>
      </c>
      <c r="B931" s="92" t="s">
        <v>80</v>
      </c>
      <c r="C931" s="84" t="s">
        <v>180</v>
      </c>
      <c r="D931" s="84" t="s">
        <v>139</v>
      </c>
      <c r="E931" s="84" t="s">
        <v>173</v>
      </c>
      <c r="F931" s="76">
        <v>45168.394120370402</v>
      </c>
      <c r="G931" s="76">
        <v>45167.707002314797</v>
      </c>
      <c r="H931" s="241"/>
      <c r="I931" s="117">
        <v>45185.430983796301</v>
      </c>
      <c r="J931" s="117">
        <v>45184.643020833297</v>
      </c>
      <c r="K931" s="92" t="s">
        <v>85</v>
      </c>
      <c r="L931" s="101">
        <v>12000</v>
      </c>
      <c r="M931" s="56" t="s">
        <v>86</v>
      </c>
    </row>
    <row r="932" spans="1:13" x14ac:dyDescent="0.4">
      <c r="A932" s="275">
        <v>905</v>
      </c>
      <c r="B932" s="259" t="s">
        <v>80</v>
      </c>
      <c r="C932" s="247" t="s">
        <v>180</v>
      </c>
      <c r="D932" s="247" t="s">
        <v>140</v>
      </c>
      <c r="E932" s="84" t="s">
        <v>173</v>
      </c>
      <c r="F932" s="76">
        <v>45168.394166666701</v>
      </c>
      <c r="G932" s="76">
        <v>45167.707048611097</v>
      </c>
      <c r="H932" s="242"/>
      <c r="I932" s="117">
        <v>45185.4309953704</v>
      </c>
      <c r="J932" s="117">
        <v>45184.643344907403</v>
      </c>
      <c r="K932" s="92" t="s">
        <v>85</v>
      </c>
      <c r="L932" s="101">
        <v>12000</v>
      </c>
      <c r="M932" s="56" t="s">
        <v>86</v>
      </c>
    </row>
    <row r="933" spans="1:13" x14ac:dyDescent="0.4">
      <c r="A933" s="275"/>
      <c r="B933" s="260"/>
      <c r="C933" s="248"/>
      <c r="D933" s="248"/>
      <c r="E933" s="84" t="s">
        <v>269</v>
      </c>
      <c r="F933" s="76">
        <v>45283.674282407403</v>
      </c>
      <c r="G933" s="76">
        <v>45285.637395833299</v>
      </c>
      <c r="H933" s="84" t="s">
        <v>182</v>
      </c>
      <c r="I933" s="117">
        <v>45311.734618055598</v>
      </c>
      <c r="J933" s="117">
        <v>45310.464432870402</v>
      </c>
      <c r="K933" s="92" t="s">
        <v>85</v>
      </c>
      <c r="L933" s="101">
        <v>12000</v>
      </c>
      <c r="M933" s="56" t="s">
        <v>86</v>
      </c>
    </row>
    <row r="934" spans="1:13" x14ac:dyDescent="0.4">
      <c r="A934" s="35">
        <v>906</v>
      </c>
      <c r="B934" s="92" t="s">
        <v>80</v>
      </c>
      <c r="C934" s="84" t="s">
        <v>180</v>
      </c>
      <c r="D934" s="84" t="s">
        <v>260</v>
      </c>
      <c r="E934" s="84" t="s">
        <v>173</v>
      </c>
      <c r="F934" s="76">
        <v>45168.394768518498</v>
      </c>
      <c r="G934" s="76">
        <v>45167.707129629598</v>
      </c>
      <c r="H934" s="240" t="s">
        <v>257</v>
      </c>
      <c r="I934" s="117">
        <v>45185.427719907399</v>
      </c>
      <c r="J934" s="117">
        <v>45184.6436805556</v>
      </c>
      <c r="K934" s="102" t="s">
        <v>184</v>
      </c>
      <c r="L934" s="103">
        <v>16000</v>
      </c>
      <c r="M934" s="56" t="s">
        <v>86</v>
      </c>
    </row>
    <row r="935" spans="1:13" x14ac:dyDescent="0.4">
      <c r="A935" s="35">
        <v>907</v>
      </c>
      <c r="B935" s="92" t="s">
        <v>80</v>
      </c>
      <c r="C935" s="84" t="s">
        <v>180</v>
      </c>
      <c r="D935" s="84" t="s">
        <v>179</v>
      </c>
      <c r="E935" s="84" t="s">
        <v>173</v>
      </c>
      <c r="F935" s="76">
        <v>45168.394861111097</v>
      </c>
      <c r="G935" s="76">
        <v>45167.707187499997</v>
      </c>
      <c r="H935" s="241"/>
      <c r="I935" s="117">
        <v>45187.722557870402</v>
      </c>
      <c r="J935" s="117">
        <v>45187.4309953704</v>
      </c>
      <c r="K935" s="92" t="s">
        <v>85</v>
      </c>
      <c r="L935" s="101">
        <v>12000</v>
      </c>
      <c r="M935" s="56" t="s">
        <v>86</v>
      </c>
    </row>
    <row r="936" spans="1:13" x14ac:dyDescent="0.4">
      <c r="A936" s="35">
        <v>908</v>
      </c>
      <c r="B936" s="92" t="s">
        <v>80</v>
      </c>
      <c r="C936" s="84" t="s">
        <v>180</v>
      </c>
      <c r="D936" s="84" t="s">
        <v>141</v>
      </c>
      <c r="E936" s="84" t="s">
        <v>173</v>
      </c>
      <c r="F936" s="76">
        <v>45168.394942129598</v>
      </c>
      <c r="G936" s="76">
        <v>45167.707233796304</v>
      </c>
      <c r="H936" s="241"/>
      <c r="I936" s="117">
        <v>45185.431018518502</v>
      </c>
      <c r="J936" s="117">
        <v>45184.643750000003</v>
      </c>
      <c r="K936" s="92" t="s">
        <v>85</v>
      </c>
      <c r="L936" s="101">
        <v>12000</v>
      </c>
      <c r="M936" s="56" t="s">
        <v>86</v>
      </c>
    </row>
    <row r="937" spans="1:13" x14ac:dyDescent="0.4">
      <c r="A937" s="35">
        <v>909</v>
      </c>
      <c r="B937" s="92" t="s">
        <v>80</v>
      </c>
      <c r="C937" s="84" t="s">
        <v>180</v>
      </c>
      <c r="D937" s="84" t="s">
        <v>142</v>
      </c>
      <c r="E937" s="84" t="s">
        <v>173</v>
      </c>
      <c r="F937" s="76">
        <v>45168.395081018498</v>
      </c>
      <c r="G937" s="76">
        <v>45167.707280092603</v>
      </c>
      <c r="H937" s="241"/>
      <c r="I937" s="117">
        <v>45185.4309490741</v>
      </c>
      <c r="J937" s="117">
        <v>45184.643900463001</v>
      </c>
      <c r="K937" s="108" t="s">
        <v>85</v>
      </c>
      <c r="L937" s="101">
        <v>12000</v>
      </c>
      <c r="M937" s="56" t="s">
        <v>86</v>
      </c>
    </row>
    <row r="938" spans="1:13" x14ac:dyDescent="0.4">
      <c r="A938" s="275">
        <v>910</v>
      </c>
      <c r="B938" s="259" t="s">
        <v>80</v>
      </c>
      <c r="C938" s="247" t="s">
        <v>180</v>
      </c>
      <c r="D938" s="247" t="s">
        <v>143</v>
      </c>
      <c r="E938" s="84" t="s">
        <v>173</v>
      </c>
      <c r="F938" s="76">
        <v>45168.395208333299</v>
      </c>
      <c r="G938" s="76">
        <v>45167.707314814797</v>
      </c>
      <c r="H938" s="242"/>
      <c r="I938" s="117">
        <v>45185.430983796301</v>
      </c>
      <c r="J938" s="117">
        <v>45184.644050925897</v>
      </c>
      <c r="K938" s="108" t="s">
        <v>85</v>
      </c>
      <c r="L938" s="101">
        <v>12000</v>
      </c>
      <c r="M938" s="56" t="s">
        <v>86</v>
      </c>
    </row>
    <row r="939" spans="1:13" x14ac:dyDescent="0.4">
      <c r="A939" s="275"/>
      <c r="B939" s="260"/>
      <c r="C939" s="248"/>
      <c r="D939" s="248"/>
      <c r="E939" s="84" t="s">
        <v>269</v>
      </c>
      <c r="F939" s="76">
        <v>45283.674282407403</v>
      </c>
      <c r="G939" s="76">
        <v>45285.637395833299</v>
      </c>
      <c r="H939" s="84" t="s">
        <v>182</v>
      </c>
      <c r="I939" s="117">
        <v>45311.734652777799</v>
      </c>
      <c r="J939" s="117">
        <v>45310.464467592603</v>
      </c>
      <c r="K939" s="108" t="s">
        <v>85</v>
      </c>
      <c r="L939" s="101">
        <v>12000</v>
      </c>
      <c r="M939" s="56" t="s">
        <v>86</v>
      </c>
    </row>
    <row r="940" spans="1:13" x14ac:dyDescent="0.4">
      <c r="A940" s="275">
        <v>911</v>
      </c>
      <c r="B940" s="259" t="s">
        <v>80</v>
      </c>
      <c r="C940" s="247" t="s">
        <v>180</v>
      </c>
      <c r="D940" s="247" t="s">
        <v>144</v>
      </c>
      <c r="E940" s="84" t="s">
        <v>173</v>
      </c>
      <c r="F940" s="76">
        <v>45168.396284722199</v>
      </c>
      <c r="G940" s="76">
        <v>45167.707372685203</v>
      </c>
      <c r="H940" s="84" t="s">
        <v>257</v>
      </c>
      <c r="I940" s="117">
        <v>45185.427662037</v>
      </c>
      <c r="J940" s="117">
        <v>45184.644120370402</v>
      </c>
      <c r="K940" s="108" t="s">
        <v>85</v>
      </c>
      <c r="L940" s="101">
        <v>12000</v>
      </c>
      <c r="M940" s="56" t="s">
        <v>86</v>
      </c>
    </row>
    <row r="941" spans="1:13" x14ac:dyDescent="0.4">
      <c r="A941" s="275"/>
      <c r="B941" s="260"/>
      <c r="C941" s="248"/>
      <c r="D941" s="248"/>
      <c r="E941" s="84" t="s">
        <v>269</v>
      </c>
      <c r="F941" s="76">
        <v>45283.674282407403</v>
      </c>
      <c r="G941" s="76">
        <v>45285.637395833299</v>
      </c>
      <c r="H941" s="84" t="s">
        <v>182</v>
      </c>
      <c r="I941" s="117">
        <v>45311.570937500001</v>
      </c>
      <c r="J941" s="117">
        <v>45310.464513888903</v>
      </c>
      <c r="K941" s="108" t="s">
        <v>85</v>
      </c>
      <c r="L941" s="101">
        <v>12000</v>
      </c>
      <c r="M941" s="56" t="s">
        <v>86</v>
      </c>
    </row>
    <row r="942" spans="1:13" x14ac:dyDescent="0.4">
      <c r="A942" s="275">
        <v>912</v>
      </c>
      <c r="B942" s="259" t="s">
        <v>80</v>
      </c>
      <c r="C942" s="247" t="s">
        <v>180</v>
      </c>
      <c r="D942" s="247" t="s">
        <v>145</v>
      </c>
      <c r="E942" s="84" t="s">
        <v>173</v>
      </c>
      <c r="F942" s="76">
        <v>45168.396435185197</v>
      </c>
      <c r="G942" s="76">
        <v>45167.707418981503</v>
      </c>
      <c r="H942" s="84" t="s">
        <v>257</v>
      </c>
      <c r="I942" s="117">
        <v>45185.430914351899</v>
      </c>
      <c r="J942" s="117">
        <v>45184.644201388903</v>
      </c>
      <c r="K942" s="108" t="s">
        <v>85</v>
      </c>
      <c r="L942" s="101">
        <v>12000</v>
      </c>
      <c r="M942" s="56" t="s">
        <v>86</v>
      </c>
    </row>
    <row r="943" spans="1:13" x14ac:dyDescent="0.4">
      <c r="A943" s="275"/>
      <c r="B943" s="260"/>
      <c r="C943" s="248"/>
      <c r="D943" s="248"/>
      <c r="E943" s="84" t="s">
        <v>269</v>
      </c>
      <c r="F943" s="76">
        <v>45283.674282407403</v>
      </c>
      <c r="G943" s="76">
        <v>45285.637395833299</v>
      </c>
      <c r="H943" s="84" t="s">
        <v>182</v>
      </c>
      <c r="I943" s="117">
        <v>45311.566666666702</v>
      </c>
      <c r="J943" s="117">
        <v>45310.464560185203</v>
      </c>
      <c r="K943" s="108" t="s">
        <v>85</v>
      </c>
      <c r="L943" s="101">
        <v>12000</v>
      </c>
      <c r="M943" s="56" t="s">
        <v>86</v>
      </c>
    </row>
    <row r="944" spans="1:13" x14ac:dyDescent="0.4">
      <c r="A944" s="275">
        <v>913</v>
      </c>
      <c r="B944" s="259" t="s">
        <v>80</v>
      </c>
      <c r="C944" s="247" t="s">
        <v>180</v>
      </c>
      <c r="D944" s="247" t="s">
        <v>146</v>
      </c>
      <c r="E944" s="84" t="s">
        <v>173</v>
      </c>
      <c r="F944" s="76">
        <v>45168.396724537</v>
      </c>
      <c r="G944" s="76">
        <v>45167.707476851901</v>
      </c>
      <c r="H944" s="84" t="s">
        <v>257</v>
      </c>
      <c r="I944" s="117">
        <v>45185.430983796301</v>
      </c>
      <c r="J944" s="117">
        <v>45184.644282407397</v>
      </c>
      <c r="K944" s="108" t="s">
        <v>85</v>
      </c>
      <c r="L944" s="101">
        <v>12000</v>
      </c>
      <c r="M944" s="56" t="s">
        <v>86</v>
      </c>
    </row>
    <row r="945" spans="1:13" x14ac:dyDescent="0.4">
      <c r="A945" s="275"/>
      <c r="B945" s="260"/>
      <c r="C945" s="248"/>
      <c r="D945" s="248"/>
      <c r="E945" s="84" t="s">
        <v>269</v>
      </c>
      <c r="F945" s="76">
        <v>45283.674282407403</v>
      </c>
      <c r="G945" s="76">
        <v>45285.637395833299</v>
      </c>
      <c r="H945" s="84" t="s">
        <v>182</v>
      </c>
      <c r="I945" s="117">
        <v>45310.729849536998</v>
      </c>
      <c r="J945" s="117">
        <v>45310.453784722202</v>
      </c>
      <c r="K945" s="108" t="s">
        <v>85</v>
      </c>
      <c r="L945" s="101">
        <v>12000</v>
      </c>
      <c r="M945" s="56" t="s">
        <v>86</v>
      </c>
    </row>
    <row r="946" spans="1:13" x14ac:dyDescent="0.4">
      <c r="A946" s="35">
        <v>914</v>
      </c>
      <c r="B946" s="92" t="s">
        <v>80</v>
      </c>
      <c r="C946" s="84" t="s">
        <v>180</v>
      </c>
      <c r="D946" s="84" t="s">
        <v>147</v>
      </c>
      <c r="E946" s="84" t="s">
        <v>173</v>
      </c>
      <c r="F946" s="76">
        <v>45168.3968634259</v>
      </c>
      <c r="G946" s="76">
        <v>45167.707581018498</v>
      </c>
      <c r="H946" s="240" t="s">
        <v>257</v>
      </c>
      <c r="I946" s="117">
        <v>45185.427662037</v>
      </c>
      <c r="J946" s="117">
        <v>45184.645416666703</v>
      </c>
      <c r="K946" s="108" t="s">
        <v>85</v>
      </c>
      <c r="L946" s="101">
        <v>12000</v>
      </c>
      <c r="M946" s="56" t="s">
        <v>86</v>
      </c>
    </row>
    <row r="947" spans="1:13" x14ac:dyDescent="0.4">
      <c r="A947" s="35">
        <v>915</v>
      </c>
      <c r="B947" s="92" t="s">
        <v>80</v>
      </c>
      <c r="C947" s="84" t="s">
        <v>180</v>
      </c>
      <c r="D947" s="84" t="s">
        <v>148</v>
      </c>
      <c r="E947" s="84" t="s">
        <v>173</v>
      </c>
      <c r="F947" s="76">
        <v>45168.397094907399</v>
      </c>
      <c r="G947" s="76">
        <v>45167.707650463002</v>
      </c>
      <c r="H947" s="241"/>
      <c r="I947" s="117">
        <v>45185.427662037</v>
      </c>
      <c r="J947" s="117">
        <v>45184.645497685196</v>
      </c>
      <c r="K947" s="108" t="s">
        <v>85</v>
      </c>
      <c r="L947" s="101">
        <v>12000</v>
      </c>
      <c r="M947" s="56" t="s">
        <v>86</v>
      </c>
    </row>
    <row r="948" spans="1:13" x14ac:dyDescent="0.4">
      <c r="A948" s="275">
        <v>916</v>
      </c>
      <c r="B948" s="259" t="s">
        <v>80</v>
      </c>
      <c r="C948" s="247" t="s">
        <v>180</v>
      </c>
      <c r="D948" s="247" t="s">
        <v>149</v>
      </c>
      <c r="E948" s="84" t="s">
        <v>173</v>
      </c>
      <c r="F948" s="76">
        <v>45168.397233796299</v>
      </c>
      <c r="G948" s="76">
        <v>45167.707708333299</v>
      </c>
      <c r="H948" s="242"/>
      <c r="I948" s="117">
        <v>45185.427719907399</v>
      </c>
      <c r="J948" s="117">
        <v>45184.645567129599</v>
      </c>
      <c r="K948" s="108" t="s">
        <v>85</v>
      </c>
      <c r="L948" s="101">
        <v>12000</v>
      </c>
      <c r="M948" s="56" t="s">
        <v>86</v>
      </c>
    </row>
    <row r="949" spans="1:13" x14ac:dyDescent="0.4">
      <c r="A949" s="275"/>
      <c r="B949" s="260"/>
      <c r="C949" s="248"/>
      <c r="D949" s="248"/>
      <c r="E949" s="84" t="s">
        <v>269</v>
      </c>
      <c r="F949" s="76">
        <v>45283.674282407403</v>
      </c>
      <c r="G949" s="76">
        <v>45285.637395833299</v>
      </c>
      <c r="H949" s="84" t="s">
        <v>182</v>
      </c>
      <c r="I949" s="117">
        <v>45310.746678240699</v>
      </c>
      <c r="J949" s="117">
        <v>45310.453854166699</v>
      </c>
      <c r="K949" s="108" t="s">
        <v>85</v>
      </c>
      <c r="L949" s="101">
        <v>12000</v>
      </c>
      <c r="M949" s="56" t="s">
        <v>86</v>
      </c>
    </row>
    <row r="950" spans="1:13" x14ac:dyDescent="0.4">
      <c r="A950" s="35">
        <v>917</v>
      </c>
      <c r="B950" s="92" t="s">
        <v>80</v>
      </c>
      <c r="C950" s="84" t="s">
        <v>180</v>
      </c>
      <c r="D950" s="84" t="s">
        <v>150</v>
      </c>
      <c r="E950" s="84" t="s">
        <v>173</v>
      </c>
      <c r="F950" s="76">
        <v>45168.397349537001</v>
      </c>
      <c r="G950" s="76">
        <v>45167.707777777803</v>
      </c>
      <c r="H950" s="240" t="s">
        <v>257</v>
      </c>
      <c r="I950" s="117">
        <v>45185.430983796301</v>
      </c>
      <c r="J950" s="117">
        <v>45184.645914351902</v>
      </c>
      <c r="K950" s="108" t="s">
        <v>85</v>
      </c>
      <c r="L950" s="101">
        <v>12000</v>
      </c>
      <c r="M950" s="56" t="s">
        <v>86</v>
      </c>
    </row>
    <row r="951" spans="1:13" x14ac:dyDescent="0.4">
      <c r="A951" s="35">
        <v>918</v>
      </c>
      <c r="B951" s="92" t="s">
        <v>80</v>
      </c>
      <c r="C951" s="84" t="s">
        <v>180</v>
      </c>
      <c r="D951" s="84" t="s">
        <v>365</v>
      </c>
      <c r="E951" s="84" t="s">
        <v>173</v>
      </c>
      <c r="F951" s="76">
        <v>45168.397847222201</v>
      </c>
      <c r="G951" s="76">
        <v>45167.707870370403</v>
      </c>
      <c r="H951" s="241"/>
      <c r="I951" s="117">
        <v>45187.726006944402</v>
      </c>
      <c r="J951" s="117">
        <v>45187.4309027778</v>
      </c>
      <c r="K951" s="108" t="s">
        <v>85</v>
      </c>
      <c r="L951" s="101">
        <v>12000</v>
      </c>
      <c r="M951" s="56" t="s">
        <v>86</v>
      </c>
    </row>
    <row r="952" spans="1:13" x14ac:dyDescent="0.4">
      <c r="A952" s="35">
        <v>919</v>
      </c>
      <c r="B952" s="92" t="s">
        <v>80</v>
      </c>
      <c r="C952" s="84" t="s">
        <v>180</v>
      </c>
      <c r="D952" s="84" t="s">
        <v>262</v>
      </c>
      <c r="E952" s="84" t="s">
        <v>173</v>
      </c>
      <c r="F952" s="76">
        <v>45168.398287037002</v>
      </c>
      <c r="G952" s="76">
        <v>45167.707905092597</v>
      </c>
      <c r="H952" s="242"/>
      <c r="I952" s="117">
        <v>45187.7260648148</v>
      </c>
      <c r="J952" s="117">
        <v>45187.431087962999</v>
      </c>
      <c r="K952" s="102" t="s">
        <v>184</v>
      </c>
      <c r="L952" s="103">
        <v>16000</v>
      </c>
      <c r="M952" s="56" t="s">
        <v>86</v>
      </c>
    </row>
    <row r="953" spans="1:13" x14ac:dyDescent="0.4">
      <c r="A953" s="35">
        <v>920</v>
      </c>
      <c r="B953" s="92" t="s">
        <v>80</v>
      </c>
      <c r="C953" s="84" t="s">
        <v>180</v>
      </c>
      <c r="D953" s="84" t="s">
        <v>477</v>
      </c>
      <c r="E953" s="84" t="s">
        <v>173</v>
      </c>
      <c r="F953" s="76">
        <v>45168.398425925901</v>
      </c>
      <c r="G953" s="76">
        <v>45167.707951388897</v>
      </c>
      <c r="H953" s="240" t="s">
        <v>182</v>
      </c>
      <c r="I953" s="127">
        <v>45218.5695949074</v>
      </c>
      <c r="J953" s="117">
        <v>45217.502488425896</v>
      </c>
      <c r="K953" s="108" t="s">
        <v>85</v>
      </c>
      <c r="L953" s="101">
        <v>12000</v>
      </c>
      <c r="M953" s="56" t="s">
        <v>86</v>
      </c>
    </row>
    <row r="954" spans="1:13" x14ac:dyDescent="0.4">
      <c r="A954" s="35">
        <v>921</v>
      </c>
      <c r="B954" s="102" t="s">
        <v>80</v>
      </c>
      <c r="C954" s="84" t="s">
        <v>171</v>
      </c>
      <c r="D954" s="84" t="s">
        <v>132</v>
      </c>
      <c r="E954" s="84" t="s">
        <v>173</v>
      </c>
      <c r="F954" s="76">
        <v>45197.737013888902</v>
      </c>
      <c r="G954" s="76">
        <v>45208.680659722202</v>
      </c>
      <c r="H954" s="241"/>
      <c r="I954" s="127">
        <v>45369.667905092603</v>
      </c>
      <c r="J954" s="117">
        <v>45369.422025462998</v>
      </c>
      <c r="K954" s="108" t="s">
        <v>85</v>
      </c>
      <c r="L954" s="101">
        <v>12000</v>
      </c>
      <c r="M954" s="56" t="s">
        <v>86</v>
      </c>
    </row>
    <row r="955" spans="1:13" x14ac:dyDescent="0.4">
      <c r="A955" s="35">
        <v>922</v>
      </c>
      <c r="B955" s="102" t="s">
        <v>80</v>
      </c>
      <c r="C955" s="84" t="s">
        <v>171</v>
      </c>
      <c r="D955" s="84" t="s">
        <v>133</v>
      </c>
      <c r="E955" s="84" t="s">
        <v>173</v>
      </c>
      <c r="F955" s="76">
        <v>45197.737094907403</v>
      </c>
      <c r="G955" s="76">
        <v>45208.680694444403</v>
      </c>
      <c r="H955" s="241"/>
      <c r="I955" s="127">
        <v>45369.672037037002</v>
      </c>
      <c r="J955" s="117">
        <v>45369.422210648103</v>
      </c>
      <c r="K955" s="108" t="s">
        <v>85</v>
      </c>
      <c r="L955" s="101">
        <v>12000</v>
      </c>
      <c r="M955" s="56" t="s">
        <v>86</v>
      </c>
    </row>
    <row r="956" spans="1:13" x14ac:dyDescent="0.4">
      <c r="A956" s="35">
        <v>923</v>
      </c>
      <c r="B956" s="102" t="s">
        <v>80</v>
      </c>
      <c r="C956" s="84" t="s">
        <v>171</v>
      </c>
      <c r="D956" s="84" t="s">
        <v>129</v>
      </c>
      <c r="E956" s="84" t="s">
        <v>173</v>
      </c>
      <c r="F956" s="76">
        <v>45197.7367592593</v>
      </c>
      <c r="G956" s="76">
        <v>45208.680532407401</v>
      </c>
      <c r="H956" s="241"/>
      <c r="I956" s="127">
        <v>45369.671932870398</v>
      </c>
      <c r="J956" s="117">
        <v>45369.421898148103</v>
      </c>
      <c r="K956" s="108" t="s">
        <v>85</v>
      </c>
      <c r="L956" s="101">
        <v>12000</v>
      </c>
      <c r="M956" s="56" t="s">
        <v>86</v>
      </c>
    </row>
    <row r="957" spans="1:13" x14ac:dyDescent="0.4">
      <c r="A957" s="35">
        <v>924</v>
      </c>
      <c r="B957" s="102" t="s">
        <v>80</v>
      </c>
      <c r="C957" s="84" t="s">
        <v>171</v>
      </c>
      <c r="D957" s="84" t="s">
        <v>139</v>
      </c>
      <c r="E957" s="84" t="s">
        <v>173</v>
      </c>
      <c r="F957" s="76">
        <v>45197.737488425897</v>
      </c>
      <c r="G957" s="76">
        <v>45208.6808564815</v>
      </c>
      <c r="H957" s="241"/>
      <c r="I957" s="127">
        <v>45369.668923611098</v>
      </c>
      <c r="J957" s="117">
        <v>45369.426145833299</v>
      </c>
      <c r="K957" s="108" t="s">
        <v>85</v>
      </c>
      <c r="L957" s="101">
        <v>12000</v>
      </c>
      <c r="M957" s="56" t="s">
        <v>86</v>
      </c>
    </row>
    <row r="958" spans="1:13" x14ac:dyDescent="0.4">
      <c r="A958" s="35">
        <v>925</v>
      </c>
      <c r="B958" s="102" t="s">
        <v>80</v>
      </c>
      <c r="C958" s="84" t="s">
        <v>171</v>
      </c>
      <c r="D958" s="84" t="s">
        <v>134</v>
      </c>
      <c r="E958" s="84" t="s">
        <v>173</v>
      </c>
      <c r="F958" s="76">
        <v>45197.737199074101</v>
      </c>
      <c r="G958" s="76">
        <v>45208.680740740703</v>
      </c>
      <c r="H958" s="241"/>
      <c r="I958" s="127">
        <v>45369.671932870398</v>
      </c>
      <c r="J958" s="117">
        <v>45369.422569444403</v>
      </c>
      <c r="K958" s="108" t="s">
        <v>85</v>
      </c>
      <c r="L958" s="101">
        <v>12000</v>
      </c>
      <c r="M958" s="56" t="s">
        <v>86</v>
      </c>
    </row>
    <row r="959" spans="1:13" x14ac:dyDescent="0.4">
      <c r="A959" s="35">
        <v>926</v>
      </c>
      <c r="B959" s="102" t="s">
        <v>80</v>
      </c>
      <c r="C959" s="84" t="s">
        <v>171</v>
      </c>
      <c r="D959" s="84" t="s">
        <v>130</v>
      </c>
      <c r="E959" s="84" t="s">
        <v>173</v>
      </c>
      <c r="F959" s="76">
        <v>45197.736840277801</v>
      </c>
      <c r="G959" s="76">
        <v>45208.680578703701</v>
      </c>
      <c r="H959" s="241"/>
      <c r="I959" s="127">
        <v>45369.671932870398</v>
      </c>
      <c r="J959" s="117">
        <v>45369.421944444402</v>
      </c>
      <c r="K959" s="108" t="s">
        <v>85</v>
      </c>
      <c r="L959" s="101">
        <v>12000</v>
      </c>
      <c r="M959" s="56" t="s">
        <v>86</v>
      </c>
    </row>
    <row r="960" spans="1:13" x14ac:dyDescent="0.4">
      <c r="A960" s="35">
        <v>927</v>
      </c>
      <c r="B960" s="102" t="s">
        <v>80</v>
      </c>
      <c r="C960" s="84" t="s">
        <v>81</v>
      </c>
      <c r="D960" s="84" t="s">
        <v>157</v>
      </c>
      <c r="E960" s="84" t="s">
        <v>173</v>
      </c>
      <c r="F960" s="76">
        <v>45197.733749999999</v>
      </c>
      <c r="G960" s="76">
        <v>45208.6818055556</v>
      </c>
      <c r="H960" s="241"/>
      <c r="I960" s="127">
        <v>45372.582314814797</v>
      </c>
      <c r="J960" s="117">
        <v>45371.718263888899</v>
      </c>
      <c r="K960" s="108" t="s">
        <v>85</v>
      </c>
      <c r="L960" s="101">
        <v>12000</v>
      </c>
      <c r="M960" s="56" t="s">
        <v>86</v>
      </c>
    </row>
    <row r="961" spans="1:13" x14ac:dyDescent="0.4">
      <c r="A961" s="35">
        <v>928</v>
      </c>
      <c r="B961" s="102" t="s">
        <v>80</v>
      </c>
      <c r="C961" s="84" t="s">
        <v>171</v>
      </c>
      <c r="D961" s="84" t="s">
        <v>179</v>
      </c>
      <c r="E961" s="84" t="s">
        <v>173</v>
      </c>
      <c r="F961" s="76">
        <v>45197.737777777802</v>
      </c>
      <c r="G961" s="76">
        <v>45208.6809490741</v>
      </c>
      <c r="H961" s="241"/>
      <c r="I961" s="127">
        <v>45369.677280092597</v>
      </c>
      <c r="J961" s="117">
        <v>45369.426226851901</v>
      </c>
      <c r="K961" s="108" t="s">
        <v>85</v>
      </c>
      <c r="L961" s="101">
        <v>12000</v>
      </c>
      <c r="M961" s="56" t="s">
        <v>86</v>
      </c>
    </row>
    <row r="962" spans="1:13" x14ac:dyDescent="0.4">
      <c r="A962" s="35">
        <v>929</v>
      </c>
      <c r="B962" s="102" t="s">
        <v>80</v>
      </c>
      <c r="C962" s="84" t="s">
        <v>81</v>
      </c>
      <c r="D962" s="84" t="s">
        <v>145</v>
      </c>
      <c r="E962" s="84" t="s">
        <v>173</v>
      </c>
      <c r="F962" s="76">
        <v>45197.732615740701</v>
      </c>
      <c r="G962" s="76">
        <v>45208.681331018503</v>
      </c>
      <c r="H962" s="241"/>
      <c r="I962" s="127">
        <v>45373.6881712963</v>
      </c>
      <c r="J962" s="117">
        <v>45372.670763888898</v>
      </c>
      <c r="K962" s="108" t="s">
        <v>85</v>
      </c>
      <c r="L962" s="101">
        <v>12000</v>
      </c>
      <c r="M962" s="56" t="s">
        <v>86</v>
      </c>
    </row>
    <row r="963" spans="1:13" x14ac:dyDescent="0.4">
      <c r="A963" s="35">
        <v>930</v>
      </c>
      <c r="B963" s="102" t="s">
        <v>80</v>
      </c>
      <c r="C963" s="84" t="s">
        <v>171</v>
      </c>
      <c r="D963" s="84" t="s">
        <v>131</v>
      </c>
      <c r="E963" s="84" t="s">
        <v>173</v>
      </c>
      <c r="F963" s="76">
        <v>45197.736921296302</v>
      </c>
      <c r="G963" s="76">
        <v>45208.680625000001</v>
      </c>
      <c r="H963" s="241"/>
      <c r="I963" s="127">
        <v>45369.671944444402</v>
      </c>
      <c r="J963" s="117">
        <v>45369.421979166698</v>
      </c>
      <c r="K963" s="108" t="s">
        <v>85</v>
      </c>
      <c r="L963" s="101">
        <v>12000</v>
      </c>
      <c r="M963" s="56" t="s">
        <v>86</v>
      </c>
    </row>
    <row r="964" spans="1:13" x14ac:dyDescent="0.4">
      <c r="A964" s="35">
        <v>931</v>
      </c>
      <c r="B964" s="102" t="s">
        <v>80</v>
      </c>
      <c r="C964" s="84" t="s">
        <v>81</v>
      </c>
      <c r="D964" s="84" t="s">
        <v>159</v>
      </c>
      <c r="E964" s="84" t="s">
        <v>173</v>
      </c>
      <c r="F964" s="76">
        <v>45197.733900462998</v>
      </c>
      <c r="G964" s="76">
        <v>45208.681886574101</v>
      </c>
      <c r="H964" s="241"/>
      <c r="I964" s="127">
        <v>45372.582314814797</v>
      </c>
      <c r="J964" s="117">
        <v>45371.7183449074</v>
      </c>
      <c r="K964" s="108" t="s">
        <v>85</v>
      </c>
      <c r="L964" s="101">
        <v>12000</v>
      </c>
      <c r="M964" s="56" t="s">
        <v>86</v>
      </c>
    </row>
    <row r="965" spans="1:13" x14ac:dyDescent="0.4">
      <c r="A965" s="35">
        <v>932</v>
      </c>
      <c r="B965" s="102" t="s">
        <v>80</v>
      </c>
      <c r="C965" s="84" t="s">
        <v>81</v>
      </c>
      <c r="D965" s="84" t="s">
        <v>155</v>
      </c>
      <c r="E965" s="84" t="s">
        <v>173</v>
      </c>
      <c r="F965" s="76">
        <v>45197.7331597222</v>
      </c>
      <c r="G965" s="76">
        <v>45208.681689814803</v>
      </c>
      <c r="H965" s="241"/>
      <c r="I965" s="127">
        <v>45372.586689814802</v>
      </c>
      <c r="J965" s="117">
        <v>45371.718182870398</v>
      </c>
      <c r="K965" s="108" t="s">
        <v>85</v>
      </c>
      <c r="L965" s="101">
        <v>12000</v>
      </c>
      <c r="M965" s="56" t="s">
        <v>86</v>
      </c>
    </row>
    <row r="966" spans="1:13" x14ac:dyDescent="0.4">
      <c r="A966" s="35">
        <v>933</v>
      </c>
      <c r="B966" s="102" t="s">
        <v>80</v>
      </c>
      <c r="C966" s="84" t="s">
        <v>171</v>
      </c>
      <c r="D966" s="84" t="s">
        <v>155</v>
      </c>
      <c r="E966" s="84" t="s">
        <v>173</v>
      </c>
      <c r="F966" s="76">
        <v>45197.737870370402</v>
      </c>
      <c r="G966" s="76">
        <v>45208.680983796301</v>
      </c>
      <c r="H966" s="241"/>
      <c r="I966" s="127">
        <v>45373.697395833296</v>
      </c>
      <c r="J966" s="117">
        <v>45372.670104166697</v>
      </c>
      <c r="K966" s="108" t="s">
        <v>85</v>
      </c>
      <c r="L966" s="101">
        <v>12000</v>
      </c>
      <c r="M966" s="56" t="s">
        <v>86</v>
      </c>
    </row>
    <row r="967" spans="1:13" x14ac:dyDescent="0.4">
      <c r="A967" s="275">
        <v>934</v>
      </c>
      <c r="B967" s="261" t="s">
        <v>80</v>
      </c>
      <c r="C967" s="247" t="s">
        <v>81</v>
      </c>
      <c r="D967" s="247" t="s">
        <v>111</v>
      </c>
      <c r="E967" s="84" t="s">
        <v>83</v>
      </c>
      <c r="F967" s="76">
        <v>45197.796030092599</v>
      </c>
      <c r="G967" s="76">
        <v>45208.681076388901</v>
      </c>
      <c r="H967" s="241"/>
      <c r="I967" s="128"/>
      <c r="J967" s="53"/>
      <c r="K967" s="108" t="s">
        <v>85</v>
      </c>
      <c r="L967" s="101">
        <v>12000</v>
      </c>
      <c r="M967" s="56" t="s">
        <v>86</v>
      </c>
    </row>
    <row r="968" spans="1:13" x14ac:dyDescent="0.4">
      <c r="A968" s="275"/>
      <c r="B968" s="262"/>
      <c r="C968" s="248"/>
      <c r="D968" s="248"/>
      <c r="E968" s="84" t="s">
        <v>269</v>
      </c>
      <c r="F968" s="76">
        <v>45267.618321759299</v>
      </c>
      <c r="G968" s="76">
        <v>45267.388587963003</v>
      </c>
      <c r="H968" s="241"/>
      <c r="I968" s="127">
        <v>45373.677592592598</v>
      </c>
      <c r="J968" s="117">
        <v>45372.670474537001</v>
      </c>
      <c r="K968" s="108" t="s">
        <v>85</v>
      </c>
      <c r="L968" s="101">
        <v>12000</v>
      </c>
      <c r="M968" s="56" t="s">
        <v>86</v>
      </c>
    </row>
    <row r="969" spans="1:13" x14ac:dyDescent="0.4">
      <c r="A969" s="35">
        <v>935</v>
      </c>
      <c r="B969" s="102" t="s">
        <v>80</v>
      </c>
      <c r="C969" s="84" t="s">
        <v>81</v>
      </c>
      <c r="D969" s="84" t="s">
        <v>160</v>
      </c>
      <c r="E969" s="84" t="s">
        <v>173</v>
      </c>
      <c r="F969" s="76">
        <v>45197.733993055597</v>
      </c>
      <c r="G969" s="76">
        <v>45208.6819328704</v>
      </c>
      <c r="H969" s="241"/>
      <c r="I969" s="127">
        <v>45372.586585648103</v>
      </c>
      <c r="J969" s="117">
        <v>45371.7183912037</v>
      </c>
      <c r="K969" s="108" t="s">
        <v>85</v>
      </c>
      <c r="L969" s="101">
        <v>12000</v>
      </c>
      <c r="M969" s="56" t="s">
        <v>86</v>
      </c>
    </row>
    <row r="970" spans="1:13" x14ac:dyDescent="0.4">
      <c r="A970" s="35">
        <v>936</v>
      </c>
      <c r="B970" s="102" t="s">
        <v>80</v>
      </c>
      <c r="C970" s="84" t="s">
        <v>81</v>
      </c>
      <c r="D970" s="84" t="s">
        <v>156</v>
      </c>
      <c r="E970" s="84" t="s">
        <v>173</v>
      </c>
      <c r="F970" s="76">
        <v>45197.7323032407</v>
      </c>
      <c r="G970" s="76">
        <v>45208.681736111103</v>
      </c>
      <c r="H970" s="241"/>
      <c r="I970" s="127">
        <v>45372.586689814802</v>
      </c>
      <c r="J970" s="117">
        <v>45371.718229166698</v>
      </c>
      <c r="K970" s="108" t="s">
        <v>85</v>
      </c>
      <c r="L970" s="101">
        <v>12000</v>
      </c>
      <c r="M970" s="56" t="s">
        <v>86</v>
      </c>
    </row>
    <row r="971" spans="1:13" x14ac:dyDescent="0.4">
      <c r="A971" s="35">
        <v>937</v>
      </c>
      <c r="B971" s="102" t="s">
        <v>80</v>
      </c>
      <c r="C971" s="84" t="s">
        <v>171</v>
      </c>
      <c r="D971" s="84" t="s">
        <v>137</v>
      </c>
      <c r="E971" s="84" t="s">
        <v>173</v>
      </c>
      <c r="F971" s="76">
        <v>45197.737314814804</v>
      </c>
      <c r="G971" s="76">
        <v>45208.680775462999</v>
      </c>
      <c r="H971" s="241"/>
      <c r="I971" s="127">
        <v>45369.668923611098</v>
      </c>
      <c r="J971" s="117">
        <v>45369.426053240699</v>
      </c>
      <c r="K971" s="108" t="s">
        <v>85</v>
      </c>
      <c r="L971" s="101">
        <v>12000</v>
      </c>
      <c r="M971" s="56" t="s">
        <v>86</v>
      </c>
    </row>
    <row r="972" spans="1:13" x14ac:dyDescent="0.4">
      <c r="A972" s="35">
        <v>938</v>
      </c>
      <c r="B972" s="102" t="s">
        <v>80</v>
      </c>
      <c r="C972" s="84" t="s">
        <v>81</v>
      </c>
      <c r="D972" s="84" t="s">
        <v>161</v>
      </c>
      <c r="E972" s="84" t="s">
        <v>173</v>
      </c>
      <c r="F972" s="76">
        <v>45197.7341087963</v>
      </c>
      <c r="G972" s="76">
        <v>45208.6819791667</v>
      </c>
      <c r="H972" s="241"/>
      <c r="I972" s="127">
        <v>45374.694513888899</v>
      </c>
      <c r="J972" s="117">
        <v>45373.683414351799</v>
      </c>
      <c r="K972" s="108" t="s">
        <v>85</v>
      </c>
      <c r="L972" s="101">
        <v>12000</v>
      </c>
      <c r="M972" s="56" t="s">
        <v>86</v>
      </c>
    </row>
    <row r="973" spans="1:13" x14ac:dyDescent="0.4">
      <c r="A973" s="275">
        <v>939</v>
      </c>
      <c r="B973" s="261" t="s">
        <v>80</v>
      </c>
      <c r="C973" s="247" t="s">
        <v>81</v>
      </c>
      <c r="D973" s="247" t="s">
        <v>112</v>
      </c>
      <c r="E973" s="84" t="s">
        <v>83</v>
      </c>
      <c r="F973" s="76">
        <v>45197.7961574074</v>
      </c>
      <c r="G973" s="76">
        <v>45208.681122685201</v>
      </c>
      <c r="H973" s="241"/>
      <c r="I973" s="128"/>
      <c r="J973" s="53"/>
      <c r="K973" s="108" t="s">
        <v>85</v>
      </c>
      <c r="L973" s="101">
        <v>12000</v>
      </c>
      <c r="M973" s="56" t="s">
        <v>86</v>
      </c>
    </row>
    <row r="974" spans="1:13" x14ac:dyDescent="0.4">
      <c r="A974" s="275"/>
      <c r="B974" s="262"/>
      <c r="C974" s="248"/>
      <c r="D974" s="248"/>
      <c r="E974" s="84" t="s">
        <v>269</v>
      </c>
      <c r="F974" s="76">
        <v>45267.618321759299</v>
      </c>
      <c r="G974" s="76">
        <v>45267.388587963003</v>
      </c>
      <c r="H974" s="241"/>
      <c r="I974" s="127">
        <v>45373.677627314799</v>
      </c>
      <c r="J974" s="117">
        <v>45372.670520833301</v>
      </c>
      <c r="K974" s="108" t="s">
        <v>85</v>
      </c>
      <c r="L974" s="101">
        <v>12000</v>
      </c>
      <c r="M974" s="56" t="s">
        <v>86</v>
      </c>
    </row>
    <row r="975" spans="1:13" x14ac:dyDescent="0.4">
      <c r="A975" s="35">
        <v>940</v>
      </c>
      <c r="B975" s="102" t="s">
        <v>80</v>
      </c>
      <c r="C975" s="84" t="s">
        <v>81</v>
      </c>
      <c r="D975" s="84" t="s">
        <v>143</v>
      </c>
      <c r="E975" s="84" t="s">
        <v>173</v>
      </c>
      <c r="F975" s="76">
        <v>45197.732465277797</v>
      </c>
      <c r="G975" s="76">
        <v>45208.681238425903</v>
      </c>
      <c r="H975" s="241"/>
      <c r="I975" s="127">
        <v>45373.688067129602</v>
      </c>
      <c r="J975" s="117">
        <v>45372.670624999999</v>
      </c>
      <c r="K975" s="108" t="s">
        <v>85</v>
      </c>
      <c r="L975" s="101">
        <v>12000</v>
      </c>
      <c r="M975" s="56" t="s">
        <v>86</v>
      </c>
    </row>
    <row r="976" spans="1:13" x14ac:dyDescent="0.4">
      <c r="A976" s="35">
        <v>941</v>
      </c>
      <c r="B976" s="102" t="s">
        <v>80</v>
      </c>
      <c r="C976" s="84" t="s">
        <v>81</v>
      </c>
      <c r="D976" s="84" t="s">
        <v>121</v>
      </c>
      <c r="E976" s="84" t="s">
        <v>173</v>
      </c>
      <c r="F976" s="76">
        <v>45197.716655092598</v>
      </c>
      <c r="G976" s="76">
        <v>45208.681157407402</v>
      </c>
      <c r="H976" s="241"/>
      <c r="I976" s="127">
        <v>45373.681817129604</v>
      </c>
      <c r="J976" s="117">
        <v>45372.670555555596</v>
      </c>
      <c r="K976" s="108" t="s">
        <v>85</v>
      </c>
      <c r="L976" s="101">
        <v>12000</v>
      </c>
      <c r="M976" s="56" t="s">
        <v>86</v>
      </c>
    </row>
    <row r="977" spans="1:13" x14ac:dyDescent="0.4">
      <c r="A977" s="35">
        <v>942</v>
      </c>
      <c r="B977" s="102" t="s">
        <v>80</v>
      </c>
      <c r="C977" s="84" t="s">
        <v>171</v>
      </c>
      <c r="D977" s="84" t="s">
        <v>138</v>
      </c>
      <c r="E977" s="84" t="s">
        <v>173</v>
      </c>
      <c r="F977" s="76">
        <v>45197.737407407403</v>
      </c>
      <c r="G977" s="76">
        <v>45208.680821759299</v>
      </c>
      <c r="H977" s="241"/>
      <c r="I977" s="127">
        <v>45369.668888888897</v>
      </c>
      <c r="J977" s="117">
        <v>45369.426099536999</v>
      </c>
      <c r="K977" s="108" t="s">
        <v>85</v>
      </c>
      <c r="L977" s="101">
        <v>12000</v>
      </c>
      <c r="M977" s="56" t="s">
        <v>86</v>
      </c>
    </row>
    <row r="978" spans="1:13" x14ac:dyDescent="0.4">
      <c r="A978" s="35">
        <v>943</v>
      </c>
      <c r="B978" s="102" t="s">
        <v>80</v>
      </c>
      <c r="C978" s="84" t="s">
        <v>81</v>
      </c>
      <c r="D978" s="84" t="s">
        <v>162</v>
      </c>
      <c r="E978" s="84" t="s">
        <v>173</v>
      </c>
      <c r="F978" s="76">
        <v>45197.734189814801</v>
      </c>
      <c r="G978" s="76">
        <v>45208.682037036997</v>
      </c>
      <c r="H978" s="241"/>
      <c r="I978" s="127">
        <v>45374.694467592599</v>
      </c>
      <c r="J978" s="117">
        <v>45373.683449074102</v>
      </c>
      <c r="K978" s="108" t="s">
        <v>85</v>
      </c>
      <c r="L978" s="101">
        <v>12000</v>
      </c>
      <c r="M978" s="56" t="s">
        <v>86</v>
      </c>
    </row>
    <row r="979" spans="1:13" x14ac:dyDescent="0.4">
      <c r="A979" s="35">
        <v>944</v>
      </c>
      <c r="B979" s="102" t="s">
        <v>80</v>
      </c>
      <c r="C979" s="84" t="s">
        <v>81</v>
      </c>
      <c r="D979" s="84" t="s">
        <v>144</v>
      </c>
      <c r="E979" s="84" t="s">
        <v>173</v>
      </c>
      <c r="F979" s="76">
        <v>45197.732546296298</v>
      </c>
      <c r="G979" s="76">
        <v>45208.681284722203</v>
      </c>
      <c r="H979" s="241"/>
      <c r="I979" s="127">
        <v>45373.688101851898</v>
      </c>
      <c r="J979" s="117">
        <v>45372.670671296299</v>
      </c>
      <c r="K979" s="108" t="s">
        <v>85</v>
      </c>
      <c r="L979" s="101">
        <v>12000</v>
      </c>
      <c r="M979" s="56" t="s">
        <v>86</v>
      </c>
    </row>
    <row r="980" spans="1:13" x14ac:dyDescent="0.4">
      <c r="A980" s="35">
        <v>945</v>
      </c>
      <c r="B980" s="102" t="s">
        <v>80</v>
      </c>
      <c r="C980" s="84" t="s">
        <v>171</v>
      </c>
      <c r="D980" s="84" t="s">
        <v>172</v>
      </c>
      <c r="E980" s="84" t="s">
        <v>173</v>
      </c>
      <c r="F980" s="76">
        <v>45197.736342592601</v>
      </c>
      <c r="G980" s="76">
        <v>45208.680393518502</v>
      </c>
      <c r="H980" s="241"/>
      <c r="I980" s="129">
        <v>45353.8921064815</v>
      </c>
      <c r="J980" s="130">
        <v>45352.620706018497</v>
      </c>
      <c r="K980" s="108" t="s">
        <v>85</v>
      </c>
      <c r="L980" s="101">
        <v>12000</v>
      </c>
      <c r="M980" s="56" t="s">
        <v>86</v>
      </c>
    </row>
    <row r="981" spans="1:13" x14ac:dyDescent="0.4">
      <c r="A981" s="35">
        <v>946</v>
      </c>
      <c r="B981" s="102" t="s">
        <v>80</v>
      </c>
      <c r="C981" s="84" t="s">
        <v>81</v>
      </c>
      <c r="D981" s="84" t="s">
        <v>122</v>
      </c>
      <c r="E981" s="84" t="s">
        <v>173</v>
      </c>
      <c r="F981" s="76">
        <v>45197.732002314799</v>
      </c>
      <c r="G981" s="76">
        <v>45208.681203703702</v>
      </c>
      <c r="H981" s="241"/>
      <c r="I981" s="127">
        <v>45373.681817129604</v>
      </c>
      <c r="J981" s="117">
        <v>45372.670590277798</v>
      </c>
      <c r="K981" s="108" t="s">
        <v>85</v>
      </c>
      <c r="L981" s="101">
        <v>12000</v>
      </c>
      <c r="M981" s="56" t="s">
        <v>86</v>
      </c>
    </row>
    <row r="982" spans="1:13" x14ac:dyDescent="0.4">
      <c r="A982" s="35">
        <v>947</v>
      </c>
      <c r="B982" s="102" t="s">
        <v>80</v>
      </c>
      <c r="C982" s="84" t="s">
        <v>171</v>
      </c>
      <c r="D982" s="84" t="s">
        <v>140</v>
      </c>
      <c r="E982" s="84" t="s">
        <v>173</v>
      </c>
      <c r="F982" s="76">
        <v>45197.737569444398</v>
      </c>
      <c r="G982" s="76">
        <v>45208.6809027778</v>
      </c>
      <c r="H982" s="241"/>
      <c r="I982" s="127">
        <v>45369.668912036999</v>
      </c>
      <c r="J982" s="117">
        <v>45369.426192129598</v>
      </c>
      <c r="K982" s="108" t="s">
        <v>85</v>
      </c>
      <c r="L982" s="101">
        <v>12000</v>
      </c>
      <c r="M982" s="56" t="s">
        <v>86</v>
      </c>
    </row>
    <row r="983" spans="1:13" x14ac:dyDescent="0.4">
      <c r="A983" s="35">
        <v>948</v>
      </c>
      <c r="B983" s="102" t="s">
        <v>80</v>
      </c>
      <c r="C983" s="84" t="s">
        <v>81</v>
      </c>
      <c r="D983" s="84" t="s">
        <v>146</v>
      </c>
      <c r="E983" s="84" t="s">
        <v>173</v>
      </c>
      <c r="F983" s="76">
        <v>45197.732696759304</v>
      </c>
      <c r="G983" s="76">
        <v>45208.681365740696</v>
      </c>
      <c r="H983" s="241"/>
      <c r="I983" s="127">
        <v>45373.686099537001</v>
      </c>
      <c r="J983" s="117">
        <v>45372.670856481498</v>
      </c>
      <c r="K983" s="108" t="s">
        <v>85</v>
      </c>
      <c r="L983" s="101">
        <v>12000</v>
      </c>
      <c r="M983" s="56" t="s">
        <v>86</v>
      </c>
    </row>
    <row r="984" spans="1:13" x14ac:dyDescent="0.4">
      <c r="A984" s="35">
        <v>949</v>
      </c>
      <c r="B984" s="102" t="s">
        <v>80</v>
      </c>
      <c r="C984" s="84" t="s">
        <v>81</v>
      </c>
      <c r="D984" s="84" t="s">
        <v>151</v>
      </c>
      <c r="E984" s="84" t="s">
        <v>173</v>
      </c>
      <c r="F984" s="76">
        <v>45197.7328009259</v>
      </c>
      <c r="G984" s="76">
        <v>45208.681412037004</v>
      </c>
      <c r="H984" s="241"/>
      <c r="I984" s="127">
        <v>45367.424733796302</v>
      </c>
      <c r="J984" s="117">
        <v>45366.4144212963</v>
      </c>
      <c r="K984" s="108" t="s">
        <v>85</v>
      </c>
      <c r="L984" s="101">
        <v>12000</v>
      </c>
      <c r="M984" s="56" t="s">
        <v>86</v>
      </c>
    </row>
    <row r="985" spans="1:13" x14ac:dyDescent="0.4">
      <c r="A985" s="35">
        <v>950</v>
      </c>
      <c r="B985" s="102" t="s">
        <v>80</v>
      </c>
      <c r="C985" s="84" t="s">
        <v>171</v>
      </c>
      <c r="D985" s="84" t="s">
        <v>177</v>
      </c>
      <c r="E985" s="84" t="s">
        <v>173</v>
      </c>
      <c r="F985" s="76">
        <v>45197.736469907402</v>
      </c>
      <c r="G985" s="76">
        <v>45208.680439814802</v>
      </c>
      <c r="H985" s="241"/>
      <c r="I985" s="127">
        <v>45369.667800925898</v>
      </c>
      <c r="J985" s="117">
        <v>45369.421793981499</v>
      </c>
      <c r="K985" s="108" t="s">
        <v>85</v>
      </c>
      <c r="L985" s="101">
        <v>12000</v>
      </c>
      <c r="M985" s="56" t="s">
        <v>86</v>
      </c>
    </row>
    <row r="986" spans="1:13" x14ac:dyDescent="0.4">
      <c r="A986" s="35">
        <v>951</v>
      </c>
      <c r="B986" s="102" t="s">
        <v>80</v>
      </c>
      <c r="C986" s="84" t="s">
        <v>81</v>
      </c>
      <c r="D986" s="84" t="s">
        <v>153</v>
      </c>
      <c r="E986" s="84" t="s">
        <v>173</v>
      </c>
      <c r="F986" s="76">
        <v>45197.732997685198</v>
      </c>
      <c r="G986" s="76">
        <v>45208.681493055599</v>
      </c>
      <c r="H986" s="241"/>
      <c r="I986" s="127">
        <v>45367.431111111102</v>
      </c>
      <c r="J986" s="117">
        <v>45366.414571759298</v>
      </c>
      <c r="K986" s="108" t="s">
        <v>85</v>
      </c>
      <c r="L986" s="101">
        <v>12000</v>
      </c>
      <c r="M986" s="56" t="s">
        <v>86</v>
      </c>
    </row>
    <row r="987" spans="1:13" x14ac:dyDescent="0.4">
      <c r="A987" s="35">
        <v>952</v>
      </c>
      <c r="B987" s="102" t="s">
        <v>80</v>
      </c>
      <c r="C987" s="84" t="s">
        <v>81</v>
      </c>
      <c r="D987" s="84" t="s">
        <v>152</v>
      </c>
      <c r="E987" s="84" t="s">
        <v>173</v>
      </c>
      <c r="F987" s="76">
        <v>45197.732881944401</v>
      </c>
      <c r="G987" s="76">
        <v>45208.681446759299</v>
      </c>
      <c r="H987" s="241"/>
      <c r="I987" s="127">
        <v>45367.422881944403</v>
      </c>
      <c r="J987" s="117">
        <v>45366.414502314801</v>
      </c>
      <c r="K987" s="108" t="s">
        <v>85</v>
      </c>
      <c r="L987" s="101">
        <v>12000</v>
      </c>
      <c r="M987" s="56" t="s">
        <v>86</v>
      </c>
    </row>
    <row r="988" spans="1:13" x14ac:dyDescent="0.4">
      <c r="A988" s="35">
        <v>953</v>
      </c>
      <c r="B988" s="102" t="s">
        <v>80</v>
      </c>
      <c r="C988" s="84" t="s">
        <v>171</v>
      </c>
      <c r="D988" s="84" t="s">
        <v>178</v>
      </c>
      <c r="E988" s="84" t="s">
        <v>173</v>
      </c>
      <c r="F988" s="76">
        <v>45197.736655092602</v>
      </c>
      <c r="G988" s="76">
        <v>45208.680486111101</v>
      </c>
      <c r="H988" s="241"/>
      <c r="I988" s="127">
        <v>45369.667766203696</v>
      </c>
      <c r="J988" s="117">
        <v>45369.421840277799</v>
      </c>
      <c r="K988" s="108" t="s">
        <v>85</v>
      </c>
      <c r="L988" s="101">
        <v>12000</v>
      </c>
      <c r="M988" s="56" t="s">
        <v>86</v>
      </c>
    </row>
    <row r="989" spans="1:13" x14ac:dyDescent="0.4">
      <c r="A989" s="35">
        <v>954</v>
      </c>
      <c r="B989" s="102" t="s">
        <v>80</v>
      </c>
      <c r="C989" s="84" t="s">
        <v>81</v>
      </c>
      <c r="D989" s="84" t="s">
        <v>154</v>
      </c>
      <c r="E989" s="84" t="s">
        <v>173</v>
      </c>
      <c r="F989" s="76">
        <v>45197.733078703699</v>
      </c>
      <c r="G989" s="76">
        <v>45208.681539351899</v>
      </c>
      <c r="H989" s="241"/>
      <c r="I989" s="127">
        <v>45372.586689814802</v>
      </c>
      <c r="J989" s="117">
        <v>45371.718067129601</v>
      </c>
      <c r="K989" s="108" t="s">
        <v>85</v>
      </c>
      <c r="L989" s="101">
        <v>12000</v>
      </c>
      <c r="M989" s="56" t="s">
        <v>86</v>
      </c>
    </row>
    <row r="990" spans="1:13" x14ac:dyDescent="0.4">
      <c r="A990" s="35">
        <v>955</v>
      </c>
      <c r="B990" s="102" t="s">
        <v>80</v>
      </c>
      <c r="C990" s="84" t="s">
        <v>171</v>
      </c>
      <c r="D990" s="84" t="s">
        <v>156</v>
      </c>
      <c r="E990" s="84" t="s">
        <v>173</v>
      </c>
      <c r="F990" s="76">
        <v>45197.737951388903</v>
      </c>
      <c r="G990" s="76">
        <v>45208.681030092601</v>
      </c>
      <c r="H990" s="241"/>
      <c r="I990" s="127">
        <v>45373.697361111103</v>
      </c>
      <c r="J990" s="117">
        <v>45372.670138888898</v>
      </c>
      <c r="K990" s="108" t="s">
        <v>85</v>
      </c>
      <c r="L990" s="101">
        <v>12000</v>
      </c>
      <c r="M990" s="56" t="s">
        <v>86</v>
      </c>
    </row>
    <row r="991" spans="1:13" x14ac:dyDescent="0.4">
      <c r="A991" s="35">
        <v>956</v>
      </c>
      <c r="B991" s="102" t="s">
        <v>80</v>
      </c>
      <c r="C991" s="84" t="s">
        <v>81</v>
      </c>
      <c r="D991" s="84" t="s">
        <v>158</v>
      </c>
      <c r="E991" s="84" t="s">
        <v>173</v>
      </c>
      <c r="F991" s="76">
        <v>45197.733842592599</v>
      </c>
      <c r="G991" s="76">
        <v>45208.681851851798</v>
      </c>
      <c r="H991" s="241"/>
      <c r="I991" s="127">
        <v>45372.582314814797</v>
      </c>
      <c r="J991" s="117">
        <v>45371.7182986111</v>
      </c>
      <c r="K991" s="108" t="s">
        <v>85</v>
      </c>
      <c r="L991" s="101">
        <v>12000</v>
      </c>
      <c r="M991" s="56" t="s">
        <v>86</v>
      </c>
    </row>
    <row r="992" spans="1:13" x14ac:dyDescent="0.4">
      <c r="A992" s="35">
        <v>957</v>
      </c>
      <c r="B992" s="102" t="s">
        <v>80</v>
      </c>
      <c r="C992" s="84" t="s">
        <v>171</v>
      </c>
      <c r="D992" s="84" t="s">
        <v>115</v>
      </c>
      <c r="E992" s="84" t="s">
        <v>173</v>
      </c>
      <c r="F992" s="76">
        <v>45245.725543981498</v>
      </c>
      <c r="G992" s="76">
        <v>45246.666087963</v>
      </c>
      <c r="H992" s="241"/>
      <c r="I992" s="129">
        <v>45329.6575115741</v>
      </c>
      <c r="J992" s="130">
        <v>45340.393969907404</v>
      </c>
      <c r="K992" s="102" t="s">
        <v>184</v>
      </c>
      <c r="L992" s="103">
        <v>16000</v>
      </c>
      <c r="M992" s="56" t="s">
        <v>86</v>
      </c>
    </row>
    <row r="993" spans="1:13" x14ac:dyDescent="0.4">
      <c r="A993" s="35">
        <v>958</v>
      </c>
      <c r="B993" s="102" t="s">
        <v>80</v>
      </c>
      <c r="C993" s="84" t="s">
        <v>171</v>
      </c>
      <c r="D993" s="84" t="s">
        <v>273</v>
      </c>
      <c r="E993" s="84" t="s">
        <v>173</v>
      </c>
      <c r="F993" s="76">
        <v>45246.468425925901</v>
      </c>
      <c r="G993" s="76">
        <v>45246.666817129597</v>
      </c>
      <c r="H993" s="241"/>
      <c r="I993" s="127">
        <v>45353.8960532407</v>
      </c>
      <c r="J993" s="117">
        <v>45352.620613425897</v>
      </c>
      <c r="K993" s="102" t="s">
        <v>184</v>
      </c>
      <c r="L993" s="103">
        <v>16000</v>
      </c>
      <c r="M993" s="56" t="s">
        <v>86</v>
      </c>
    </row>
    <row r="994" spans="1:13" x14ac:dyDescent="0.4">
      <c r="A994" s="35">
        <v>959</v>
      </c>
      <c r="B994" s="102" t="s">
        <v>80</v>
      </c>
      <c r="C994" s="84" t="s">
        <v>171</v>
      </c>
      <c r="D994" s="84" t="s">
        <v>93</v>
      </c>
      <c r="E994" s="84" t="s">
        <v>173</v>
      </c>
      <c r="F994" s="76">
        <v>45245.725358796299</v>
      </c>
      <c r="G994" s="76">
        <v>45246.666226851798</v>
      </c>
      <c r="H994" s="241"/>
      <c r="I994" s="127">
        <v>45353.892141203702</v>
      </c>
      <c r="J994" s="117">
        <v>45352.620578703703</v>
      </c>
      <c r="K994" s="102" t="s">
        <v>184</v>
      </c>
      <c r="L994" s="103">
        <v>16000</v>
      </c>
      <c r="M994" s="56" t="s">
        <v>86</v>
      </c>
    </row>
    <row r="995" spans="1:13" x14ac:dyDescent="0.4">
      <c r="A995" s="35">
        <v>960</v>
      </c>
      <c r="B995" s="102" t="s">
        <v>80</v>
      </c>
      <c r="C995" s="84" t="s">
        <v>171</v>
      </c>
      <c r="D995" s="84" t="s">
        <v>274</v>
      </c>
      <c r="E995" s="84" t="s">
        <v>173</v>
      </c>
      <c r="F995" s="76">
        <v>45245.724074074104</v>
      </c>
      <c r="G995" s="76">
        <v>45246.666273148097</v>
      </c>
      <c r="H995" s="241"/>
      <c r="I995" s="127">
        <v>45353.896018518499</v>
      </c>
      <c r="J995" s="117">
        <v>45352.620659722197</v>
      </c>
      <c r="K995" s="102" t="s">
        <v>184</v>
      </c>
      <c r="L995" s="103">
        <v>16000</v>
      </c>
      <c r="M995" s="56" t="s">
        <v>86</v>
      </c>
    </row>
    <row r="996" spans="1:13" x14ac:dyDescent="0.4">
      <c r="A996" s="35">
        <v>961</v>
      </c>
      <c r="B996" s="102" t="s">
        <v>80</v>
      </c>
      <c r="C996" s="84" t="s">
        <v>171</v>
      </c>
      <c r="D996" s="84" t="s">
        <v>117</v>
      </c>
      <c r="E996" s="84" t="s">
        <v>173</v>
      </c>
      <c r="F996" s="76">
        <v>45245.725196759297</v>
      </c>
      <c r="G996" s="76">
        <v>45246.666168981501</v>
      </c>
      <c r="H996" s="241"/>
      <c r="I996" s="129">
        <v>45329.657800925903</v>
      </c>
      <c r="J996" s="130">
        <v>45340.394166666701</v>
      </c>
      <c r="K996" s="102" t="s">
        <v>184</v>
      </c>
      <c r="L996" s="103">
        <v>16000</v>
      </c>
      <c r="M996" s="56" t="s">
        <v>86</v>
      </c>
    </row>
    <row r="997" spans="1:13" x14ac:dyDescent="0.4">
      <c r="A997" s="35">
        <v>962</v>
      </c>
      <c r="B997" s="102" t="s">
        <v>80</v>
      </c>
      <c r="C997" s="84" t="s">
        <v>171</v>
      </c>
      <c r="D997" s="84" t="s">
        <v>116</v>
      </c>
      <c r="E997" s="84" t="s">
        <v>173</v>
      </c>
      <c r="F997" s="76">
        <v>45246.468124999999</v>
      </c>
      <c r="G997" s="76">
        <v>45246.666666666701</v>
      </c>
      <c r="H997" s="241"/>
      <c r="I997" s="129">
        <v>45329.661597222199</v>
      </c>
      <c r="J997" s="130">
        <v>45340.394062500003</v>
      </c>
      <c r="K997" s="102" t="s">
        <v>184</v>
      </c>
      <c r="L997" s="103">
        <v>16000</v>
      </c>
      <c r="M997" s="56" t="s">
        <v>86</v>
      </c>
    </row>
    <row r="998" spans="1:13" x14ac:dyDescent="0.4">
      <c r="A998" s="35">
        <v>963</v>
      </c>
      <c r="B998" s="102" t="s">
        <v>80</v>
      </c>
      <c r="C998" s="84" t="s">
        <v>171</v>
      </c>
      <c r="D998" s="84" t="s">
        <v>92</v>
      </c>
      <c r="E998" s="84" t="s">
        <v>173</v>
      </c>
      <c r="F998" s="76">
        <v>45246.4690162037</v>
      </c>
      <c r="G998" s="76">
        <v>45246.666724536997</v>
      </c>
      <c r="H998" s="241"/>
      <c r="I998" s="127">
        <v>45353.8921064815</v>
      </c>
      <c r="J998" s="117">
        <v>45352.620532407404</v>
      </c>
      <c r="K998" s="102" t="s">
        <v>184</v>
      </c>
      <c r="L998" s="103">
        <v>16000</v>
      </c>
      <c r="M998" s="56" t="s">
        <v>86</v>
      </c>
    </row>
    <row r="999" spans="1:13" x14ac:dyDescent="0.4">
      <c r="A999" s="35">
        <v>964</v>
      </c>
      <c r="B999" s="102" t="s">
        <v>80</v>
      </c>
      <c r="C999" s="84" t="s">
        <v>171</v>
      </c>
      <c r="D999" s="84" t="s">
        <v>118</v>
      </c>
      <c r="E999" s="84" t="s">
        <v>173</v>
      </c>
      <c r="F999" s="76">
        <v>45246.704490740703</v>
      </c>
      <c r="G999" s="76">
        <v>45247.573449074102</v>
      </c>
      <c r="H999" s="241"/>
      <c r="I999" s="129">
        <v>45329.657835648097</v>
      </c>
      <c r="J999" s="130">
        <v>45340.394247685203</v>
      </c>
      <c r="K999" s="102" t="s">
        <v>184</v>
      </c>
      <c r="L999" s="103">
        <v>16000</v>
      </c>
      <c r="M999" s="56" t="s">
        <v>86</v>
      </c>
    </row>
    <row r="1000" spans="1:13" x14ac:dyDescent="0.4">
      <c r="A1000" s="35">
        <v>965</v>
      </c>
      <c r="B1000" s="102" t="s">
        <v>80</v>
      </c>
      <c r="C1000" s="84" t="s">
        <v>171</v>
      </c>
      <c r="D1000" s="84" t="s">
        <v>141</v>
      </c>
      <c r="E1000" s="84" t="s">
        <v>173</v>
      </c>
      <c r="F1000" s="76">
        <v>45267.732071759303</v>
      </c>
      <c r="G1000" s="76">
        <v>45267.707789351902</v>
      </c>
      <c r="H1000" s="241"/>
      <c r="I1000" s="127">
        <v>45369.673113425903</v>
      </c>
      <c r="J1000" s="117">
        <v>45369.426273148201</v>
      </c>
      <c r="K1000" s="108" t="s">
        <v>85</v>
      </c>
      <c r="L1000" s="101">
        <v>12000</v>
      </c>
      <c r="M1000" s="56" t="s">
        <v>86</v>
      </c>
    </row>
    <row r="1001" spans="1:13" x14ac:dyDescent="0.4">
      <c r="A1001" s="35">
        <v>966</v>
      </c>
      <c r="B1001" s="102" t="s">
        <v>80</v>
      </c>
      <c r="C1001" s="84" t="s">
        <v>171</v>
      </c>
      <c r="D1001" s="84" t="s">
        <v>142</v>
      </c>
      <c r="E1001" s="84" t="s">
        <v>173</v>
      </c>
      <c r="F1001" s="76">
        <v>45267.732210648202</v>
      </c>
      <c r="G1001" s="76">
        <v>45267.707835648202</v>
      </c>
      <c r="H1001" s="241"/>
      <c r="I1001" s="127">
        <v>45369.677280092597</v>
      </c>
      <c r="J1001" s="117">
        <v>45369.426319444399</v>
      </c>
      <c r="K1001" s="108" t="s">
        <v>85</v>
      </c>
      <c r="L1001" s="101">
        <v>12000</v>
      </c>
      <c r="M1001" s="56" t="s">
        <v>86</v>
      </c>
    </row>
    <row r="1002" spans="1:13" x14ac:dyDescent="0.4">
      <c r="A1002" s="35">
        <v>967</v>
      </c>
      <c r="B1002" s="102" t="s">
        <v>80</v>
      </c>
      <c r="C1002" s="84" t="s">
        <v>171</v>
      </c>
      <c r="D1002" s="84" t="s">
        <v>143</v>
      </c>
      <c r="E1002" s="84" t="s">
        <v>173</v>
      </c>
      <c r="F1002" s="76">
        <v>45267.732314814799</v>
      </c>
      <c r="G1002" s="76">
        <v>45267.707870370403</v>
      </c>
      <c r="H1002" s="241"/>
      <c r="I1002" s="127">
        <v>45369.673078703701</v>
      </c>
      <c r="J1002" s="117">
        <v>45369.426365740699</v>
      </c>
      <c r="K1002" s="108" t="s">
        <v>85</v>
      </c>
      <c r="L1002" s="101">
        <v>12000</v>
      </c>
      <c r="M1002" s="56" t="s">
        <v>86</v>
      </c>
    </row>
    <row r="1003" spans="1:13" x14ac:dyDescent="0.4">
      <c r="A1003" s="35">
        <v>968</v>
      </c>
      <c r="B1003" s="102" t="s">
        <v>80</v>
      </c>
      <c r="C1003" s="84" t="s">
        <v>171</v>
      </c>
      <c r="D1003" s="84" t="s">
        <v>144</v>
      </c>
      <c r="E1003" s="84" t="s">
        <v>173</v>
      </c>
      <c r="F1003" s="76">
        <v>45267.7323958333</v>
      </c>
      <c r="G1003" s="76">
        <v>45267.707916666703</v>
      </c>
      <c r="H1003" s="241"/>
      <c r="I1003" s="127">
        <v>45369.677280092597</v>
      </c>
      <c r="J1003" s="117">
        <v>45369.426423611098</v>
      </c>
      <c r="K1003" s="108" t="s">
        <v>85</v>
      </c>
      <c r="L1003" s="101">
        <v>12000</v>
      </c>
      <c r="M1003" s="56" t="s">
        <v>86</v>
      </c>
    </row>
    <row r="1004" spans="1:13" x14ac:dyDescent="0.4">
      <c r="A1004" s="35">
        <v>969</v>
      </c>
      <c r="B1004" s="102" t="s">
        <v>80</v>
      </c>
      <c r="C1004" s="84" t="s">
        <v>171</v>
      </c>
      <c r="D1004" s="84" t="s">
        <v>145</v>
      </c>
      <c r="E1004" s="84" t="s">
        <v>173</v>
      </c>
      <c r="F1004" s="76">
        <v>45267.732465277797</v>
      </c>
      <c r="G1004" s="76">
        <v>45267.707951388897</v>
      </c>
      <c r="H1004" s="241"/>
      <c r="I1004" s="127">
        <v>45369.673958333296</v>
      </c>
      <c r="J1004" s="117">
        <v>45369.426481481503</v>
      </c>
      <c r="K1004" s="108" t="s">
        <v>85</v>
      </c>
      <c r="L1004" s="101">
        <v>12000</v>
      </c>
      <c r="M1004" s="56" t="s">
        <v>86</v>
      </c>
    </row>
    <row r="1005" spans="1:13" x14ac:dyDescent="0.4">
      <c r="A1005" s="35">
        <v>970</v>
      </c>
      <c r="B1005" s="102" t="s">
        <v>80</v>
      </c>
      <c r="C1005" s="84" t="s">
        <v>171</v>
      </c>
      <c r="D1005" s="84" t="s">
        <v>146</v>
      </c>
      <c r="E1005" s="84" t="s">
        <v>173</v>
      </c>
      <c r="F1005" s="76">
        <v>45267.733414351896</v>
      </c>
      <c r="G1005" s="76">
        <v>45267.707997685196</v>
      </c>
      <c r="H1005" s="241"/>
      <c r="I1005" s="127">
        <v>45369.673958333296</v>
      </c>
      <c r="J1005" s="117">
        <v>45369.426620370403</v>
      </c>
      <c r="K1005" s="108" t="s">
        <v>85</v>
      </c>
      <c r="L1005" s="101">
        <v>12000</v>
      </c>
      <c r="M1005" s="56" t="s">
        <v>86</v>
      </c>
    </row>
    <row r="1006" spans="1:13" x14ac:dyDescent="0.4">
      <c r="A1006" s="35">
        <v>971</v>
      </c>
      <c r="B1006" s="102" t="s">
        <v>80</v>
      </c>
      <c r="C1006" s="84" t="s">
        <v>171</v>
      </c>
      <c r="D1006" s="84" t="s">
        <v>147</v>
      </c>
      <c r="E1006" s="84" t="s">
        <v>173</v>
      </c>
      <c r="F1006" s="76">
        <v>45267.7335185185</v>
      </c>
      <c r="G1006" s="76">
        <v>45267.708043981504</v>
      </c>
      <c r="H1006" s="241"/>
      <c r="I1006" s="127">
        <v>45369.6781597222</v>
      </c>
      <c r="J1006" s="117">
        <v>45369.426712963003</v>
      </c>
      <c r="K1006" s="108" t="s">
        <v>85</v>
      </c>
      <c r="L1006" s="101">
        <v>12000</v>
      </c>
      <c r="M1006" s="56" t="s">
        <v>86</v>
      </c>
    </row>
    <row r="1007" spans="1:13" x14ac:dyDescent="0.4">
      <c r="A1007" s="35">
        <v>972</v>
      </c>
      <c r="B1007" s="102" t="s">
        <v>80</v>
      </c>
      <c r="C1007" s="84" t="s">
        <v>171</v>
      </c>
      <c r="D1007" s="84" t="s">
        <v>148</v>
      </c>
      <c r="E1007" s="84" t="s">
        <v>173</v>
      </c>
      <c r="F1007" s="76">
        <v>45267.733645833301</v>
      </c>
      <c r="G1007" s="76">
        <v>45267.708078703698</v>
      </c>
      <c r="H1007" s="241"/>
      <c r="I1007" s="127">
        <v>45369.6781597222</v>
      </c>
      <c r="J1007" s="117">
        <v>45369.426782407398</v>
      </c>
      <c r="K1007" s="108" t="s">
        <v>85</v>
      </c>
      <c r="L1007" s="101">
        <v>12000</v>
      </c>
      <c r="M1007" s="56" t="s">
        <v>86</v>
      </c>
    </row>
    <row r="1008" spans="1:13" x14ac:dyDescent="0.4">
      <c r="A1008" s="35">
        <v>973</v>
      </c>
      <c r="B1008" s="102" t="s">
        <v>80</v>
      </c>
      <c r="C1008" s="84" t="s">
        <v>171</v>
      </c>
      <c r="D1008" s="84" t="s">
        <v>149</v>
      </c>
      <c r="E1008" s="84" t="s">
        <v>173</v>
      </c>
      <c r="F1008" s="76">
        <v>45267.733773148102</v>
      </c>
      <c r="G1008" s="76">
        <v>45267.708113425899</v>
      </c>
      <c r="H1008" s="241"/>
      <c r="I1008" s="127">
        <v>45369.678287037001</v>
      </c>
      <c r="J1008" s="117">
        <v>45369.427175925899</v>
      </c>
      <c r="K1008" s="108" t="s">
        <v>85</v>
      </c>
      <c r="L1008" s="101">
        <v>12000</v>
      </c>
      <c r="M1008" s="56" t="s">
        <v>86</v>
      </c>
    </row>
    <row r="1009" spans="1:13" x14ac:dyDescent="0.4">
      <c r="A1009" s="35">
        <v>974</v>
      </c>
      <c r="B1009" s="102" t="s">
        <v>80</v>
      </c>
      <c r="C1009" s="84" t="s">
        <v>171</v>
      </c>
      <c r="D1009" s="84" t="s">
        <v>150</v>
      </c>
      <c r="E1009" s="84" t="s">
        <v>173</v>
      </c>
      <c r="F1009" s="76">
        <v>45267.733865740702</v>
      </c>
      <c r="G1009" s="76">
        <v>45267.708159722199</v>
      </c>
      <c r="H1009" s="241"/>
      <c r="I1009" s="127">
        <v>45369.678287037001</v>
      </c>
      <c r="J1009" s="117">
        <v>45369.427222222199</v>
      </c>
      <c r="K1009" s="108" t="s">
        <v>85</v>
      </c>
      <c r="L1009" s="101">
        <v>12000</v>
      </c>
      <c r="M1009" s="56" t="s">
        <v>86</v>
      </c>
    </row>
    <row r="1010" spans="1:13" x14ac:dyDescent="0.4">
      <c r="A1010" s="35">
        <v>975</v>
      </c>
      <c r="B1010" s="102" t="s">
        <v>80</v>
      </c>
      <c r="C1010" s="84" t="s">
        <v>171</v>
      </c>
      <c r="D1010" s="84" t="s">
        <v>151</v>
      </c>
      <c r="E1010" s="84" t="s">
        <v>173</v>
      </c>
      <c r="F1010" s="76">
        <v>45267.733946759297</v>
      </c>
      <c r="G1010" s="76">
        <v>45267.7081944444</v>
      </c>
      <c r="H1010" s="241"/>
      <c r="I1010" s="127">
        <v>45369.682349536997</v>
      </c>
      <c r="J1010" s="117">
        <v>45369.427268518499</v>
      </c>
      <c r="K1010" s="108" t="s">
        <v>85</v>
      </c>
      <c r="L1010" s="101">
        <v>12000</v>
      </c>
      <c r="M1010" s="56" t="s">
        <v>86</v>
      </c>
    </row>
    <row r="1011" spans="1:13" x14ac:dyDescent="0.4">
      <c r="A1011" s="35">
        <v>976</v>
      </c>
      <c r="B1011" s="102" t="s">
        <v>80</v>
      </c>
      <c r="C1011" s="84" t="s">
        <v>171</v>
      </c>
      <c r="D1011" s="84" t="s">
        <v>152</v>
      </c>
      <c r="E1011" s="84" t="s">
        <v>173</v>
      </c>
      <c r="F1011" s="76">
        <v>45267.734050925901</v>
      </c>
      <c r="G1011" s="76">
        <v>45267.7082407407</v>
      </c>
      <c r="H1011" s="241"/>
      <c r="I1011" s="127">
        <v>45369.682395833297</v>
      </c>
      <c r="J1011" s="117">
        <v>45369.4273032407</v>
      </c>
      <c r="K1011" s="108" t="s">
        <v>85</v>
      </c>
      <c r="L1011" s="101">
        <v>12000</v>
      </c>
      <c r="M1011" s="56" t="s">
        <v>86</v>
      </c>
    </row>
    <row r="1012" spans="1:13" x14ac:dyDescent="0.4">
      <c r="A1012" s="35">
        <v>977</v>
      </c>
      <c r="B1012" s="102" t="s">
        <v>80</v>
      </c>
      <c r="C1012" s="84" t="s">
        <v>171</v>
      </c>
      <c r="D1012" s="84" t="s">
        <v>153</v>
      </c>
      <c r="E1012" s="84" t="s">
        <v>173</v>
      </c>
      <c r="F1012" s="76">
        <v>45267.734189814801</v>
      </c>
      <c r="G1012" s="76">
        <v>45267.708275463003</v>
      </c>
      <c r="H1012" s="241"/>
      <c r="I1012" s="127">
        <v>45369.6823842593</v>
      </c>
      <c r="J1012" s="117">
        <v>45369.427349537</v>
      </c>
      <c r="K1012" s="108" t="s">
        <v>85</v>
      </c>
      <c r="L1012" s="101">
        <v>12000</v>
      </c>
      <c r="M1012" s="56" t="s">
        <v>86</v>
      </c>
    </row>
    <row r="1013" spans="1:13" x14ac:dyDescent="0.4">
      <c r="A1013" s="35">
        <v>978</v>
      </c>
      <c r="B1013" s="102" t="s">
        <v>80</v>
      </c>
      <c r="C1013" s="84" t="s">
        <v>171</v>
      </c>
      <c r="D1013" s="84" t="s">
        <v>154</v>
      </c>
      <c r="E1013" s="84" t="s">
        <v>173</v>
      </c>
      <c r="F1013" s="76">
        <v>45267.7342824074</v>
      </c>
      <c r="G1013" s="76">
        <v>45267.708333333299</v>
      </c>
      <c r="H1013" s="241"/>
      <c r="I1013" s="127">
        <v>45373.693136574097</v>
      </c>
      <c r="J1013" s="117">
        <v>45372.670069444401</v>
      </c>
      <c r="K1013" s="108" t="s">
        <v>85</v>
      </c>
      <c r="L1013" s="101">
        <v>12000</v>
      </c>
      <c r="M1013" s="56" t="s">
        <v>86</v>
      </c>
    </row>
    <row r="1014" spans="1:13" x14ac:dyDescent="0.4">
      <c r="A1014" s="35">
        <v>979</v>
      </c>
      <c r="B1014" s="102" t="s">
        <v>80</v>
      </c>
      <c r="C1014" s="84" t="s">
        <v>171</v>
      </c>
      <c r="D1014" s="84" t="s">
        <v>206</v>
      </c>
      <c r="E1014" s="84" t="s">
        <v>173</v>
      </c>
      <c r="F1014" s="76">
        <v>45267.734432870398</v>
      </c>
      <c r="G1014" s="76">
        <v>45267.708379629599</v>
      </c>
      <c r="H1014" s="241"/>
      <c r="I1014" s="127">
        <v>45373.693124999998</v>
      </c>
      <c r="J1014" s="117">
        <v>45372.670185185198</v>
      </c>
      <c r="K1014" s="102" t="s">
        <v>184</v>
      </c>
      <c r="L1014" s="103">
        <v>16000</v>
      </c>
      <c r="M1014" s="56" t="s">
        <v>86</v>
      </c>
    </row>
    <row r="1015" spans="1:13" x14ac:dyDescent="0.4">
      <c r="A1015" s="35">
        <v>980</v>
      </c>
      <c r="B1015" s="102" t="s">
        <v>80</v>
      </c>
      <c r="C1015" s="84" t="s">
        <v>171</v>
      </c>
      <c r="D1015" s="84" t="s">
        <v>203</v>
      </c>
      <c r="E1015" s="84" t="s">
        <v>173</v>
      </c>
      <c r="F1015" s="76">
        <v>45267.734525462998</v>
      </c>
      <c r="G1015" s="76">
        <v>45267.708414351902</v>
      </c>
      <c r="H1015" s="241"/>
      <c r="I1015" s="127">
        <v>45373.694398148102</v>
      </c>
      <c r="J1015" s="117">
        <v>45372.670219907399</v>
      </c>
      <c r="K1015" s="108" t="s">
        <v>85</v>
      </c>
      <c r="L1015" s="101">
        <v>12000</v>
      </c>
      <c r="M1015" s="56" t="s">
        <v>86</v>
      </c>
    </row>
    <row r="1016" spans="1:13" x14ac:dyDescent="0.4">
      <c r="A1016" s="35">
        <v>981</v>
      </c>
      <c r="B1016" s="102" t="s">
        <v>80</v>
      </c>
      <c r="C1016" s="84" t="s">
        <v>171</v>
      </c>
      <c r="D1016" s="84" t="s">
        <v>157</v>
      </c>
      <c r="E1016" s="84" t="s">
        <v>173</v>
      </c>
      <c r="F1016" s="76">
        <v>45267.734618055598</v>
      </c>
      <c r="G1016" s="76">
        <v>45267.708449074104</v>
      </c>
      <c r="H1016" s="241"/>
      <c r="I1016" s="127">
        <v>45373.694479166697</v>
      </c>
      <c r="J1016" s="117">
        <v>45372.670266203699</v>
      </c>
      <c r="K1016" s="108" t="s">
        <v>85</v>
      </c>
      <c r="L1016" s="101">
        <v>12000</v>
      </c>
      <c r="M1016" s="56" t="s">
        <v>86</v>
      </c>
    </row>
    <row r="1017" spans="1:13" x14ac:dyDescent="0.4">
      <c r="A1017" s="35">
        <v>982</v>
      </c>
      <c r="B1017" s="102" t="s">
        <v>80</v>
      </c>
      <c r="C1017" s="84" t="s">
        <v>171</v>
      </c>
      <c r="D1017" s="84" t="s">
        <v>158</v>
      </c>
      <c r="E1017" s="84" t="s">
        <v>173</v>
      </c>
      <c r="F1017" s="76">
        <v>45267.7346875</v>
      </c>
      <c r="G1017" s="76">
        <v>45267.7085069444</v>
      </c>
      <c r="H1017" s="241"/>
      <c r="I1017" s="127">
        <v>45373.6945486111</v>
      </c>
      <c r="J1017" s="117">
        <v>45372.6703009259</v>
      </c>
      <c r="K1017" s="108" t="s">
        <v>85</v>
      </c>
      <c r="L1017" s="101">
        <v>12000</v>
      </c>
      <c r="M1017" s="56" t="s">
        <v>86</v>
      </c>
    </row>
    <row r="1018" spans="1:13" x14ac:dyDescent="0.4">
      <c r="A1018" s="35">
        <v>983</v>
      </c>
      <c r="B1018" s="102" t="s">
        <v>80</v>
      </c>
      <c r="C1018" s="84" t="s">
        <v>171</v>
      </c>
      <c r="D1018" s="84" t="s">
        <v>159</v>
      </c>
      <c r="E1018" s="84" t="s">
        <v>173</v>
      </c>
      <c r="F1018" s="76">
        <v>45267.734791666699</v>
      </c>
      <c r="G1018" s="76">
        <v>45267.708541666703</v>
      </c>
      <c r="H1018" s="241"/>
      <c r="I1018" s="127">
        <v>45373.696585648097</v>
      </c>
      <c r="J1018" s="117">
        <v>45372.670335648101</v>
      </c>
      <c r="K1018" s="108" t="s">
        <v>85</v>
      </c>
      <c r="L1018" s="101">
        <v>12000</v>
      </c>
      <c r="M1018" s="56" t="s">
        <v>86</v>
      </c>
    </row>
    <row r="1019" spans="1:13" x14ac:dyDescent="0.4">
      <c r="A1019" s="35">
        <v>984</v>
      </c>
      <c r="B1019" s="102" t="s">
        <v>80</v>
      </c>
      <c r="C1019" s="84" t="s">
        <v>171</v>
      </c>
      <c r="D1019" s="84" t="s">
        <v>160</v>
      </c>
      <c r="E1019" s="84" t="s">
        <v>173</v>
      </c>
      <c r="F1019" s="76">
        <v>45267.734884259298</v>
      </c>
      <c r="G1019" s="76">
        <v>45267.708611111098</v>
      </c>
      <c r="H1019" s="241"/>
      <c r="I1019" s="127">
        <v>45373.6965740741</v>
      </c>
      <c r="J1019" s="117">
        <v>45372.670370370397</v>
      </c>
      <c r="K1019" s="108" t="s">
        <v>85</v>
      </c>
      <c r="L1019" s="101">
        <v>12000</v>
      </c>
      <c r="M1019" s="56" t="s">
        <v>86</v>
      </c>
    </row>
    <row r="1020" spans="1:13" x14ac:dyDescent="0.4">
      <c r="A1020" s="35">
        <v>985</v>
      </c>
      <c r="B1020" s="102" t="s">
        <v>80</v>
      </c>
      <c r="C1020" s="84" t="s">
        <v>171</v>
      </c>
      <c r="D1020" s="84" t="s">
        <v>161</v>
      </c>
      <c r="E1020" s="84" t="s">
        <v>173</v>
      </c>
      <c r="F1020" s="76">
        <v>45267.734976851898</v>
      </c>
      <c r="G1020" s="76">
        <v>45267.708668981497</v>
      </c>
      <c r="H1020" s="241"/>
      <c r="I1020" s="127">
        <v>45373.6965740741</v>
      </c>
      <c r="J1020" s="117">
        <v>45372.670405092598</v>
      </c>
      <c r="K1020" s="108" t="s">
        <v>85</v>
      </c>
      <c r="L1020" s="101">
        <v>12000</v>
      </c>
      <c r="M1020" s="56" t="s">
        <v>86</v>
      </c>
    </row>
    <row r="1021" spans="1:13" x14ac:dyDescent="0.4">
      <c r="A1021" s="35">
        <v>986</v>
      </c>
      <c r="B1021" s="102" t="s">
        <v>80</v>
      </c>
      <c r="C1021" s="84" t="s">
        <v>171</v>
      </c>
      <c r="D1021" s="84" t="s">
        <v>162</v>
      </c>
      <c r="E1021" s="84" t="s">
        <v>173</v>
      </c>
      <c r="F1021" s="76">
        <v>45267.7350925926</v>
      </c>
      <c r="G1021" s="76">
        <v>45267.708703703698</v>
      </c>
      <c r="H1021" s="241"/>
      <c r="I1021" s="127">
        <v>45373.696550925903</v>
      </c>
      <c r="J1021" s="117">
        <v>45372.670451388898</v>
      </c>
      <c r="K1021" s="108" t="s">
        <v>85</v>
      </c>
      <c r="L1021" s="101">
        <v>12000</v>
      </c>
      <c r="M1021" s="56" t="s">
        <v>86</v>
      </c>
    </row>
    <row r="1022" spans="1:13" x14ac:dyDescent="0.4">
      <c r="A1022" s="35">
        <v>987</v>
      </c>
      <c r="B1022" s="102" t="s">
        <v>80</v>
      </c>
      <c r="C1022" s="84" t="s">
        <v>180</v>
      </c>
      <c r="D1022" s="84" t="s">
        <v>108</v>
      </c>
      <c r="E1022" s="84" t="s">
        <v>83</v>
      </c>
      <c r="F1022" s="76">
        <v>45300.401759259301</v>
      </c>
      <c r="G1022" s="76">
        <v>45301.637314814798</v>
      </c>
      <c r="H1022" s="241"/>
      <c r="I1022" s="128"/>
      <c r="J1022" s="53"/>
      <c r="K1022" s="102" t="s">
        <v>184</v>
      </c>
      <c r="L1022" s="103">
        <v>16000</v>
      </c>
      <c r="M1022" s="56" t="s">
        <v>86</v>
      </c>
    </row>
    <row r="1023" spans="1:13" x14ac:dyDescent="0.4">
      <c r="A1023" s="35">
        <v>988</v>
      </c>
      <c r="B1023" s="102" t="s">
        <v>80</v>
      </c>
      <c r="C1023" s="84" t="s">
        <v>180</v>
      </c>
      <c r="D1023" s="84" t="s">
        <v>114</v>
      </c>
      <c r="E1023" s="84" t="s">
        <v>83</v>
      </c>
      <c r="F1023" s="76">
        <v>45300.401284722197</v>
      </c>
      <c r="G1023" s="76">
        <v>45301.637719907398</v>
      </c>
      <c r="H1023" s="241"/>
      <c r="I1023" s="128"/>
      <c r="J1023" s="53"/>
      <c r="K1023" s="102" t="s">
        <v>184</v>
      </c>
      <c r="L1023" s="103">
        <v>16000</v>
      </c>
      <c r="M1023" s="56" t="s">
        <v>86</v>
      </c>
    </row>
    <row r="1024" spans="1:13" x14ac:dyDescent="0.4">
      <c r="A1024" s="35">
        <v>989</v>
      </c>
      <c r="B1024" s="102" t="s">
        <v>80</v>
      </c>
      <c r="C1024" s="84" t="s">
        <v>180</v>
      </c>
      <c r="D1024" s="84" t="s">
        <v>151</v>
      </c>
      <c r="E1024" s="84" t="s">
        <v>173</v>
      </c>
      <c r="F1024" s="76">
        <v>45304.668738425898</v>
      </c>
      <c r="G1024" s="76">
        <v>45306.624259259297</v>
      </c>
      <c r="H1024" s="241"/>
      <c r="I1024" s="127">
        <v>45345.697824074101</v>
      </c>
      <c r="J1024" s="117">
        <v>45344.5733680556</v>
      </c>
      <c r="K1024" s="108" t="s">
        <v>85</v>
      </c>
      <c r="L1024" s="101">
        <v>12000</v>
      </c>
      <c r="M1024" s="56" t="s">
        <v>86</v>
      </c>
    </row>
    <row r="1025" spans="1:13" x14ac:dyDescent="0.4">
      <c r="A1025" s="35">
        <v>990</v>
      </c>
      <c r="B1025" s="102" t="s">
        <v>80</v>
      </c>
      <c r="C1025" s="84" t="s">
        <v>180</v>
      </c>
      <c r="D1025" s="84" t="s">
        <v>152</v>
      </c>
      <c r="E1025" s="84" t="s">
        <v>173</v>
      </c>
      <c r="F1025" s="76">
        <v>45304.668842592597</v>
      </c>
      <c r="G1025" s="76">
        <v>45306.626782407402</v>
      </c>
      <c r="H1025" s="241"/>
      <c r="I1025" s="127">
        <v>45345.697754629597</v>
      </c>
      <c r="J1025" s="117">
        <v>45344.573414351798</v>
      </c>
      <c r="K1025" s="108" t="s">
        <v>85</v>
      </c>
      <c r="L1025" s="101">
        <v>12000</v>
      </c>
      <c r="M1025" s="56" t="s">
        <v>86</v>
      </c>
    </row>
    <row r="1026" spans="1:13" x14ac:dyDescent="0.4">
      <c r="A1026" s="35">
        <v>991</v>
      </c>
      <c r="B1026" s="102" t="s">
        <v>80</v>
      </c>
      <c r="C1026" s="84" t="s">
        <v>180</v>
      </c>
      <c r="D1026" s="84" t="s">
        <v>153</v>
      </c>
      <c r="E1026" s="84" t="s">
        <v>173</v>
      </c>
      <c r="F1026" s="76">
        <v>45304.668958333299</v>
      </c>
      <c r="G1026" s="76">
        <v>45306.626967592601</v>
      </c>
      <c r="H1026" s="241"/>
      <c r="I1026" s="127">
        <v>45345.664224537002</v>
      </c>
      <c r="J1026" s="117">
        <v>45344.573460648098</v>
      </c>
      <c r="K1026" s="108" t="s">
        <v>85</v>
      </c>
      <c r="L1026" s="101">
        <v>12000</v>
      </c>
      <c r="M1026" s="56" t="s">
        <v>86</v>
      </c>
    </row>
    <row r="1027" spans="1:13" x14ac:dyDescent="0.4">
      <c r="A1027" s="35">
        <v>992</v>
      </c>
      <c r="B1027" s="102" t="s">
        <v>80</v>
      </c>
      <c r="C1027" s="84" t="s">
        <v>180</v>
      </c>
      <c r="D1027" s="84" t="s">
        <v>154</v>
      </c>
      <c r="E1027" s="84" t="s">
        <v>173</v>
      </c>
      <c r="F1027" s="76">
        <v>45304.669074074103</v>
      </c>
      <c r="G1027" s="76">
        <v>45306.626967592601</v>
      </c>
      <c r="H1027" s="241"/>
      <c r="I1027" s="127">
        <v>45345.664224537002</v>
      </c>
      <c r="J1027" s="117">
        <v>45344.573495370401</v>
      </c>
      <c r="K1027" s="108" t="s">
        <v>85</v>
      </c>
      <c r="L1027" s="101">
        <v>12000</v>
      </c>
      <c r="M1027" s="56" t="s">
        <v>86</v>
      </c>
    </row>
    <row r="1028" spans="1:13" x14ac:dyDescent="0.4">
      <c r="A1028" s="35">
        <v>993</v>
      </c>
      <c r="B1028" s="102" t="s">
        <v>80</v>
      </c>
      <c r="C1028" s="84" t="s">
        <v>180</v>
      </c>
      <c r="D1028" s="84" t="s">
        <v>206</v>
      </c>
      <c r="E1028" s="84" t="s">
        <v>173</v>
      </c>
      <c r="F1028" s="76">
        <v>45304.669189814798</v>
      </c>
      <c r="G1028" s="76">
        <v>45306.6269328704</v>
      </c>
      <c r="H1028" s="241"/>
      <c r="I1028" s="127">
        <v>45354.675717592603</v>
      </c>
      <c r="J1028" s="117">
        <v>45355.753275463001</v>
      </c>
      <c r="K1028" s="102" t="s">
        <v>184</v>
      </c>
      <c r="L1028" s="103">
        <v>16000</v>
      </c>
      <c r="M1028" s="56" t="s">
        <v>86</v>
      </c>
    </row>
    <row r="1029" spans="1:13" x14ac:dyDescent="0.4">
      <c r="A1029" s="35">
        <v>994</v>
      </c>
      <c r="B1029" s="102" t="s">
        <v>80</v>
      </c>
      <c r="C1029" s="84" t="s">
        <v>180</v>
      </c>
      <c r="D1029" s="84" t="s">
        <v>203</v>
      </c>
      <c r="E1029" s="84" t="s">
        <v>173</v>
      </c>
      <c r="F1029" s="76">
        <v>45304.669328703698</v>
      </c>
      <c r="G1029" s="76">
        <v>45306.627013888901</v>
      </c>
      <c r="H1029" s="241"/>
      <c r="I1029" s="127">
        <v>45354.675717592603</v>
      </c>
      <c r="J1029" s="117">
        <v>45355.753321759301</v>
      </c>
      <c r="K1029" s="108" t="s">
        <v>85</v>
      </c>
      <c r="L1029" s="101">
        <v>12000</v>
      </c>
      <c r="M1029" s="56" t="s">
        <v>86</v>
      </c>
    </row>
    <row r="1030" spans="1:13" x14ac:dyDescent="0.4">
      <c r="A1030" s="35">
        <v>995</v>
      </c>
      <c r="B1030" s="102" t="s">
        <v>80</v>
      </c>
      <c r="C1030" s="84" t="s">
        <v>180</v>
      </c>
      <c r="D1030" s="84" t="s">
        <v>157</v>
      </c>
      <c r="E1030" s="84" t="s">
        <v>173</v>
      </c>
      <c r="F1030" s="76">
        <v>45304.669432870403</v>
      </c>
      <c r="G1030" s="76">
        <v>45306.627060185201</v>
      </c>
      <c r="H1030" s="241"/>
      <c r="I1030" s="127">
        <v>45403.617534722202</v>
      </c>
      <c r="J1030" s="117">
        <v>45404.396481481497</v>
      </c>
      <c r="K1030" s="108" t="s">
        <v>85</v>
      </c>
      <c r="L1030" s="101">
        <v>12000</v>
      </c>
      <c r="M1030" s="56" t="s">
        <v>86</v>
      </c>
    </row>
    <row r="1031" spans="1:13" x14ac:dyDescent="0.4">
      <c r="A1031" s="35">
        <v>996</v>
      </c>
      <c r="B1031" s="102" t="s">
        <v>80</v>
      </c>
      <c r="C1031" s="84" t="s">
        <v>180</v>
      </c>
      <c r="D1031" s="84" t="s">
        <v>158</v>
      </c>
      <c r="E1031" s="84" t="s">
        <v>173</v>
      </c>
      <c r="F1031" s="76">
        <v>45304.669699074097</v>
      </c>
      <c r="G1031" s="76">
        <v>45306.627152777801</v>
      </c>
      <c r="H1031" s="241"/>
      <c r="I1031" s="127">
        <v>45451.624201388899</v>
      </c>
      <c r="J1031" s="117">
        <v>45450.543761574103</v>
      </c>
      <c r="K1031" s="108" t="s">
        <v>85</v>
      </c>
      <c r="L1031" s="101">
        <v>12000</v>
      </c>
      <c r="M1031" s="56" t="s">
        <v>86</v>
      </c>
    </row>
    <row r="1032" spans="1:13" x14ac:dyDescent="0.4">
      <c r="A1032" s="35">
        <v>997</v>
      </c>
      <c r="B1032" s="102" t="s">
        <v>80</v>
      </c>
      <c r="C1032" s="84" t="s">
        <v>180</v>
      </c>
      <c r="D1032" s="84" t="s">
        <v>82</v>
      </c>
      <c r="E1032" s="84" t="s">
        <v>173</v>
      </c>
      <c r="F1032" s="76">
        <v>45307.681388888901</v>
      </c>
      <c r="G1032" s="76">
        <v>45313.620289351798</v>
      </c>
      <c r="H1032" s="241"/>
      <c r="I1032" s="129">
        <v>45331.702905092599</v>
      </c>
      <c r="J1032" s="130">
        <v>45340.394340277802</v>
      </c>
      <c r="K1032" s="102" t="s">
        <v>184</v>
      </c>
      <c r="L1032" s="103">
        <v>16000</v>
      </c>
      <c r="M1032" s="56" t="s">
        <v>86</v>
      </c>
    </row>
    <row r="1033" spans="1:13" x14ac:dyDescent="0.4">
      <c r="A1033" s="35">
        <v>998</v>
      </c>
      <c r="B1033" s="102" t="s">
        <v>80</v>
      </c>
      <c r="C1033" s="84" t="s">
        <v>180</v>
      </c>
      <c r="D1033" s="84" t="s">
        <v>87</v>
      </c>
      <c r="E1033" s="84" t="s">
        <v>173</v>
      </c>
      <c r="F1033" s="76">
        <v>45307.711307870399</v>
      </c>
      <c r="G1033" s="76">
        <v>45313.620370370401</v>
      </c>
      <c r="H1033" s="241"/>
      <c r="I1033" s="127">
        <v>45345.7440740741</v>
      </c>
      <c r="J1033" s="117">
        <v>45344.573275463001</v>
      </c>
      <c r="K1033" s="102" t="s">
        <v>184</v>
      </c>
      <c r="L1033" s="103">
        <v>16000</v>
      </c>
      <c r="M1033" s="56" t="s">
        <v>86</v>
      </c>
    </row>
    <row r="1034" spans="1:13" x14ac:dyDescent="0.4">
      <c r="A1034" s="35">
        <v>999</v>
      </c>
      <c r="B1034" s="102" t="s">
        <v>80</v>
      </c>
      <c r="C1034" s="84" t="s">
        <v>180</v>
      </c>
      <c r="D1034" s="84" t="s">
        <v>88</v>
      </c>
      <c r="E1034" s="84" t="s">
        <v>173</v>
      </c>
      <c r="F1034" s="76">
        <v>45307.681203703702</v>
      </c>
      <c r="G1034" s="76">
        <v>45313.620486111096</v>
      </c>
      <c r="H1034" s="241"/>
      <c r="I1034" s="127">
        <v>45345.748217592598</v>
      </c>
      <c r="J1034" s="117">
        <v>45344.573333333297</v>
      </c>
      <c r="K1034" s="102" t="s">
        <v>184</v>
      </c>
      <c r="L1034" s="103">
        <v>16000</v>
      </c>
      <c r="M1034" s="56" t="s">
        <v>86</v>
      </c>
    </row>
    <row r="1035" spans="1:13" x14ac:dyDescent="0.4">
      <c r="A1035" s="35">
        <v>1000</v>
      </c>
      <c r="B1035" s="102" t="s">
        <v>80</v>
      </c>
      <c r="C1035" s="84" t="s">
        <v>180</v>
      </c>
      <c r="D1035" s="84" t="s">
        <v>89</v>
      </c>
      <c r="E1035" s="84" t="s">
        <v>173</v>
      </c>
      <c r="F1035" s="76">
        <v>45307.708402777796</v>
      </c>
      <c r="G1035" s="76">
        <v>45313.620567129597</v>
      </c>
      <c r="H1035" s="241"/>
      <c r="I1035" s="127">
        <v>45346.676979166703</v>
      </c>
      <c r="J1035" s="117">
        <v>45345.633449074099</v>
      </c>
      <c r="K1035" s="102" t="s">
        <v>184</v>
      </c>
      <c r="L1035" s="103">
        <v>16000</v>
      </c>
      <c r="M1035" s="56" t="s">
        <v>86</v>
      </c>
    </row>
    <row r="1036" spans="1:13" x14ac:dyDescent="0.4">
      <c r="A1036" s="35">
        <v>1001</v>
      </c>
      <c r="B1036" s="102" t="s">
        <v>80</v>
      </c>
      <c r="C1036" s="84" t="s">
        <v>180</v>
      </c>
      <c r="D1036" s="84" t="s">
        <v>155</v>
      </c>
      <c r="E1036" s="84" t="s">
        <v>173</v>
      </c>
      <c r="F1036" s="76">
        <v>45307.681030092601</v>
      </c>
      <c r="G1036" s="76">
        <v>45313.620763888903</v>
      </c>
      <c r="H1036" s="241"/>
      <c r="I1036" s="131">
        <v>45353.668749999997</v>
      </c>
      <c r="J1036" s="76">
        <v>45352.620763888903</v>
      </c>
      <c r="K1036" s="108" t="s">
        <v>85</v>
      </c>
      <c r="L1036" s="101">
        <v>12000</v>
      </c>
      <c r="M1036" s="56" t="s">
        <v>86</v>
      </c>
    </row>
    <row r="1037" spans="1:13" x14ac:dyDescent="0.4">
      <c r="A1037" s="35">
        <v>1002</v>
      </c>
      <c r="B1037" s="102" t="s">
        <v>80</v>
      </c>
      <c r="C1037" s="84" t="s">
        <v>180</v>
      </c>
      <c r="D1037" s="84" t="s">
        <v>156</v>
      </c>
      <c r="E1037" s="84" t="s">
        <v>173</v>
      </c>
      <c r="F1037" s="76">
        <v>45307.717245370397</v>
      </c>
      <c r="G1037" s="76">
        <v>45313.620659722197</v>
      </c>
      <c r="H1037" s="241"/>
      <c r="I1037" s="127">
        <v>45346.693958333301</v>
      </c>
      <c r="J1037" s="117">
        <v>45345.633136574099</v>
      </c>
      <c r="K1037" s="92" t="s">
        <v>85</v>
      </c>
      <c r="L1037" s="101">
        <v>12000</v>
      </c>
      <c r="M1037" s="56" t="s">
        <v>86</v>
      </c>
    </row>
    <row r="1038" spans="1:13" x14ac:dyDescent="0.4">
      <c r="A1038" s="35">
        <v>1003</v>
      </c>
      <c r="B1038" s="102" t="s">
        <v>80</v>
      </c>
      <c r="C1038" s="84" t="s">
        <v>180</v>
      </c>
      <c r="D1038" s="84" t="s">
        <v>225</v>
      </c>
      <c r="E1038" s="84" t="s">
        <v>173</v>
      </c>
      <c r="F1038" s="76">
        <v>45344.5924884259</v>
      </c>
      <c r="G1038" s="76">
        <v>45348.550416666701</v>
      </c>
      <c r="H1038" s="241"/>
      <c r="I1038" s="127">
        <v>45368.903009259302</v>
      </c>
      <c r="J1038" s="117">
        <v>45369.427384259303</v>
      </c>
      <c r="K1038" s="102" t="s">
        <v>184</v>
      </c>
      <c r="L1038" s="103">
        <v>16000</v>
      </c>
      <c r="M1038" s="56" t="s">
        <v>86</v>
      </c>
    </row>
    <row r="1039" spans="1:13" x14ac:dyDescent="0.4">
      <c r="A1039" s="35">
        <v>1004</v>
      </c>
      <c r="B1039" s="102" t="s">
        <v>80</v>
      </c>
      <c r="C1039" s="84" t="s">
        <v>180</v>
      </c>
      <c r="D1039" s="84" t="s">
        <v>228</v>
      </c>
      <c r="E1039" s="84" t="s">
        <v>173</v>
      </c>
      <c r="F1039" s="76">
        <v>45344.468668981499</v>
      </c>
      <c r="G1039" s="76">
        <v>45348.550462963001</v>
      </c>
      <c r="H1039" s="241"/>
      <c r="I1039" s="127">
        <v>45368.902905092596</v>
      </c>
      <c r="J1039" s="117">
        <v>45369.427430555603</v>
      </c>
      <c r="K1039" s="102" t="s">
        <v>184</v>
      </c>
      <c r="L1039" s="103">
        <v>16000</v>
      </c>
      <c r="M1039" s="56" t="s">
        <v>86</v>
      </c>
    </row>
    <row r="1040" spans="1:13" x14ac:dyDescent="0.4">
      <c r="A1040" s="35">
        <v>1005</v>
      </c>
      <c r="B1040" s="102" t="s">
        <v>80</v>
      </c>
      <c r="C1040" s="84" t="s">
        <v>180</v>
      </c>
      <c r="D1040" s="84" t="s">
        <v>115</v>
      </c>
      <c r="E1040" s="84" t="s">
        <v>173</v>
      </c>
      <c r="F1040" s="76">
        <v>45344.591435185197</v>
      </c>
      <c r="G1040" s="76">
        <v>45348.550509259301</v>
      </c>
      <c r="H1040" s="241"/>
      <c r="I1040" s="127">
        <v>45368.902905092596</v>
      </c>
      <c r="J1040" s="117">
        <v>45369.427476851903</v>
      </c>
      <c r="K1040" s="102" t="s">
        <v>184</v>
      </c>
      <c r="L1040" s="103">
        <v>16000</v>
      </c>
      <c r="M1040" s="56" t="s">
        <v>86</v>
      </c>
    </row>
    <row r="1041" spans="1:13" x14ac:dyDescent="0.4">
      <c r="A1041" s="35">
        <v>1006</v>
      </c>
      <c r="B1041" s="102" t="s">
        <v>80</v>
      </c>
      <c r="C1041" s="84" t="s">
        <v>180</v>
      </c>
      <c r="D1041" s="84" t="s">
        <v>116</v>
      </c>
      <c r="E1041" s="84" t="s">
        <v>173</v>
      </c>
      <c r="F1041" s="76">
        <v>45344.468067129601</v>
      </c>
      <c r="G1041" s="76">
        <v>45348.550555555601</v>
      </c>
      <c r="H1041" s="241"/>
      <c r="I1041" s="127">
        <v>45368.907141203701</v>
      </c>
      <c r="J1041" s="117">
        <v>45369.427523148202</v>
      </c>
      <c r="K1041" s="102" t="s">
        <v>184</v>
      </c>
      <c r="L1041" s="103">
        <v>16000</v>
      </c>
      <c r="M1041" s="56" t="s">
        <v>86</v>
      </c>
    </row>
    <row r="1042" spans="1:13" x14ac:dyDescent="0.4">
      <c r="A1042" s="35">
        <v>1007</v>
      </c>
      <c r="B1042" s="102" t="s">
        <v>80</v>
      </c>
      <c r="C1042" s="84" t="s">
        <v>180</v>
      </c>
      <c r="D1042" s="84" t="s">
        <v>117</v>
      </c>
      <c r="E1042" s="84" t="s">
        <v>173</v>
      </c>
      <c r="F1042" s="76">
        <v>45344.5770486111</v>
      </c>
      <c r="G1042" s="76">
        <v>45348.550601851799</v>
      </c>
      <c r="H1042" s="241"/>
      <c r="I1042" s="127">
        <v>45372.625798611101</v>
      </c>
      <c r="J1042" s="117">
        <v>45371.717800925901</v>
      </c>
      <c r="K1042" s="102" t="s">
        <v>184</v>
      </c>
      <c r="L1042" s="103">
        <v>16000</v>
      </c>
      <c r="M1042" s="56" t="s">
        <v>86</v>
      </c>
    </row>
    <row r="1043" spans="1:13" x14ac:dyDescent="0.4">
      <c r="A1043" s="35">
        <v>1008</v>
      </c>
      <c r="B1043" s="102" t="s">
        <v>80</v>
      </c>
      <c r="C1043" s="84" t="s">
        <v>180</v>
      </c>
      <c r="D1043" s="84" t="s">
        <v>118</v>
      </c>
      <c r="E1043" s="84" t="s">
        <v>173</v>
      </c>
      <c r="F1043" s="76">
        <v>45344.467708333301</v>
      </c>
      <c r="G1043" s="76">
        <v>45348.550648148099</v>
      </c>
      <c r="H1043" s="241"/>
      <c r="I1043" s="127">
        <v>45372.625972222202</v>
      </c>
      <c r="J1043" s="117">
        <v>45371.7178472222</v>
      </c>
      <c r="K1043" s="102" t="s">
        <v>184</v>
      </c>
      <c r="L1043" s="103">
        <v>16000</v>
      </c>
      <c r="M1043" s="56" t="s">
        <v>86</v>
      </c>
    </row>
    <row r="1044" spans="1:13" x14ac:dyDescent="0.4">
      <c r="A1044" s="35">
        <v>1009</v>
      </c>
      <c r="B1044" s="102" t="s">
        <v>80</v>
      </c>
      <c r="C1044" s="84" t="s">
        <v>180</v>
      </c>
      <c r="D1044" s="84" t="s">
        <v>90</v>
      </c>
      <c r="E1044" s="84" t="s">
        <v>173</v>
      </c>
      <c r="F1044" s="76">
        <v>45344.466701388897</v>
      </c>
      <c r="G1044" s="76">
        <v>45348.550694444399</v>
      </c>
      <c r="H1044" s="241"/>
      <c r="I1044" s="127">
        <v>45372.624479166698</v>
      </c>
      <c r="J1044" s="117">
        <v>45371.717916666697</v>
      </c>
      <c r="K1044" s="102" t="s">
        <v>184</v>
      </c>
      <c r="L1044" s="103">
        <v>16000</v>
      </c>
      <c r="M1044" s="56" t="s">
        <v>86</v>
      </c>
    </row>
    <row r="1045" spans="1:13" x14ac:dyDescent="0.4">
      <c r="A1045" s="35">
        <v>1010</v>
      </c>
      <c r="B1045" s="102" t="s">
        <v>80</v>
      </c>
      <c r="C1045" s="84" t="s">
        <v>180</v>
      </c>
      <c r="D1045" s="84" t="s">
        <v>91</v>
      </c>
      <c r="E1045" s="84" t="s">
        <v>173</v>
      </c>
      <c r="F1045" s="76">
        <v>45344.586620370399</v>
      </c>
      <c r="G1045" s="76">
        <v>45348.550729166702</v>
      </c>
      <c r="H1045" s="241"/>
      <c r="I1045" s="127">
        <v>45372.6262152778</v>
      </c>
      <c r="J1045" s="117">
        <v>45371.717962962997</v>
      </c>
      <c r="K1045" s="102" t="s">
        <v>184</v>
      </c>
      <c r="L1045" s="103">
        <v>16000</v>
      </c>
      <c r="M1045" s="56" t="s">
        <v>86</v>
      </c>
    </row>
    <row r="1046" spans="1:13" x14ac:dyDescent="0.4">
      <c r="A1046" s="35">
        <v>1011</v>
      </c>
      <c r="B1046" s="102" t="s">
        <v>80</v>
      </c>
      <c r="C1046" s="84" t="s">
        <v>180</v>
      </c>
      <c r="D1046" s="84" t="s">
        <v>92</v>
      </c>
      <c r="E1046" s="84" t="s">
        <v>173</v>
      </c>
      <c r="F1046" s="76">
        <v>45344.466030092597</v>
      </c>
      <c r="G1046" s="76">
        <v>45348.550775463002</v>
      </c>
      <c r="H1046" s="241"/>
      <c r="I1046" s="127">
        <v>45372.625798611101</v>
      </c>
      <c r="J1046" s="117">
        <v>45371.718020833301</v>
      </c>
      <c r="K1046" s="102" t="s">
        <v>184</v>
      </c>
      <c r="L1046" s="103">
        <v>16000</v>
      </c>
      <c r="M1046" s="56" t="s">
        <v>86</v>
      </c>
    </row>
    <row r="1047" spans="1:13" x14ac:dyDescent="0.4">
      <c r="A1047" s="35">
        <v>1012</v>
      </c>
      <c r="B1047" s="102" t="s">
        <v>80</v>
      </c>
      <c r="C1047" s="84" t="s">
        <v>180</v>
      </c>
      <c r="D1047" s="84" t="s">
        <v>93</v>
      </c>
      <c r="E1047" s="84" t="s">
        <v>173</v>
      </c>
      <c r="F1047" s="76">
        <v>45344.589641203696</v>
      </c>
      <c r="G1047" s="76">
        <v>45348.550821759301</v>
      </c>
      <c r="H1047" s="241"/>
      <c r="I1047" s="127">
        <v>45368.902974536999</v>
      </c>
      <c r="J1047" s="117">
        <v>45369.427581018499</v>
      </c>
      <c r="K1047" s="102" t="s">
        <v>184</v>
      </c>
      <c r="L1047" s="103">
        <v>16000</v>
      </c>
      <c r="M1047" s="56" t="s">
        <v>86</v>
      </c>
    </row>
    <row r="1048" spans="1:13" x14ac:dyDescent="0.4">
      <c r="A1048" s="35">
        <v>1013</v>
      </c>
      <c r="B1048" s="102" t="s">
        <v>80</v>
      </c>
      <c r="C1048" s="84" t="s">
        <v>180</v>
      </c>
      <c r="D1048" s="84" t="s">
        <v>273</v>
      </c>
      <c r="E1048" s="84" t="s">
        <v>173</v>
      </c>
      <c r="F1048" s="76">
        <v>45344.467303240701</v>
      </c>
      <c r="G1048" s="76">
        <v>45348.550856481503</v>
      </c>
      <c r="H1048" s="241"/>
      <c r="I1048" s="127">
        <v>45368.907175925902</v>
      </c>
      <c r="J1048" s="117">
        <v>45369.427627314799</v>
      </c>
      <c r="K1048" s="102" t="s">
        <v>184</v>
      </c>
      <c r="L1048" s="103">
        <v>16000</v>
      </c>
      <c r="M1048" s="56" t="s">
        <v>86</v>
      </c>
    </row>
    <row r="1049" spans="1:13" x14ac:dyDescent="0.4">
      <c r="A1049" s="35">
        <v>1014</v>
      </c>
      <c r="B1049" s="102" t="s">
        <v>80</v>
      </c>
      <c r="C1049" s="84" t="s">
        <v>180</v>
      </c>
      <c r="D1049" s="84" t="s">
        <v>274</v>
      </c>
      <c r="E1049" s="84" t="s">
        <v>173</v>
      </c>
      <c r="F1049" s="76">
        <v>45344.576516203699</v>
      </c>
      <c r="G1049" s="76">
        <v>45348.550902777803</v>
      </c>
      <c r="H1049" s="241"/>
      <c r="I1049" s="127">
        <v>45368.907141203701</v>
      </c>
      <c r="J1049" s="117">
        <v>45369.427766203698</v>
      </c>
      <c r="K1049" s="102" t="s">
        <v>184</v>
      </c>
      <c r="L1049" s="103">
        <v>16000</v>
      </c>
      <c r="M1049" s="56" t="s">
        <v>86</v>
      </c>
    </row>
    <row r="1050" spans="1:13" x14ac:dyDescent="0.4">
      <c r="A1050" s="35">
        <v>1015</v>
      </c>
      <c r="B1050" s="102" t="s">
        <v>80</v>
      </c>
      <c r="C1050" s="84" t="s">
        <v>180</v>
      </c>
      <c r="D1050" s="84" t="s">
        <v>123</v>
      </c>
      <c r="E1050" s="84" t="s">
        <v>173</v>
      </c>
      <c r="F1050" s="76">
        <v>45344.466944444401</v>
      </c>
      <c r="G1050" s="76">
        <v>45348.550949074102</v>
      </c>
      <c r="H1050" s="241"/>
      <c r="I1050" s="127">
        <v>45368.907175925902</v>
      </c>
      <c r="J1050" s="117">
        <v>45369.427939814799</v>
      </c>
      <c r="K1050" s="102" t="s">
        <v>184</v>
      </c>
      <c r="L1050" s="103">
        <v>16000</v>
      </c>
      <c r="M1050" s="56" t="s">
        <v>86</v>
      </c>
    </row>
    <row r="1051" spans="1:13" x14ac:dyDescent="0.4">
      <c r="A1051" s="35">
        <v>1016</v>
      </c>
      <c r="B1051" s="102" t="s">
        <v>80</v>
      </c>
      <c r="C1051" s="84" t="s">
        <v>180</v>
      </c>
      <c r="D1051" s="84" t="s">
        <v>124</v>
      </c>
      <c r="E1051" s="84" t="s">
        <v>173</v>
      </c>
      <c r="F1051" s="76">
        <v>45344.589178240698</v>
      </c>
      <c r="G1051" s="76">
        <v>45348.551064814797</v>
      </c>
      <c r="H1051" s="241"/>
      <c r="I1051" s="127">
        <v>45368.907523148097</v>
      </c>
      <c r="J1051" s="117">
        <v>45369.427986111099</v>
      </c>
      <c r="K1051" s="102" t="s">
        <v>184</v>
      </c>
      <c r="L1051" s="103">
        <v>16000</v>
      </c>
      <c r="M1051" s="56" t="s">
        <v>86</v>
      </c>
    </row>
    <row r="1052" spans="1:13" x14ac:dyDescent="0.4">
      <c r="A1052" s="35">
        <v>1017</v>
      </c>
      <c r="B1052" s="102" t="s">
        <v>80</v>
      </c>
      <c r="C1052" s="84" t="s">
        <v>171</v>
      </c>
      <c r="D1052" s="84" t="s">
        <v>225</v>
      </c>
      <c r="E1052" s="84" t="s">
        <v>173</v>
      </c>
      <c r="F1052" s="76">
        <v>45344.466261574104</v>
      </c>
      <c r="G1052" s="76">
        <v>45348.550057870401</v>
      </c>
      <c r="H1052" s="241"/>
      <c r="I1052" s="127">
        <v>45374.687337962998</v>
      </c>
      <c r="J1052" s="117">
        <v>45373.682858796303</v>
      </c>
      <c r="K1052" s="102" t="s">
        <v>184</v>
      </c>
      <c r="L1052" s="103">
        <v>16000</v>
      </c>
      <c r="M1052" s="56" t="s">
        <v>86</v>
      </c>
    </row>
    <row r="1053" spans="1:13" x14ac:dyDescent="0.4">
      <c r="A1053" s="35">
        <v>1018</v>
      </c>
      <c r="B1053" s="102" t="s">
        <v>80</v>
      </c>
      <c r="C1053" s="84" t="s">
        <v>171</v>
      </c>
      <c r="D1053" s="84" t="s">
        <v>228</v>
      </c>
      <c r="E1053" s="84" t="s">
        <v>173</v>
      </c>
      <c r="F1053" s="76">
        <v>45344.587685185201</v>
      </c>
      <c r="G1053" s="76">
        <v>45348.550092592603</v>
      </c>
      <c r="H1053" s="241"/>
      <c r="I1053" s="127">
        <v>45374.687349537002</v>
      </c>
      <c r="J1053" s="117">
        <v>45373.682893518497</v>
      </c>
      <c r="K1053" s="102" t="s">
        <v>184</v>
      </c>
      <c r="L1053" s="103">
        <v>16000</v>
      </c>
      <c r="M1053" s="56" t="s">
        <v>86</v>
      </c>
    </row>
    <row r="1054" spans="1:13" x14ac:dyDescent="0.4">
      <c r="A1054" s="35">
        <v>1019</v>
      </c>
      <c r="B1054" s="102" t="s">
        <v>80</v>
      </c>
      <c r="C1054" s="84" t="s">
        <v>171</v>
      </c>
      <c r="D1054" s="84" t="s">
        <v>113</v>
      </c>
      <c r="E1054" s="84" t="s">
        <v>173</v>
      </c>
      <c r="F1054" s="76">
        <v>45344.4664583333</v>
      </c>
      <c r="G1054" s="76">
        <v>45348.550138888902</v>
      </c>
      <c r="H1054" s="241"/>
      <c r="I1054" s="127">
        <v>45374.691666666702</v>
      </c>
      <c r="J1054" s="117">
        <v>45373.682928240698</v>
      </c>
      <c r="K1054" s="102" t="s">
        <v>184</v>
      </c>
      <c r="L1054" s="103">
        <v>16000</v>
      </c>
      <c r="M1054" s="56" t="s">
        <v>86</v>
      </c>
    </row>
    <row r="1055" spans="1:13" x14ac:dyDescent="0.4">
      <c r="A1055" s="35">
        <v>1020</v>
      </c>
      <c r="B1055" s="102" t="s">
        <v>80</v>
      </c>
      <c r="C1055" s="84" t="s">
        <v>171</v>
      </c>
      <c r="D1055" s="84" t="s">
        <v>114</v>
      </c>
      <c r="E1055" s="84" t="s">
        <v>173</v>
      </c>
      <c r="F1055" s="76">
        <v>45344.467881944402</v>
      </c>
      <c r="G1055" s="76">
        <v>45348.550173611096</v>
      </c>
      <c r="H1055" s="241"/>
      <c r="I1055" s="127">
        <v>45369.439340277801</v>
      </c>
      <c r="J1055" s="117">
        <v>45369.412465277797</v>
      </c>
      <c r="K1055" s="102" t="s">
        <v>184</v>
      </c>
      <c r="L1055" s="103">
        <v>16000</v>
      </c>
      <c r="M1055" s="56" t="s">
        <v>86</v>
      </c>
    </row>
    <row r="1056" spans="1:13" x14ac:dyDescent="0.4">
      <c r="A1056" s="35">
        <v>1021</v>
      </c>
      <c r="B1056" s="102" t="s">
        <v>80</v>
      </c>
      <c r="C1056" s="84" t="s">
        <v>171</v>
      </c>
      <c r="D1056" s="84" t="s">
        <v>88</v>
      </c>
      <c r="E1056" s="84" t="s">
        <v>173</v>
      </c>
      <c r="F1056" s="76">
        <v>45344.588194444397</v>
      </c>
      <c r="G1056" s="76">
        <v>45348.550243055601</v>
      </c>
      <c r="H1056" s="241"/>
      <c r="I1056" s="127">
        <v>45372.609027777798</v>
      </c>
      <c r="J1056" s="117">
        <v>45371.7176273148</v>
      </c>
      <c r="K1056" s="102" t="s">
        <v>184</v>
      </c>
      <c r="L1056" s="103">
        <v>16000</v>
      </c>
      <c r="M1056" s="56" t="s">
        <v>86</v>
      </c>
    </row>
    <row r="1057" spans="1:13" x14ac:dyDescent="0.4">
      <c r="A1057" s="35">
        <v>1022</v>
      </c>
      <c r="B1057" s="102" t="s">
        <v>80</v>
      </c>
      <c r="C1057" s="84" t="s">
        <v>171</v>
      </c>
      <c r="D1057" s="84" t="s">
        <v>89</v>
      </c>
      <c r="E1057" s="84" t="s">
        <v>173</v>
      </c>
      <c r="F1057" s="76">
        <v>45344.467430555596</v>
      </c>
      <c r="G1057" s="76">
        <v>45348.550289351799</v>
      </c>
      <c r="H1057" s="241"/>
      <c r="I1057" s="127">
        <v>45372.609305555598</v>
      </c>
      <c r="J1057" s="117">
        <v>45371.717685185198</v>
      </c>
      <c r="K1057" s="102" t="s">
        <v>184</v>
      </c>
      <c r="L1057" s="103">
        <v>16000</v>
      </c>
      <c r="M1057" s="56" t="s">
        <v>86</v>
      </c>
    </row>
    <row r="1058" spans="1:13" x14ac:dyDescent="0.4">
      <c r="A1058" s="35">
        <v>1023</v>
      </c>
      <c r="B1058" s="102" t="s">
        <v>80</v>
      </c>
      <c r="C1058" s="84" t="s">
        <v>171</v>
      </c>
      <c r="D1058" s="84" t="s">
        <v>90</v>
      </c>
      <c r="E1058" s="84" t="s">
        <v>173</v>
      </c>
      <c r="F1058" s="76">
        <v>45344.590104166702</v>
      </c>
      <c r="G1058" s="76">
        <v>45348.550335648099</v>
      </c>
      <c r="H1058" s="241"/>
      <c r="I1058" s="127">
        <v>45372.613263888903</v>
      </c>
      <c r="J1058" s="117">
        <v>45371.717719907399</v>
      </c>
      <c r="K1058" s="102" t="s">
        <v>184</v>
      </c>
      <c r="L1058" s="103">
        <v>16000</v>
      </c>
      <c r="M1058" s="56" t="s">
        <v>86</v>
      </c>
    </row>
    <row r="1059" spans="1:13" x14ac:dyDescent="0.4">
      <c r="A1059" s="35">
        <v>1024</v>
      </c>
      <c r="B1059" s="102" t="s">
        <v>80</v>
      </c>
      <c r="C1059" s="84" t="s">
        <v>171</v>
      </c>
      <c r="D1059" s="84" t="s">
        <v>91</v>
      </c>
      <c r="E1059" s="84" t="s">
        <v>173</v>
      </c>
      <c r="F1059" s="76">
        <v>45344.4683449074</v>
      </c>
      <c r="G1059" s="76">
        <v>45348.550370370402</v>
      </c>
      <c r="H1059" s="241"/>
      <c r="I1059" s="127">
        <v>45372.613229166702</v>
      </c>
      <c r="J1059" s="117">
        <v>45371.717754629601</v>
      </c>
      <c r="K1059" s="102" t="s">
        <v>184</v>
      </c>
      <c r="L1059" s="103">
        <v>16000</v>
      </c>
      <c r="M1059" s="56" t="s">
        <v>86</v>
      </c>
    </row>
    <row r="1060" spans="1:13" x14ac:dyDescent="0.4">
      <c r="A1060" s="35">
        <v>1025</v>
      </c>
      <c r="B1060" s="102" t="s">
        <v>80</v>
      </c>
      <c r="C1060" s="84" t="s">
        <v>180</v>
      </c>
      <c r="D1060" s="84" t="s">
        <v>159</v>
      </c>
      <c r="E1060" s="84" t="s">
        <v>173</v>
      </c>
      <c r="F1060" s="76">
        <v>45489</v>
      </c>
      <c r="G1060" s="76">
        <v>45492.653055555602</v>
      </c>
      <c r="H1060" s="241"/>
      <c r="I1060" s="127">
        <v>45515.729942129597</v>
      </c>
      <c r="J1060" s="117">
        <v>45517.365092592598</v>
      </c>
      <c r="K1060" s="92" t="s">
        <v>85</v>
      </c>
      <c r="L1060" s="101">
        <v>12000</v>
      </c>
      <c r="M1060" s="56" t="s">
        <v>86</v>
      </c>
    </row>
    <row r="1061" spans="1:13" ht="13.75" customHeight="1" x14ac:dyDescent="0.4">
      <c r="A1061" s="35">
        <v>1026</v>
      </c>
      <c r="B1061" s="102" t="s">
        <v>80</v>
      </c>
      <c r="C1061" s="84" t="s">
        <v>180</v>
      </c>
      <c r="D1061" s="84" t="s">
        <v>160</v>
      </c>
      <c r="E1061" s="84" t="s">
        <v>173</v>
      </c>
      <c r="F1061" s="76">
        <v>45489</v>
      </c>
      <c r="G1061" s="76">
        <v>45492.653124999997</v>
      </c>
      <c r="H1061" s="241"/>
      <c r="I1061" s="127">
        <v>45499.600914351897</v>
      </c>
      <c r="J1061" s="117">
        <v>45498.390509259298</v>
      </c>
      <c r="K1061" s="92" t="s">
        <v>85</v>
      </c>
      <c r="L1061" s="101">
        <v>12000</v>
      </c>
      <c r="M1061" s="56" t="s">
        <v>86</v>
      </c>
    </row>
    <row r="1062" spans="1:13" ht="17.399999999999999" customHeight="1" x14ac:dyDescent="0.4">
      <c r="A1062" s="35">
        <v>1027</v>
      </c>
      <c r="B1062" s="102" t="s">
        <v>80</v>
      </c>
      <c r="C1062" s="84" t="s">
        <v>180</v>
      </c>
      <c r="D1062" s="84" t="s">
        <v>161</v>
      </c>
      <c r="E1062" s="84" t="s">
        <v>173</v>
      </c>
      <c r="F1062" s="76">
        <v>45505</v>
      </c>
      <c r="G1062" s="76">
        <v>45506.415347222202</v>
      </c>
      <c r="H1062" s="241"/>
      <c r="I1062" s="127">
        <v>45522.677268518499</v>
      </c>
      <c r="J1062" s="117">
        <v>45524.3804282407</v>
      </c>
      <c r="K1062" s="92" t="s">
        <v>85</v>
      </c>
      <c r="L1062" s="101">
        <v>12000</v>
      </c>
      <c r="M1062" s="56" t="s">
        <v>86</v>
      </c>
    </row>
    <row r="1063" spans="1:13" ht="13.3" customHeight="1" x14ac:dyDescent="0.4">
      <c r="A1063" s="35">
        <v>1028</v>
      </c>
      <c r="B1063" s="102" t="s">
        <v>80</v>
      </c>
      <c r="C1063" s="84" t="s">
        <v>180</v>
      </c>
      <c r="D1063" s="84" t="s">
        <v>162</v>
      </c>
      <c r="E1063" s="84" t="s">
        <v>173</v>
      </c>
      <c r="F1063" s="76">
        <v>45505</v>
      </c>
      <c r="G1063" s="76">
        <v>45506.415451388901</v>
      </c>
      <c r="H1063" s="242"/>
      <c r="I1063" s="127">
        <v>45522.677268518499</v>
      </c>
      <c r="J1063" s="117">
        <v>45524.380474537</v>
      </c>
      <c r="K1063" s="92" t="s">
        <v>85</v>
      </c>
      <c r="L1063" s="101">
        <v>12000</v>
      </c>
      <c r="M1063" s="56" t="s">
        <v>86</v>
      </c>
    </row>
    <row r="1064" spans="1:13" x14ac:dyDescent="0.4">
      <c r="A1064" s="266">
        <v>1029</v>
      </c>
      <c r="B1064" s="261" t="s">
        <v>80</v>
      </c>
      <c r="C1064" s="247" t="s">
        <v>180</v>
      </c>
      <c r="D1064" s="247" t="s">
        <v>105</v>
      </c>
      <c r="E1064" s="84" t="s">
        <v>83</v>
      </c>
      <c r="F1064" s="76">
        <v>45699.398634259298</v>
      </c>
      <c r="G1064" s="122">
        <v>45699.740138888897</v>
      </c>
      <c r="H1064" s="240" t="s">
        <v>183</v>
      </c>
      <c r="I1064" s="127">
        <v>45701.916712963</v>
      </c>
      <c r="J1064" s="117">
        <v>45700.916828703703</v>
      </c>
      <c r="K1064" s="102" t="s">
        <v>184</v>
      </c>
      <c r="L1064" s="103">
        <v>16000</v>
      </c>
      <c r="M1064" s="56" t="s">
        <v>86</v>
      </c>
    </row>
    <row r="1065" spans="1:13" x14ac:dyDescent="0.4">
      <c r="A1065" s="267"/>
      <c r="B1065" s="262"/>
      <c r="C1065" s="248"/>
      <c r="D1065" s="248"/>
      <c r="E1065" s="84" t="s">
        <v>182</v>
      </c>
      <c r="F1065" s="76">
        <v>45707.882129629601</v>
      </c>
      <c r="G1065" s="122">
        <v>45706.882245370398</v>
      </c>
      <c r="H1065" s="241"/>
      <c r="I1065" s="127"/>
      <c r="J1065" s="117"/>
      <c r="K1065" s="102"/>
      <c r="L1065" s="103"/>
      <c r="M1065" s="56"/>
    </row>
    <row r="1066" spans="1:13" x14ac:dyDescent="0.4">
      <c r="A1066" s="266">
        <v>1030</v>
      </c>
      <c r="B1066" s="261" t="s">
        <v>80</v>
      </c>
      <c r="C1066" s="247" t="s">
        <v>180</v>
      </c>
      <c r="D1066" s="247" t="s">
        <v>106</v>
      </c>
      <c r="E1066" s="84" t="s">
        <v>83</v>
      </c>
      <c r="F1066" s="76">
        <v>45699.400081018503</v>
      </c>
      <c r="G1066" s="122">
        <v>45699.740219907399</v>
      </c>
      <c r="H1066" s="241"/>
      <c r="I1066" s="127">
        <v>45701.916712963</v>
      </c>
      <c r="J1066" s="117">
        <v>45700.916828703703</v>
      </c>
      <c r="K1066" s="102" t="s">
        <v>184</v>
      </c>
      <c r="L1066" s="103">
        <v>16000</v>
      </c>
      <c r="M1066" s="56" t="s">
        <v>86</v>
      </c>
    </row>
    <row r="1067" spans="1:13" x14ac:dyDescent="0.4">
      <c r="A1067" s="267">
        <v>1023</v>
      </c>
      <c r="B1067" s="262"/>
      <c r="C1067" s="248"/>
      <c r="D1067" s="248"/>
      <c r="E1067" s="84" t="s">
        <v>182</v>
      </c>
      <c r="F1067" s="76">
        <v>45707.882129629601</v>
      </c>
      <c r="G1067" s="122">
        <v>45706.882245370398</v>
      </c>
      <c r="H1067" s="241"/>
      <c r="I1067" s="127"/>
      <c r="J1067" s="117"/>
      <c r="K1067" s="102" t="s">
        <v>184</v>
      </c>
      <c r="L1067" s="103">
        <v>16000</v>
      </c>
      <c r="M1067" s="56" t="s">
        <v>86</v>
      </c>
    </row>
    <row r="1068" spans="1:13" x14ac:dyDescent="0.4">
      <c r="A1068" s="35">
        <v>1031</v>
      </c>
      <c r="B1068" s="132" t="s">
        <v>80</v>
      </c>
      <c r="C1068" s="132" t="s">
        <v>171</v>
      </c>
      <c r="D1068" s="132" t="s">
        <v>193</v>
      </c>
      <c r="E1068" s="133" t="s">
        <v>83</v>
      </c>
      <c r="F1068" s="134">
        <v>45822.720694444397</v>
      </c>
      <c r="G1068" s="135">
        <v>45825.647141203699</v>
      </c>
      <c r="H1068" s="241"/>
      <c r="I1068" s="136">
        <v>45827.833437499998</v>
      </c>
      <c r="J1068" s="134">
        <v>45826.833460648202</v>
      </c>
      <c r="K1068" s="102" t="s">
        <v>184</v>
      </c>
      <c r="L1068" s="102">
        <v>16000</v>
      </c>
      <c r="M1068" s="51" t="s">
        <v>86</v>
      </c>
    </row>
    <row r="1069" spans="1:13" s="29" customFormat="1" x14ac:dyDescent="0.4">
      <c r="A1069" s="35">
        <v>1032</v>
      </c>
      <c r="B1069" s="137" t="s">
        <v>80</v>
      </c>
      <c r="C1069" s="137" t="s">
        <v>180</v>
      </c>
      <c r="D1069" s="137" t="s">
        <v>191</v>
      </c>
      <c r="E1069" s="133" t="s">
        <v>83</v>
      </c>
      <c r="F1069" s="138">
        <v>45822.720694444397</v>
      </c>
      <c r="G1069" s="139">
        <v>45825.6472685185</v>
      </c>
      <c r="H1069" s="241"/>
      <c r="I1069" s="136">
        <v>45827.833437499998</v>
      </c>
      <c r="J1069" s="134">
        <v>45826.833460648202</v>
      </c>
      <c r="K1069" s="140" t="s">
        <v>184</v>
      </c>
      <c r="L1069" s="140">
        <v>16000</v>
      </c>
      <c r="M1069" s="104" t="s">
        <v>86</v>
      </c>
    </row>
    <row r="1070" spans="1:13" s="29" customFormat="1" x14ac:dyDescent="0.4">
      <c r="A1070" s="35">
        <v>1033</v>
      </c>
      <c r="B1070" s="137" t="s">
        <v>80</v>
      </c>
      <c r="C1070" s="137" t="s">
        <v>171</v>
      </c>
      <c r="D1070" s="137" t="s">
        <v>185</v>
      </c>
      <c r="E1070" s="133" t="s">
        <v>83</v>
      </c>
      <c r="F1070" s="138">
        <v>45822.720694444397</v>
      </c>
      <c r="G1070" s="139">
        <v>45825.647094907399</v>
      </c>
      <c r="H1070" s="241"/>
      <c r="I1070" s="136">
        <v>45827.833437499998</v>
      </c>
      <c r="J1070" s="134">
        <v>45826.833460648202</v>
      </c>
      <c r="K1070" s="140" t="s">
        <v>184</v>
      </c>
      <c r="L1070" s="140">
        <v>16000</v>
      </c>
      <c r="M1070" s="104" t="s">
        <v>86</v>
      </c>
    </row>
    <row r="1071" spans="1:13" s="29" customFormat="1" x14ac:dyDescent="0.4">
      <c r="A1071" s="35">
        <v>1034</v>
      </c>
      <c r="B1071" s="137" t="s">
        <v>80</v>
      </c>
      <c r="C1071" s="137" t="s">
        <v>180</v>
      </c>
      <c r="D1071" s="137" t="s">
        <v>102</v>
      </c>
      <c r="E1071" s="133" t="s">
        <v>83</v>
      </c>
      <c r="F1071" s="138">
        <v>45822.720694444397</v>
      </c>
      <c r="G1071" s="139">
        <v>45825.647418981498</v>
      </c>
      <c r="H1071" s="241"/>
      <c r="I1071" s="136">
        <v>45827.833437499998</v>
      </c>
      <c r="J1071" s="134">
        <v>45826.833460648202</v>
      </c>
      <c r="K1071" s="140" t="s">
        <v>184</v>
      </c>
      <c r="L1071" s="140">
        <v>16000</v>
      </c>
      <c r="M1071" s="104" t="s">
        <v>86</v>
      </c>
    </row>
    <row r="1072" spans="1:13" s="29" customFormat="1" x14ac:dyDescent="0.4">
      <c r="A1072" s="35">
        <v>1035</v>
      </c>
      <c r="B1072" s="137" t="s">
        <v>80</v>
      </c>
      <c r="C1072" s="137" t="s">
        <v>180</v>
      </c>
      <c r="D1072" s="137" t="s">
        <v>100</v>
      </c>
      <c r="E1072" s="133" t="s">
        <v>83</v>
      </c>
      <c r="F1072" s="138">
        <v>45822.720694444397</v>
      </c>
      <c r="G1072" s="139">
        <v>45825.647384259297</v>
      </c>
      <c r="H1072" s="241"/>
      <c r="I1072" s="136">
        <v>45827.833437499998</v>
      </c>
      <c r="J1072" s="134">
        <v>45826.833460648202</v>
      </c>
      <c r="K1072" s="140" t="s">
        <v>184</v>
      </c>
      <c r="L1072" s="140">
        <v>16000</v>
      </c>
      <c r="M1072" s="104" t="s">
        <v>86</v>
      </c>
    </row>
    <row r="1073" spans="1:14" s="29" customFormat="1" x14ac:dyDescent="0.4">
      <c r="A1073" s="35">
        <v>1036</v>
      </c>
      <c r="B1073" s="137" t="s">
        <v>80</v>
      </c>
      <c r="C1073" s="137" t="s">
        <v>180</v>
      </c>
      <c r="D1073" s="137" t="s">
        <v>186</v>
      </c>
      <c r="E1073" s="133" t="s">
        <v>83</v>
      </c>
      <c r="F1073" s="138">
        <v>45822.720694444397</v>
      </c>
      <c r="G1073" s="139">
        <v>45825.647233796299</v>
      </c>
      <c r="H1073" s="243"/>
      <c r="I1073" s="136">
        <v>45827.833437499998</v>
      </c>
      <c r="J1073" s="134">
        <v>45826.833460648202</v>
      </c>
      <c r="K1073" s="140" t="s">
        <v>184</v>
      </c>
      <c r="L1073" s="140">
        <v>16000</v>
      </c>
      <c r="M1073" s="104" t="s">
        <v>86</v>
      </c>
    </row>
    <row r="1074" spans="1:14" ht="24" x14ac:dyDescent="0.4">
      <c r="A1074" s="35">
        <v>1037</v>
      </c>
      <c r="B1074" s="132" t="s">
        <v>80</v>
      </c>
      <c r="C1074" s="132" t="s">
        <v>180</v>
      </c>
      <c r="D1074" s="132" t="s">
        <v>103</v>
      </c>
      <c r="E1074" s="133" t="s">
        <v>83</v>
      </c>
      <c r="F1074" s="134">
        <v>45822.720694444397</v>
      </c>
      <c r="G1074" s="134">
        <v>45825.647453703699</v>
      </c>
      <c r="H1074" s="133" t="s">
        <v>533</v>
      </c>
      <c r="I1074" s="134" t="s">
        <v>534</v>
      </c>
      <c r="J1074" s="134" t="s">
        <v>535</v>
      </c>
      <c r="K1074" s="102" t="s">
        <v>184</v>
      </c>
      <c r="L1074" s="102">
        <v>16000</v>
      </c>
      <c r="M1074" s="51" t="s">
        <v>86</v>
      </c>
    </row>
    <row r="1075" spans="1:14" x14ac:dyDescent="0.4">
      <c r="A1075" s="35">
        <v>1038</v>
      </c>
      <c r="B1075" s="132" t="s">
        <v>80</v>
      </c>
      <c r="C1075" s="132" t="s">
        <v>180</v>
      </c>
      <c r="D1075" s="132" t="s">
        <v>187</v>
      </c>
      <c r="E1075" s="133" t="s">
        <v>83</v>
      </c>
      <c r="F1075" s="134">
        <v>45822.720694444397</v>
      </c>
      <c r="G1075" s="134">
        <v>45825.647303240701</v>
      </c>
      <c r="H1075" s="133" t="s">
        <v>183</v>
      </c>
      <c r="I1075" s="134">
        <v>45827.833437499998</v>
      </c>
      <c r="J1075" s="134">
        <v>45826.833460648202</v>
      </c>
      <c r="K1075" s="102" t="s">
        <v>184</v>
      </c>
      <c r="L1075" s="102">
        <v>16000</v>
      </c>
      <c r="M1075" s="51" t="s">
        <v>86</v>
      </c>
    </row>
    <row r="1076" spans="1:14" ht="24" x14ac:dyDescent="0.4">
      <c r="A1076" s="35">
        <v>1039</v>
      </c>
      <c r="B1076" s="132" t="s">
        <v>80</v>
      </c>
      <c r="C1076" s="132" t="s">
        <v>180</v>
      </c>
      <c r="D1076" s="132" t="s">
        <v>192</v>
      </c>
      <c r="E1076" s="133" t="s">
        <v>83</v>
      </c>
      <c r="F1076" s="134">
        <v>45822.720694444397</v>
      </c>
      <c r="G1076" s="134">
        <v>45825.6471759259</v>
      </c>
      <c r="H1076" s="133" t="s">
        <v>533</v>
      </c>
      <c r="I1076" s="134" t="s">
        <v>534</v>
      </c>
      <c r="J1076" s="134" t="s">
        <v>535</v>
      </c>
      <c r="K1076" s="102" t="s">
        <v>184</v>
      </c>
      <c r="L1076" s="102">
        <v>16000</v>
      </c>
      <c r="M1076" s="51" t="s">
        <v>86</v>
      </c>
    </row>
    <row r="1077" spans="1:14" s="29" customFormat="1" x14ac:dyDescent="0.4">
      <c r="A1077" s="35">
        <v>1040</v>
      </c>
      <c r="B1077" s="137" t="s">
        <v>80</v>
      </c>
      <c r="C1077" s="137" t="s">
        <v>180</v>
      </c>
      <c r="D1077" s="137" t="s">
        <v>99</v>
      </c>
      <c r="E1077" s="133" t="s">
        <v>83</v>
      </c>
      <c r="F1077" s="138">
        <v>45822.720694444397</v>
      </c>
      <c r="G1077" s="138">
        <v>45825.647337962997</v>
      </c>
      <c r="H1077" s="244" t="s">
        <v>183</v>
      </c>
      <c r="I1077" s="134">
        <v>45827.833437499998</v>
      </c>
      <c r="J1077" s="134">
        <v>45826.833460648202</v>
      </c>
      <c r="K1077" s="140" t="s">
        <v>184</v>
      </c>
      <c r="L1077" s="140">
        <v>16000</v>
      </c>
      <c r="M1077" s="104" t="s">
        <v>86</v>
      </c>
    </row>
    <row r="1078" spans="1:14" x14ac:dyDescent="0.4">
      <c r="A1078" s="35">
        <v>1041</v>
      </c>
      <c r="B1078" s="132" t="s">
        <v>80</v>
      </c>
      <c r="C1078" s="132" t="s">
        <v>171</v>
      </c>
      <c r="D1078" s="132" t="s">
        <v>193</v>
      </c>
      <c r="E1078" s="133" t="s">
        <v>182</v>
      </c>
      <c r="F1078" s="134">
        <v>45829.882164351897</v>
      </c>
      <c r="G1078" s="134">
        <v>45828.882233796299</v>
      </c>
      <c r="H1078" s="245"/>
      <c r="I1078" s="134"/>
      <c r="J1078" s="134"/>
      <c r="K1078" s="102" t="s">
        <v>184</v>
      </c>
      <c r="L1078" s="102">
        <v>16000</v>
      </c>
      <c r="M1078" s="51" t="s">
        <v>86</v>
      </c>
    </row>
    <row r="1079" spans="1:14" x14ac:dyDescent="0.4">
      <c r="A1079" s="35">
        <v>1042</v>
      </c>
      <c r="B1079" s="132" t="s">
        <v>80</v>
      </c>
      <c r="C1079" s="132" t="s">
        <v>180</v>
      </c>
      <c r="D1079" s="132" t="s">
        <v>191</v>
      </c>
      <c r="E1079" s="133" t="s">
        <v>182</v>
      </c>
      <c r="F1079" s="134">
        <v>45829.882164351897</v>
      </c>
      <c r="G1079" s="134">
        <v>45828.882233796299</v>
      </c>
      <c r="H1079" s="245"/>
      <c r="I1079" s="134"/>
      <c r="J1079" s="134"/>
      <c r="K1079" s="102" t="s">
        <v>184</v>
      </c>
      <c r="L1079" s="102">
        <v>16000</v>
      </c>
      <c r="M1079" s="51" t="s">
        <v>86</v>
      </c>
    </row>
    <row r="1080" spans="1:14" x14ac:dyDescent="0.4">
      <c r="A1080" s="35">
        <v>1043</v>
      </c>
      <c r="B1080" s="132" t="s">
        <v>80</v>
      </c>
      <c r="C1080" s="132" t="s">
        <v>171</v>
      </c>
      <c r="D1080" s="132" t="s">
        <v>185</v>
      </c>
      <c r="E1080" s="133" t="s">
        <v>182</v>
      </c>
      <c r="F1080" s="134">
        <v>45829.882164351897</v>
      </c>
      <c r="G1080" s="134">
        <v>45828.882233796299</v>
      </c>
      <c r="H1080" s="245"/>
      <c r="I1080" s="134"/>
      <c r="J1080" s="134"/>
      <c r="K1080" s="102" t="s">
        <v>184</v>
      </c>
      <c r="L1080" s="102">
        <v>16000</v>
      </c>
      <c r="M1080" s="51" t="s">
        <v>86</v>
      </c>
    </row>
    <row r="1081" spans="1:14" x14ac:dyDescent="0.4">
      <c r="A1081" s="35">
        <v>1044</v>
      </c>
      <c r="B1081" s="132" t="s">
        <v>80</v>
      </c>
      <c r="C1081" s="132" t="s">
        <v>180</v>
      </c>
      <c r="D1081" s="132" t="s">
        <v>102</v>
      </c>
      <c r="E1081" s="133" t="s">
        <v>182</v>
      </c>
      <c r="F1081" s="134">
        <v>45829.882164351897</v>
      </c>
      <c r="G1081" s="134">
        <v>45828.882233796299</v>
      </c>
      <c r="H1081" s="245"/>
      <c r="I1081" s="134"/>
      <c r="J1081" s="134"/>
      <c r="K1081" s="102" t="s">
        <v>184</v>
      </c>
      <c r="L1081" s="102">
        <v>16000</v>
      </c>
      <c r="M1081" s="51" t="s">
        <v>86</v>
      </c>
    </row>
    <row r="1082" spans="1:14" x14ac:dyDescent="0.4">
      <c r="A1082" s="35">
        <v>1045</v>
      </c>
      <c r="B1082" s="132" t="s">
        <v>80</v>
      </c>
      <c r="C1082" s="132" t="s">
        <v>180</v>
      </c>
      <c r="D1082" s="132" t="s">
        <v>100</v>
      </c>
      <c r="E1082" s="133" t="s">
        <v>182</v>
      </c>
      <c r="F1082" s="134">
        <v>45829.882164351897</v>
      </c>
      <c r="G1082" s="134">
        <v>45828.882233796299</v>
      </c>
      <c r="H1082" s="245"/>
      <c r="I1082" s="134"/>
      <c r="J1082" s="134"/>
      <c r="K1082" s="102" t="s">
        <v>184</v>
      </c>
      <c r="L1082" s="102">
        <v>16000</v>
      </c>
      <c r="M1082" s="51" t="s">
        <v>86</v>
      </c>
    </row>
    <row r="1083" spans="1:14" x14ac:dyDescent="0.4">
      <c r="A1083" s="35">
        <v>1046</v>
      </c>
      <c r="B1083" s="132" t="s">
        <v>80</v>
      </c>
      <c r="C1083" s="132" t="s">
        <v>180</v>
      </c>
      <c r="D1083" s="132" t="s">
        <v>186</v>
      </c>
      <c r="E1083" s="133" t="s">
        <v>182</v>
      </c>
      <c r="F1083" s="134">
        <v>45829.882164351897</v>
      </c>
      <c r="G1083" s="134">
        <v>45828.882233796299</v>
      </c>
      <c r="H1083" s="245"/>
      <c r="I1083" s="134"/>
      <c r="J1083" s="134"/>
      <c r="K1083" s="102" t="s">
        <v>184</v>
      </c>
      <c r="L1083" s="102">
        <v>16000</v>
      </c>
      <c r="M1083" s="51" t="s">
        <v>86</v>
      </c>
    </row>
    <row r="1084" spans="1:14" x14ac:dyDescent="0.4">
      <c r="A1084" s="35">
        <v>1047</v>
      </c>
      <c r="B1084" s="132" t="s">
        <v>80</v>
      </c>
      <c r="C1084" s="132" t="s">
        <v>180</v>
      </c>
      <c r="D1084" s="132" t="s">
        <v>187</v>
      </c>
      <c r="E1084" s="133" t="s">
        <v>182</v>
      </c>
      <c r="F1084" s="134">
        <v>45829.882164351897</v>
      </c>
      <c r="G1084" s="134">
        <v>45828.882233796299</v>
      </c>
      <c r="H1084" s="245"/>
      <c r="I1084" s="134"/>
      <c r="J1084" s="134"/>
      <c r="K1084" s="102" t="s">
        <v>184</v>
      </c>
      <c r="L1084" s="102">
        <v>16000</v>
      </c>
      <c r="M1084" s="51" t="s">
        <v>86</v>
      </c>
    </row>
    <row r="1085" spans="1:14" x14ac:dyDescent="0.4">
      <c r="A1085" s="35">
        <v>1048</v>
      </c>
      <c r="B1085" s="132" t="s">
        <v>80</v>
      </c>
      <c r="C1085" s="132" t="s">
        <v>180</v>
      </c>
      <c r="D1085" s="132" t="s">
        <v>99</v>
      </c>
      <c r="E1085" s="133" t="s">
        <v>182</v>
      </c>
      <c r="F1085" s="134">
        <v>45829.882164351897</v>
      </c>
      <c r="G1085" s="134">
        <v>45828.882233796299</v>
      </c>
      <c r="H1085" s="246"/>
      <c r="I1085" s="134"/>
      <c r="J1085" s="134"/>
      <c r="K1085" s="102" t="s">
        <v>184</v>
      </c>
      <c r="L1085" s="102">
        <v>16000</v>
      </c>
      <c r="M1085" s="51" t="s">
        <v>86</v>
      </c>
    </row>
    <row r="1086" spans="1:14" s="29" customFormat="1" x14ac:dyDescent="0.4">
      <c r="A1086" s="35">
        <v>1049</v>
      </c>
      <c r="B1086" s="132" t="s">
        <v>80</v>
      </c>
      <c r="C1086" s="132" t="s">
        <v>180</v>
      </c>
      <c r="D1086" s="132" t="s">
        <v>104</v>
      </c>
      <c r="E1086" s="133" t="s">
        <v>173</v>
      </c>
      <c r="F1086" s="134">
        <v>45832.505960648101</v>
      </c>
      <c r="G1086" s="135">
        <v>45831.920219907399</v>
      </c>
      <c r="H1086" s="133" t="s">
        <v>182</v>
      </c>
      <c r="I1086" s="136">
        <v>45901.882152777798</v>
      </c>
      <c r="J1086" s="134">
        <v>45900.882222222201</v>
      </c>
      <c r="K1086" s="102" t="s">
        <v>184</v>
      </c>
      <c r="L1086" s="102">
        <v>16000</v>
      </c>
      <c r="M1086" s="51" t="s">
        <v>86</v>
      </c>
      <c r="N1086" s="32"/>
    </row>
    <row r="1087" spans="1:14" ht="15" x14ac:dyDescent="0.4">
      <c r="A1087" s="35">
        <v>1050</v>
      </c>
      <c r="B1087" s="132" t="s">
        <v>80</v>
      </c>
      <c r="C1087" s="132" t="s">
        <v>171</v>
      </c>
      <c r="D1087" s="132" t="s">
        <v>268</v>
      </c>
      <c r="E1087" s="133" t="s">
        <v>173</v>
      </c>
      <c r="F1087" s="134">
        <v>45830</v>
      </c>
      <c r="G1087" s="135">
        <v>45833.753449074102</v>
      </c>
      <c r="H1087" s="133" t="s">
        <v>182</v>
      </c>
      <c r="I1087" s="141">
        <v>45834.882210648102</v>
      </c>
      <c r="J1087" s="142">
        <v>45834.882291666698</v>
      </c>
      <c r="K1087" s="102" t="s">
        <v>184</v>
      </c>
      <c r="L1087" s="102">
        <v>16000</v>
      </c>
      <c r="M1087" s="51" t="s">
        <v>86</v>
      </c>
    </row>
    <row r="1088" spans="1:14" ht="15" x14ac:dyDescent="0.4">
      <c r="A1088" s="35">
        <v>1051</v>
      </c>
      <c r="B1088" s="132" t="s">
        <v>80</v>
      </c>
      <c r="C1088" s="132" t="s">
        <v>180</v>
      </c>
      <c r="D1088" s="132" t="s">
        <v>319</v>
      </c>
      <c r="E1088" s="133" t="s">
        <v>173</v>
      </c>
      <c r="F1088" s="134">
        <v>45830</v>
      </c>
      <c r="G1088" s="135">
        <v>45833.753796296303</v>
      </c>
      <c r="H1088" s="133" t="s">
        <v>182</v>
      </c>
      <c r="I1088" s="141">
        <v>45834.882210648102</v>
      </c>
      <c r="J1088" s="142">
        <v>45834.882291666698</v>
      </c>
      <c r="K1088" s="102" t="s">
        <v>184</v>
      </c>
      <c r="L1088" s="102">
        <v>16000</v>
      </c>
      <c r="M1088" s="51" t="s">
        <v>86</v>
      </c>
    </row>
    <row r="1089" spans="1:13" ht="15" x14ac:dyDescent="0.4">
      <c r="A1089" s="35">
        <v>1052</v>
      </c>
      <c r="B1089" s="132" t="s">
        <v>80</v>
      </c>
      <c r="C1089" s="132" t="s">
        <v>180</v>
      </c>
      <c r="D1089" s="132" t="s">
        <v>268</v>
      </c>
      <c r="E1089" s="133" t="s">
        <v>173</v>
      </c>
      <c r="F1089" s="134">
        <v>45830</v>
      </c>
      <c r="G1089" s="135">
        <v>45833.753564814797</v>
      </c>
      <c r="H1089" s="133" t="s">
        <v>182</v>
      </c>
      <c r="I1089" s="141">
        <v>45834.882210648102</v>
      </c>
      <c r="J1089" s="142">
        <v>45834.882291666698</v>
      </c>
      <c r="K1089" s="102" t="s">
        <v>184</v>
      </c>
      <c r="L1089" s="102">
        <v>16000</v>
      </c>
      <c r="M1089" s="51" t="s">
        <v>86</v>
      </c>
    </row>
    <row r="1090" spans="1:13" ht="15" x14ac:dyDescent="0.4">
      <c r="A1090" s="35">
        <v>1053</v>
      </c>
      <c r="B1090" s="132" t="s">
        <v>80</v>
      </c>
      <c r="C1090" s="132" t="s">
        <v>180</v>
      </c>
      <c r="D1090" s="132" t="s">
        <v>101</v>
      </c>
      <c r="E1090" s="133" t="s">
        <v>173</v>
      </c>
      <c r="F1090" s="134">
        <v>45830</v>
      </c>
      <c r="G1090" s="135">
        <v>45833.753923611097</v>
      </c>
      <c r="H1090" s="133" t="s">
        <v>182</v>
      </c>
      <c r="I1090" s="141">
        <v>45834.882210648102</v>
      </c>
      <c r="J1090" s="142">
        <v>45834.882291666698</v>
      </c>
      <c r="K1090" s="102" t="s">
        <v>184</v>
      </c>
      <c r="L1090" s="102">
        <v>16000</v>
      </c>
      <c r="M1090" s="51" t="s">
        <v>86</v>
      </c>
    </row>
    <row r="1091" spans="1:13" ht="15" x14ac:dyDescent="0.4">
      <c r="A1091" s="35">
        <v>1054</v>
      </c>
      <c r="B1091" s="132" t="s">
        <v>80</v>
      </c>
      <c r="C1091" s="132" t="s">
        <v>171</v>
      </c>
      <c r="D1091" s="132" t="s">
        <v>265</v>
      </c>
      <c r="E1091" s="133" t="s">
        <v>83</v>
      </c>
      <c r="F1091" s="134">
        <v>45855.567905092597</v>
      </c>
      <c r="G1091" s="135">
        <v>45860.370833333298</v>
      </c>
      <c r="H1091" s="133"/>
      <c r="I1091" s="141"/>
      <c r="J1091" s="142"/>
      <c r="K1091" s="102" t="s">
        <v>184</v>
      </c>
      <c r="L1091" s="102">
        <v>16000</v>
      </c>
      <c r="M1091" s="51" t="s">
        <v>86</v>
      </c>
    </row>
    <row r="1092" spans="1:13" ht="15" x14ac:dyDescent="0.4">
      <c r="A1092" s="35">
        <v>1055</v>
      </c>
      <c r="B1092" s="132" t="s">
        <v>80</v>
      </c>
      <c r="C1092" s="132" t="s">
        <v>171</v>
      </c>
      <c r="D1092" s="132" t="s">
        <v>108</v>
      </c>
      <c r="E1092" s="133" t="s">
        <v>83</v>
      </c>
      <c r="F1092" s="134">
        <v>45855.566886574103</v>
      </c>
      <c r="G1092" s="135">
        <v>45860.370833333298</v>
      </c>
      <c r="H1092" s="133"/>
      <c r="I1092" s="143"/>
      <c r="K1092" s="102" t="s">
        <v>184</v>
      </c>
      <c r="L1092" s="102">
        <v>16000</v>
      </c>
      <c r="M1092" s="51" t="s">
        <v>86</v>
      </c>
    </row>
    <row r="1093" spans="1:13" ht="15" x14ac:dyDescent="0.4">
      <c r="A1093" s="35">
        <v>1056</v>
      </c>
      <c r="B1093" s="132" t="s">
        <v>80</v>
      </c>
      <c r="C1093" s="132" t="s">
        <v>171</v>
      </c>
      <c r="D1093" s="132" t="s">
        <v>222</v>
      </c>
      <c r="E1093" s="133" t="s">
        <v>83</v>
      </c>
      <c r="F1093" s="134">
        <v>45855.567905092597</v>
      </c>
      <c r="G1093" s="135">
        <v>45860.370833333298</v>
      </c>
      <c r="H1093" s="133"/>
      <c r="I1093" s="143"/>
      <c r="K1093" s="102" t="s">
        <v>184</v>
      </c>
      <c r="L1093" s="102">
        <v>16000</v>
      </c>
      <c r="M1093" s="51" t="s">
        <v>86</v>
      </c>
    </row>
    <row r="1094" spans="1:13" ht="15" x14ac:dyDescent="0.4">
      <c r="A1094" s="35">
        <v>1057</v>
      </c>
      <c r="B1094" s="132" t="s">
        <v>80</v>
      </c>
      <c r="C1094" s="132" t="s">
        <v>171</v>
      </c>
      <c r="D1094" s="132" t="s">
        <v>87</v>
      </c>
      <c r="E1094" s="133" t="s">
        <v>83</v>
      </c>
      <c r="F1094" s="134">
        <v>45855.567905092597</v>
      </c>
      <c r="G1094" s="135">
        <v>45860.370833333298</v>
      </c>
      <c r="H1094" s="133"/>
      <c r="I1094" s="143"/>
      <c r="K1094" s="102" t="s">
        <v>184</v>
      </c>
      <c r="L1094" s="102">
        <v>16000</v>
      </c>
      <c r="M1094" s="51" t="s">
        <v>86</v>
      </c>
    </row>
    <row r="1095" spans="1:13" ht="15" x14ac:dyDescent="0.4">
      <c r="A1095" s="35">
        <v>1058</v>
      </c>
      <c r="B1095" s="132" t="s">
        <v>80</v>
      </c>
      <c r="C1095" s="132" t="s">
        <v>180</v>
      </c>
      <c r="D1095" s="132" t="s">
        <v>246</v>
      </c>
      <c r="E1095" s="133" t="s">
        <v>83</v>
      </c>
      <c r="F1095" s="134">
        <v>45855.567905092597</v>
      </c>
      <c r="G1095" s="135">
        <v>45860.370833333298</v>
      </c>
      <c r="H1095" s="133"/>
      <c r="I1095" s="143"/>
      <c r="K1095" s="102" t="s">
        <v>184</v>
      </c>
      <c r="L1095" s="102">
        <v>16000</v>
      </c>
      <c r="M1095" s="51" t="s">
        <v>86</v>
      </c>
    </row>
    <row r="1096" spans="1:13" x14ac:dyDescent="0.4">
      <c r="A1096" s="35">
        <v>1059</v>
      </c>
      <c r="B1096" s="132" t="s">
        <v>80</v>
      </c>
      <c r="C1096" s="132" t="s">
        <v>171</v>
      </c>
      <c r="D1096" s="132" t="s">
        <v>192</v>
      </c>
      <c r="E1096" s="133" t="s">
        <v>173</v>
      </c>
      <c r="F1096" s="134">
        <v>45862.691979166702</v>
      </c>
      <c r="G1096" s="135">
        <v>45868.748611111099</v>
      </c>
      <c r="H1096" s="133" t="s">
        <v>182</v>
      </c>
      <c r="I1096" s="136">
        <v>45896.7055555556</v>
      </c>
      <c r="J1096" s="134">
        <v>45894.705636574101</v>
      </c>
      <c r="K1096" s="102" t="s">
        <v>184</v>
      </c>
      <c r="L1096" s="102">
        <v>16000</v>
      </c>
      <c r="M1096" s="51" t="s">
        <v>86</v>
      </c>
    </row>
    <row r="1097" spans="1:13" x14ac:dyDescent="0.4">
      <c r="A1097" s="35">
        <v>1060</v>
      </c>
      <c r="B1097" s="132" t="s">
        <v>80</v>
      </c>
      <c r="C1097" s="132" t="s">
        <v>171</v>
      </c>
      <c r="D1097" s="132" t="s">
        <v>186</v>
      </c>
      <c r="E1097" s="133" t="s">
        <v>173</v>
      </c>
      <c r="F1097" s="134">
        <v>45862.691979166702</v>
      </c>
      <c r="G1097" s="135">
        <v>45868.749305555597</v>
      </c>
      <c r="H1097" s="133" t="s">
        <v>182</v>
      </c>
      <c r="I1097" s="136">
        <v>45896.709131944401</v>
      </c>
      <c r="J1097" s="134">
        <v>45894.709224537</v>
      </c>
      <c r="K1097" s="102" t="s">
        <v>184</v>
      </c>
      <c r="L1097" s="102">
        <v>16000</v>
      </c>
      <c r="M1097" s="51" t="s">
        <v>86</v>
      </c>
    </row>
    <row r="1098" spans="1:13" x14ac:dyDescent="0.4">
      <c r="A1098" s="35">
        <v>1061</v>
      </c>
      <c r="B1098" s="132" t="s">
        <v>80</v>
      </c>
      <c r="C1098" s="132" t="s">
        <v>171</v>
      </c>
      <c r="D1098" s="132" t="s">
        <v>449</v>
      </c>
      <c r="E1098" s="133" t="s">
        <v>173</v>
      </c>
      <c r="F1098" s="134">
        <v>45862.690590277802</v>
      </c>
      <c r="G1098" s="135">
        <v>45868.75</v>
      </c>
      <c r="H1098" s="133" t="s">
        <v>182</v>
      </c>
      <c r="I1098" s="136">
        <v>45896.705486111103</v>
      </c>
      <c r="J1098" s="134">
        <v>45894.705567129597</v>
      </c>
      <c r="K1098" s="102" t="s">
        <v>184</v>
      </c>
      <c r="L1098" s="102">
        <v>16000</v>
      </c>
      <c r="M1098" s="51" t="s">
        <v>86</v>
      </c>
    </row>
    <row r="1099" spans="1:13" x14ac:dyDescent="0.4">
      <c r="A1099" s="35">
        <v>1062</v>
      </c>
      <c r="B1099" s="132" t="s">
        <v>80</v>
      </c>
      <c r="C1099" s="132" t="s">
        <v>171</v>
      </c>
      <c r="D1099" s="132" t="s">
        <v>271</v>
      </c>
      <c r="E1099" s="133" t="s">
        <v>173</v>
      </c>
      <c r="F1099" s="134">
        <v>45862.691284722197</v>
      </c>
      <c r="G1099" s="135">
        <v>45868.749305555597</v>
      </c>
      <c r="H1099" s="133" t="s">
        <v>182</v>
      </c>
      <c r="I1099" s="136">
        <v>45896.705520833297</v>
      </c>
      <c r="J1099" s="134">
        <v>45894.705601851798</v>
      </c>
      <c r="K1099" s="102" t="s">
        <v>184</v>
      </c>
      <c r="L1099" s="102">
        <v>16000</v>
      </c>
      <c r="M1099" s="51" t="s">
        <v>86</v>
      </c>
    </row>
    <row r="1100" spans="1:13" x14ac:dyDescent="0.4">
      <c r="A1100" s="35">
        <v>1063</v>
      </c>
      <c r="B1100" s="132" t="s">
        <v>80</v>
      </c>
      <c r="C1100" s="132" t="s">
        <v>171</v>
      </c>
      <c r="D1100" s="132" t="s">
        <v>99</v>
      </c>
      <c r="E1100" s="133" t="s">
        <v>173</v>
      </c>
      <c r="F1100" s="134">
        <v>45862.691979166702</v>
      </c>
      <c r="G1100" s="135">
        <v>45868.75</v>
      </c>
      <c r="H1100" s="133" t="s">
        <v>182</v>
      </c>
      <c r="I1100" s="136">
        <v>45896.7055555556</v>
      </c>
      <c r="J1100" s="134">
        <v>45894.705694444398</v>
      </c>
      <c r="K1100" s="102" t="s">
        <v>184</v>
      </c>
      <c r="L1100" s="102">
        <v>16000</v>
      </c>
      <c r="M1100" s="51" t="s">
        <v>86</v>
      </c>
    </row>
    <row r="1101" spans="1:13" x14ac:dyDescent="0.4">
      <c r="A1101" s="35">
        <v>1064</v>
      </c>
      <c r="B1101" s="132" t="s">
        <v>80</v>
      </c>
      <c r="C1101" s="132" t="s">
        <v>171</v>
      </c>
      <c r="D1101" s="132" t="s">
        <v>100</v>
      </c>
      <c r="E1101" s="133" t="s">
        <v>173</v>
      </c>
      <c r="F1101" s="134">
        <v>45862.692673611098</v>
      </c>
      <c r="G1101" s="135">
        <v>45868.749305555597</v>
      </c>
      <c r="H1101" s="133" t="s">
        <v>182</v>
      </c>
      <c r="I1101" s="136">
        <v>45896.7055555556</v>
      </c>
      <c r="J1101" s="134">
        <v>45894.705636574101</v>
      </c>
      <c r="K1101" s="102" t="s">
        <v>184</v>
      </c>
      <c r="L1101" s="102">
        <v>16000</v>
      </c>
      <c r="M1101" s="51" t="s">
        <v>86</v>
      </c>
    </row>
    <row r="1102" spans="1:13" x14ac:dyDescent="0.4">
      <c r="A1102" s="35">
        <v>1065</v>
      </c>
      <c r="B1102" s="132" t="s">
        <v>80</v>
      </c>
      <c r="C1102" s="132" t="s">
        <v>171</v>
      </c>
      <c r="D1102" s="132" t="s">
        <v>102</v>
      </c>
      <c r="E1102" s="133" t="s">
        <v>173</v>
      </c>
      <c r="F1102" s="134">
        <v>45862.691284722197</v>
      </c>
      <c r="G1102" s="135">
        <v>45868.75</v>
      </c>
      <c r="H1102" s="133" t="s">
        <v>182</v>
      </c>
      <c r="I1102" s="136">
        <v>45896.7055555556</v>
      </c>
      <c r="J1102" s="134">
        <v>45894.705636574101</v>
      </c>
      <c r="K1102" s="102" t="s">
        <v>184</v>
      </c>
      <c r="L1102" s="102">
        <v>16000</v>
      </c>
      <c r="M1102" s="51" t="s">
        <v>86</v>
      </c>
    </row>
    <row r="1103" spans="1:13" x14ac:dyDescent="0.4">
      <c r="A1103" s="35">
        <v>1066</v>
      </c>
      <c r="B1103" s="132" t="s">
        <v>80</v>
      </c>
      <c r="C1103" s="132" t="s">
        <v>171</v>
      </c>
      <c r="D1103" s="132" t="s">
        <v>103</v>
      </c>
      <c r="E1103" s="133" t="s">
        <v>173</v>
      </c>
      <c r="F1103" s="134">
        <v>45862.691284722197</v>
      </c>
      <c r="G1103" s="135">
        <v>45868.75</v>
      </c>
      <c r="H1103" s="133" t="s">
        <v>182</v>
      </c>
      <c r="I1103" s="136">
        <v>45896.7055555556</v>
      </c>
      <c r="J1103" s="134">
        <v>45894.705636574101</v>
      </c>
      <c r="K1103" s="102" t="s">
        <v>184</v>
      </c>
      <c r="L1103" s="102">
        <v>16000</v>
      </c>
      <c r="M1103" s="51" t="s">
        <v>86</v>
      </c>
    </row>
    <row r="1104" spans="1:13" x14ac:dyDescent="0.4">
      <c r="A1104" s="35">
        <v>1067</v>
      </c>
      <c r="B1104" s="132" t="s">
        <v>80</v>
      </c>
      <c r="C1104" s="132" t="s">
        <v>171</v>
      </c>
      <c r="D1104" s="132" t="s">
        <v>105</v>
      </c>
      <c r="E1104" s="133" t="s">
        <v>173</v>
      </c>
      <c r="F1104" s="134">
        <v>45862.691979166702</v>
      </c>
      <c r="G1104" s="135">
        <v>45868.749305555597</v>
      </c>
      <c r="H1104" s="133" t="s">
        <v>182</v>
      </c>
      <c r="I1104" s="136">
        <v>45896.705625000002</v>
      </c>
      <c r="J1104" s="134">
        <v>45894.705706018503</v>
      </c>
      <c r="K1104" s="102" t="s">
        <v>184</v>
      </c>
      <c r="L1104" s="102">
        <v>16000</v>
      </c>
      <c r="M1104" s="51" t="s">
        <v>86</v>
      </c>
    </row>
    <row r="1105" spans="1:13" x14ac:dyDescent="0.4">
      <c r="A1105" s="35">
        <v>1068</v>
      </c>
      <c r="B1105" s="132" t="s">
        <v>80</v>
      </c>
      <c r="C1105" s="132" t="s">
        <v>171</v>
      </c>
      <c r="D1105" s="132" t="s">
        <v>106</v>
      </c>
      <c r="E1105" s="133" t="s">
        <v>173</v>
      </c>
      <c r="F1105" s="134">
        <v>45862.692673611098</v>
      </c>
      <c r="G1105" s="135">
        <v>45868.75</v>
      </c>
      <c r="H1105" s="133" t="s">
        <v>182</v>
      </c>
      <c r="I1105" s="136">
        <v>45896.705590277801</v>
      </c>
      <c r="J1105" s="134">
        <v>45894.705659722204</v>
      </c>
      <c r="K1105" s="102" t="s">
        <v>184</v>
      </c>
      <c r="L1105" s="102">
        <v>16000</v>
      </c>
      <c r="M1105" s="51" t="s">
        <v>86</v>
      </c>
    </row>
    <row r="1106" spans="1:13" ht="15.45" x14ac:dyDescent="0.45">
      <c r="A1106" s="35">
        <v>1069</v>
      </c>
      <c r="B1106" s="132" t="s">
        <v>80</v>
      </c>
      <c r="C1106" s="132" t="s">
        <v>180</v>
      </c>
      <c r="D1106" s="132" t="s">
        <v>185</v>
      </c>
      <c r="E1106" s="133" t="s">
        <v>173</v>
      </c>
      <c r="F1106" s="134">
        <v>45863.694756944402</v>
      </c>
      <c r="G1106" s="135">
        <v>45868.750694444403</v>
      </c>
      <c r="H1106" s="133" t="s">
        <v>182</v>
      </c>
      <c r="I1106" s="144">
        <v>45902.570648148103</v>
      </c>
      <c r="J1106" s="145">
        <v>45900.570729166699</v>
      </c>
      <c r="K1106" s="102" t="s">
        <v>184</v>
      </c>
      <c r="L1106" s="102">
        <v>16000</v>
      </c>
      <c r="M1106" s="51" t="s">
        <v>86</v>
      </c>
    </row>
    <row r="1107" spans="1:13" ht="15.45" x14ac:dyDescent="0.45">
      <c r="A1107" s="35">
        <v>1070</v>
      </c>
      <c r="B1107" s="132" t="s">
        <v>80</v>
      </c>
      <c r="C1107" s="132" t="s">
        <v>180</v>
      </c>
      <c r="D1107" s="132" t="s">
        <v>193</v>
      </c>
      <c r="E1107" s="133" t="s">
        <v>173</v>
      </c>
      <c r="F1107" s="134">
        <v>45863.6968402778</v>
      </c>
      <c r="G1107" s="135">
        <v>45868.750694444403</v>
      </c>
      <c r="H1107" s="133" t="s">
        <v>182</v>
      </c>
      <c r="I1107" s="144">
        <v>45902.570648148103</v>
      </c>
      <c r="J1107" s="145">
        <v>45900.570729166699</v>
      </c>
      <c r="K1107" s="102" t="s">
        <v>184</v>
      </c>
      <c r="L1107" s="102">
        <v>16000</v>
      </c>
      <c r="M1107" s="51" t="s">
        <v>86</v>
      </c>
    </row>
    <row r="1108" spans="1:13" ht="15.45" x14ac:dyDescent="0.45">
      <c r="A1108" s="35">
        <v>1071</v>
      </c>
      <c r="B1108" s="132" t="s">
        <v>80</v>
      </c>
      <c r="C1108" s="132" t="s">
        <v>180</v>
      </c>
      <c r="D1108" s="132" t="s">
        <v>271</v>
      </c>
      <c r="E1108" s="133" t="s">
        <v>173</v>
      </c>
      <c r="F1108" s="134">
        <v>45863.697534722203</v>
      </c>
      <c r="G1108" s="135">
        <v>45868.750694444403</v>
      </c>
      <c r="H1108" s="133" t="s">
        <v>182</v>
      </c>
      <c r="I1108" s="144">
        <v>45902.574340277803</v>
      </c>
      <c r="J1108" s="145">
        <v>45900.574409722198</v>
      </c>
      <c r="K1108" s="102" t="s">
        <v>184</v>
      </c>
      <c r="L1108" s="102">
        <v>16000</v>
      </c>
      <c r="M1108" s="51" t="s">
        <v>86</v>
      </c>
    </row>
    <row r="1109" spans="1:13" ht="15.45" x14ac:dyDescent="0.45">
      <c r="A1109" s="35">
        <v>1072</v>
      </c>
      <c r="B1109" s="132" t="s">
        <v>80</v>
      </c>
      <c r="C1109" s="132" t="s">
        <v>180</v>
      </c>
      <c r="D1109" s="132" t="s">
        <v>272</v>
      </c>
      <c r="E1109" s="133" t="s">
        <v>173</v>
      </c>
      <c r="F1109" s="134">
        <v>45863.694756944402</v>
      </c>
      <c r="G1109" s="135">
        <v>45868.751388888901</v>
      </c>
      <c r="H1109" s="133" t="s">
        <v>182</v>
      </c>
      <c r="I1109" s="144">
        <v>45902.577916666698</v>
      </c>
      <c r="J1109" s="145">
        <v>45900.577997685199</v>
      </c>
      <c r="K1109" s="102" t="s">
        <v>184</v>
      </c>
      <c r="L1109" s="102">
        <v>16000</v>
      </c>
      <c r="M1109" s="51" t="s">
        <v>86</v>
      </c>
    </row>
    <row r="1110" spans="1:13" x14ac:dyDescent="0.4">
      <c r="A1110" s="35">
        <v>1073</v>
      </c>
      <c r="B1110" s="132" t="s">
        <v>80</v>
      </c>
      <c r="C1110" s="132" t="s">
        <v>266</v>
      </c>
      <c r="D1110" s="132" t="s">
        <v>536</v>
      </c>
      <c r="E1110" s="133" t="s">
        <v>173</v>
      </c>
      <c r="F1110" s="134">
        <v>45863.6954513889</v>
      </c>
      <c r="G1110" s="135">
        <v>45873.8215277778</v>
      </c>
      <c r="H1110" s="133" t="s">
        <v>182</v>
      </c>
      <c r="I1110" s="136">
        <v>45896.705625000002</v>
      </c>
      <c r="J1110" s="134">
        <v>45894.705706018503</v>
      </c>
      <c r="K1110" s="102" t="s">
        <v>85</v>
      </c>
      <c r="L1110" s="102">
        <v>12000</v>
      </c>
      <c r="M1110" s="51" t="s">
        <v>86</v>
      </c>
    </row>
    <row r="1111" spans="1:13" x14ac:dyDescent="0.4">
      <c r="A1111" s="35">
        <v>1074</v>
      </c>
      <c r="B1111" s="132" t="s">
        <v>80</v>
      </c>
      <c r="C1111" s="132" t="s">
        <v>266</v>
      </c>
      <c r="D1111" s="132" t="s">
        <v>537</v>
      </c>
      <c r="E1111" s="133" t="s">
        <v>173</v>
      </c>
      <c r="F1111" s="134">
        <v>45863.6954513889</v>
      </c>
      <c r="G1111" s="135">
        <v>45873.8215277778</v>
      </c>
      <c r="H1111" s="133" t="s">
        <v>182</v>
      </c>
      <c r="I1111" s="141">
        <v>45902.8524189815</v>
      </c>
      <c r="J1111" s="146">
        <v>45900.852500000001</v>
      </c>
      <c r="K1111" s="102" t="s">
        <v>85</v>
      </c>
      <c r="L1111" s="102">
        <v>12000</v>
      </c>
      <c r="M1111" s="51" t="s">
        <v>86</v>
      </c>
    </row>
    <row r="1112" spans="1:13" x14ac:dyDescent="0.4">
      <c r="A1112" s="35">
        <v>1075</v>
      </c>
      <c r="B1112" s="132" t="s">
        <v>80</v>
      </c>
      <c r="C1112" s="132" t="s">
        <v>266</v>
      </c>
      <c r="D1112" s="132" t="s">
        <v>538</v>
      </c>
      <c r="E1112" s="133" t="s">
        <v>173</v>
      </c>
      <c r="F1112" s="134">
        <v>45863.6954513889</v>
      </c>
      <c r="G1112" s="135">
        <v>45873.8215277778</v>
      </c>
      <c r="H1112" s="133" t="s">
        <v>182</v>
      </c>
      <c r="I1112" s="136">
        <v>45896.705578703702</v>
      </c>
      <c r="J1112" s="134">
        <v>45894.705659722204</v>
      </c>
      <c r="K1112" s="102" t="s">
        <v>85</v>
      </c>
      <c r="L1112" s="102">
        <v>12000</v>
      </c>
      <c r="M1112" s="51" t="s">
        <v>86</v>
      </c>
    </row>
    <row r="1113" spans="1:13" x14ac:dyDescent="0.4">
      <c r="A1113" s="35">
        <v>1076</v>
      </c>
      <c r="B1113" s="132" t="s">
        <v>80</v>
      </c>
      <c r="C1113" s="132" t="s">
        <v>266</v>
      </c>
      <c r="D1113" s="132" t="s">
        <v>539</v>
      </c>
      <c r="E1113" s="133" t="s">
        <v>173</v>
      </c>
      <c r="F1113" s="134">
        <v>45863.6954513889</v>
      </c>
      <c r="G1113" s="135">
        <v>45873.8215277778</v>
      </c>
      <c r="H1113" s="133" t="s">
        <v>182</v>
      </c>
      <c r="I1113" s="136">
        <v>45896.705578703702</v>
      </c>
      <c r="J1113" s="134">
        <v>45894.705648148098</v>
      </c>
      <c r="K1113" s="102" t="s">
        <v>85</v>
      </c>
      <c r="L1113" s="102">
        <v>12000</v>
      </c>
      <c r="M1113" s="51" t="s">
        <v>86</v>
      </c>
    </row>
    <row r="1114" spans="1:13" x14ac:dyDescent="0.4">
      <c r="A1114" s="35">
        <v>1077</v>
      </c>
      <c r="B1114" s="132" t="s">
        <v>80</v>
      </c>
      <c r="C1114" s="132" t="s">
        <v>266</v>
      </c>
      <c r="D1114" s="132" t="s">
        <v>540</v>
      </c>
      <c r="E1114" s="133" t="s">
        <v>173</v>
      </c>
      <c r="F1114" s="134">
        <v>45863.696145833303</v>
      </c>
      <c r="G1114" s="135">
        <v>45873.8215277778</v>
      </c>
      <c r="H1114" s="133" t="s">
        <v>182</v>
      </c>
      <c r="I1114" s="141">
        <v>45902.852453703701</v>
      </c>
      <c r="J1114" s="146">
        <v>45900.852523148104</v>
      </c>
      <c r="K1114" s="102" t="s">
        <v>85</v>
      </c>
      <c r="L1114" s="102">
        <v>12000</v>
      </c>
      <c r="M1114" s="51" t="s">
        <v>86</v>
      </c>
    </row>
    <row r="1115" spans="1:13" x14ac:dyDescent="0.4">
      <c r="A1115" s="35">
        <v>1078</v>
      </c>
      <c r="B1115" s="132" t="s">
        <v>80</v>
      </c>
      <c r="C1115" s="132" t="s">
        <v>266</v>
      </c>
      <c r="D1115" s="132" t="s">
        <v>541</v>
      </c>
      <c r="E1115" s="133" t="s">
        <v>173</v>
      </c>
      <c r="F1115" s="134">
        <v>45863.696145833303</v>
      </c>
      <c r="G1115" s="135">
        <v>45873.8215277778</v>
      </c>
      <c r="H1115" s="133" t="s">
        <v>182</v>
      </c>
      <c r="I1115" s="141">
        <v>45902.848912037</v>
      </c>
      <c r="J1115" s="146">
        <v>45900.848993055602</v>
      </c>
      <c r="K1115" s="102" t="s">
        <v>85</v>
      </c>
      <c r="L1115" s="102">
        <v>12000</v>
      </c>
      <c r="M1115" s="51" t="s">
        <v>86</v>
      </c>
    </row>
    <row r="1116" spans="1:13" x14ac:dyDescent="0.4">
      <c r="A1116" s="35">
        <v>1079</v>
      </c>
      <c r="B1116" s="132" t="s">
        <v>80</v>
      </c>
      <c r="C1116" s="132" t="s">
        <v>266</v>
      </c>
      <c r="D1116" s="132" t="s">
        <v>542</v>
      </c>
      <c r="E1116" s="133" t="s">
        <v>173</v>
      </c>
      <c r="F1116" s="134">
        <v>45863.696145833303</v>
      </c>
      <c r="G1116" s="135">
        <v>45873.8215277778</v>
      </c>
      <c r="H1116" s="133" t="s">
        <v>182</v>
      </c>
      <c r="I1116" s="141">
        <v>45902.848981481497</v>
      </c>
      <c r="J1116" s="146">
        <v>45900.849062499998</v>
      </c>
      <c r="K1116" s="102" t="s">
        <v>85</v>
      </c>
      <c r="L1116" s="102">
        <v>12000</v>
      </c>
      <c r="M1116" s="51" t="s">
        <v>86</v>
      </c>
    </row>
    <row r="1117" spans="1:13" x14ac:dyDescent="0.4">
      <c r="A1117" s="35">
        <v>1080</v>
      </c>
      <c r="B1117" s="132" t="s">
        <v>80</v>
      </c>
      <c r="C1117" s="132" t="s">
        <v>266</v>
      </c>
      <c r="D1117" s="132" t="s">
        <v>543</v>
      </c>
      <c r="E1117" s="133" t="s">
        <v>173</v>
      </c>
      <c r="F1117" s="134">
        <v>45863.6968402778</v>
      </c>
      <c r="G1117" s="135">
        <v>45873.8215277778</v>
      </c>
      <c r="H1117" s="133" t="s">
        <v>182</v>
      </c>
      <c r="I1117" s="136">
        <v>45896.705590277801</v>
      </c>
      <c r="J1117" s="134">
        <v>45894.705775463</v>
      </c>
      <c r="K1117" s="102" t="s">
        <v>85</v>
      </c>
      <c r="L1117" s="102">
        <v>12000</v>
      </c>
      <c r="M1117" s="51" t="s">
        <v>86</v>
      </c>
    </row>
    <row r="1118" spans="1:13" x14ac:dyDescent="0.4">
      <c r="A1118" s="35">
        <v>1081</v>
      </c>
      <c r="B1118" s="132" t="s">
        <v>80</v>
      </c>
      <c r="C1118" s="132" t="s">
        <v>266</v>
      </c>
      <c r="D1118" s="132" t="s">
        <v>544</v>
      </c>
      <c r="E1118" s="133" t="s">
        <v>173</v>
      </c>
      <c r="F1118" s="134">
        <v>45863.697534722203</v>
      </c>
      <c r="G1118" s="135">
        <v>45873.8215277778</v>
      </c>
      <c r="H1118" s="133" t="s">
        <v>182</v>
      </c>
      <c r="I1118" s="141">
        <v>45902.563958333303</v>
      </c>
      <c r="J1118" s="146">
        <v>45900.564039351899</v>
      </c>
      <c r="K1118" s="102" t="s">
        <v>85</v>
      </c>
      <c r="L1118" s="102">
        <v>12000</v>
      </c>
      <c r="M1118" s="51" t="s">
        <v>86</v>
      </c>
    </row>
    <row r="1119" spans="1:13" ht="15" x14ac:dyDescent="0.4">
      <c r="A1119" s="35">
        <v>1082</v>
      </c>
      <c r="B1119" s="132" t="s">
        <v>80</v>
      </c>
      <c r="C1119" s="132" t="s">
        <v>266</v>
      </c>
      <c r="D1119" s="132" t="s">
        <v>545</v>
      </c>
      <c r="E1119" s="133" t="s">
        <v>173</v>
      </c>
      <c r="F1119" s="134">
        <v>45863.697534722203</v>
      </c>
      <c r="G1119" s="135">
        <v>45873.8215277778</v>
      </c>
      <c r="H1119" s="133"/>
      <c r="I1119" s="143"/>
      <c r="K1119" s="102" t="s">
        <v>85</v>
      </c>
      <c r="L1119" s="102">
        <v>12000</v>
      </c>
      <c r="M1119" s="51" t="s">
        <v>86</v>
      </c>
    </row>
    <row r="1120" spans="1:13" x14ac:dyDescent="0.4">
      <c r="A1120" s="35">
        <v>1083</v>
      </c>
      <c r="B1120" s="132" t="s">
        <v>80</v>
      </c>
      <c r="C1120" s="132" t="s">
        <v>171</v>
      </c>
      <c r="D1120" s="132" t="s">
        <v>104</v>
      </c>
      <c r="E1120" s="133" t="s">
        <v>173</v>
      </c>
      <c r="F1120" s="134">
        <v>45878</v>
      </c>
      <c r="G1120" s="135">
        <v>45888.915752314802</v>
      </c>
      <c r="H1120" s="133" t="s">
        <v>182</v>
      </c>
      <c r="I1120" s="136">
        <v>45896.709131944401</v>
      </c>
      <c r="J1120" s="134">
        <v>45894.709212962996</v>
      </c>
      <c r="K1120" s="102" t="s">
        <v>184</v>
      </c>
      <c r="L1120" s="102">
        <v>16000</v>
      </c>
      <c r="M1120" s="51" t="s">
        <v>86</v>
      </c>
    </row>
    <row r="1121" spans="1:13" x14ac:dyDescent="0.4">
      <c r="A1121" s="35">
        <v>1084</v>
      </c>
      <c r="B1121" s="132" t="s">
        <v>80</v>
      </c>
      <c r="C1121" s="132" t="s">
        <v>171</v>
      </c>
      <c r="D1121" s="132" t="s">
        <v>256</v>
      </c>
      <c r="E1121" s="133" t="s">
        <v>173</v>
      </c>
      <c r="F1121" s="134">
        <v>45878</v>
      </c>
      <c r="G1121" s="135">
        <v>45888.915289351899</v>
      </c>
      <c r="H1121" s="133" t="s">
        <v>182</v>
      </c>
      <c r="I1121" s="136">
        <v>45896.705532407403</v>
      </c>
      <c r="J1121" s="134">
        <v>45894.705613425896</v>
      </c>
      <c r="K1121" s="102" t="s">
        <v>184</v>
      </c>
      <c r="L1121" s="102">
        <v>16000</v>
      </c>
      <c r="M1121" s="51" t="s">
        <v>86</v>
      </c>
    </row>
    <row r="1122" spans="1:13" x14ac:dyDescent="0.4">
      <c r="A1122" s="35">
        <v>1085</v>
      </c>
      <c r="B1122" s="132" t="s">
        <v>80</v>
      </c>
      <c r="C1122" s="132" t="s">
        <v>171</v>
      </c>
      <c r="D1122" s="132" t="s">
        <v>101</v>
      </c>
      <c r="E1122" s="133" t="s">
        <v>173</v>
      </c>
      <c r="F1122" s="134">
        <v>45878</v>
      </c>
      <c r="G1122" s="135">
        <v>45888.9156365741</v>
      </c>
      <c r="H1122" s="133" t="s">
        <v>182</v>
      </c>
      <c r="I1122" s="136">
        <v>45896.709062499998</v>
      </c>
      <c r="J1122" s="134">
        <v>45894.709143518499</v>
      </c>
      <c r="K1122" s="102" t="s">
        <v>184</v>
      </c>
      <c r="L1122" s="102">
        <v>16000</v>
      </c>
      <c r="M1122" s="51" t="s">
        <v>86</v>
      </c>
    </row>
    <row r="1123" spans="1:13" x14ac:dyDescent="0.4">
      <c r="A1123" s="35">
        <v>1086</v>
      </c>
      <c r="B1123" s="132" t="s">
        <v>80</v>
      </c>
      <c r="C1123" s="132" t="s">
        <v>171</v>
      </c>
      <c r="D1123" s="132" t="s">
        <v>319</v>
      </c>
      <c r="E1123" s="133" t="s">
        <v>173</v>
      </c>
      <c r="F1123" s="134">
        <v>45878</v>
      </c>
      <c r="G1123" s="135">
        <v>45888.915150462999</v>
      </c>
      <c r="H1123" s="133" t="s">
        <v>182</v>
      </c>
      <c r="I1123" s="136">
        <v>45896.705567129597</v>
      </c>
      <c r="J1123" s="134">
        <v>45894.705648148098</v>
      </c>
      <c r="K1123" s="102" t="s">
        <v>184</v>
      </c>
      <c r="L1123" s="102">
        <v>16000</v>
      </c>
      <c r="M1123" s="51" t="s">
        <v>86</v>
      </c>
    </row>
    <row r="1124" spans="1:13" x14ac:dyDescent="0.4">
      <c r="A1124" s="35">
        <v>1087</v>
      </c>
      <c r="B1124" s="132" t="s">
        <v>80</v>
      </c>
      <c r="C1124" s="132" t="s">
        <v>171</v>
      </c>
      <c r="D1124" s="132" t="s">
        <v>272</v>
      </c>
      <c r="E1124" s="133" t="s">
        <v>173</v>
      </c>
      <c r="F1124" s="134">
        <v>45878</v>
      </c>
      <c r="G1124" s="135">
        <v>45888.915451388901</v>
      </c>
      <c r="H1124" s="133" t="s">
        <v>182</v>
      </c>
      <c r="I1124" s="136">
        <v>45896.705520833297</v>
      </c>
      <c r="J1124" s="134">
        <v>45894.705601851798</v>
      </c>
      <c r="K1124" s="102" t="s">
        <v>184</v>
      </c>
      <c r="L1124" s="102">
        <v>16000</v>
      </c>
      <c r="M1124" s="51" t="s">
        <v>86</v>
      </c>
    </row>
    <row r="1125" spans="1:13" ht="65.150000000000006" x14ac:dyDescent="0.5">
      <c r="A1125" s="35">
        <v>1088</v>
      </c>
      <c r="B1125" s="132" t="s">
        <v>80</v>
      </c>
      <c r="C1125" s="132" t="s">
        <v>180</v>
      </c>
      <c r="D1125" s="132" t="s">
        <v>449</v>
      </c>
      <c r="E1125" s="133" t="s">
        <v>83</v>
      </c>
      <c r="F1125" s="134">
        <v>45941.403136574103</v>
      </c>
      <c r="G1125" s="134">
        <v>45943.650891203702</v>
      </c>
      <c r="H1125" s="147" t="s">
        <v>533</v>
      </c>
      <c r="I1125" s="148" t="s">
        <v>546</v>
      </c>
      <c r="J1125" s="148" t="s">
        <v>547</v>
      </c>
      <c r="K1125" s="149" t="s">
        <v>85</v>
      </c>
      <c r="L1125" s="149">
        <v>12000</v>
      </c>
      <c r="M1125" s="51" t="s">
        <v>86</v>
      </c>
    </row>
    <row r="1126" spans="1:13" s="325" customFormat="1" ht="16.3" x14ac:dyDescent="0.5">
      <c r="A1126" s="319">
        <v>1089</v>
      </c>
      <c r="B1126" s="320" t="s">
        <v>80</v>
      </c>
      <c r="C1126" s="320" t="s">
        <v>171</v>
      </c>
      <c r="D1126" s="320" t="s">
        <v>209</v>
      </c>
      <c r="E1126" s="321" t="s">
        <v>83</v>
      </c>
      <c r="F1126" s="316">
        <v>46200.729224536997</v>
      </c>
      <c r="G1126" s="316">
        <v>46203.610763888901</v>
      </c>
      <c r="H1126" s="322"/>
      <c r="I1126" s="323"/>
      <c r="J1126" s="323"/>
      <c r="K1126" s="324" t="s">
        <v>184</v>
      </c>
      <c r="L1126" s="324">
        <v>16000</v>
      </c>
      <c r="M1126" s="315" t="s">
        <v>86</v>
      </c>
    </row>
    <row r="1128" spans="1:13" x14ac:dyDescent="0.35">
      <c r="H1128" s="153"/>
      <c r="I1128" s="146"/>
    </row>
  </sheetData>
  <autoFilter ref="A1:M1126" xr:uid="{00000000-0009-0000-0000-000002000000}"/>
  <mergeCells count="255">
    <mergeCell ref="A31:A32"/>
    <mergeCell ref="A33:A34"/>
    <mergeCell ref="A45:A46"/>
    <mergeCell ref="A298:A299"/>
    <mergeCell ref="A300:A301"/>
    <mergeCell ref="A303:A304"/>
    <mergeCell ref="A305:A306"/>
    <mergeCell ref="A307:A308"/>
    <mergeCell ref="A309:A310"/>
    <mergeCell ref="A449:A450"/>
    <mergeCell ref="A459:A460"/>
    <mergeCell ref="A464:A465"/>
    <mergeCell ref="A471:A472"/>
    <mergeCell ref="A696:A697"/>
    <mergeCell ref="A698:A699"/>
    <mergeCell ref="A700:A701"/>
    <mergeCell ref="A702:A703"/>
    <mergeCell ref="A704:A705"/>
    <mergeCell ref="A706:A707"/>
    <mergeCell ref="A708:A710"/>
    <mergeCell ref="A711:A712"/>
    <mergeCell ref="A713:A714"/>
    <mergeCell ref="A715:A716"/>
    <mergeCell ref="A717:A718"/>
    <mergeCell ref="A719:A720"/>
    <mergeCell ref="A721:A722"/>
    <mergeCell ref="A723:A724"/>
    <mergeCell ref="A725:A726"/>
    <mergeCell ref="A727:A728"/>
    <mergeCell ref="A729:A730"/>
    <mergeCell ref="A732:A733"/>
    <mergeCell ref="A743:A744"/>
    <mergeCell ref="A751:A752"/>
    <mergeCell ref="A753:A754"/>
    <mergeCell ref="A755:A756"/>
    <mergeCell ref="A757:A758"/>
    <mergeCell ref="A796:A797"/>
    <mergeCell ref="A815:A816"/>
    <mergeCell ref="A827:A828"/>
    <mergeCell ref="A832:A833"/>
    <mergeCell ref="A915:A916"/>
    <mergeCell ref="A917:A918"/>
    <mergeCell ref="A927:A928"/>
    <mergeCell ref="A932:A933"/>
    <mergeCell ref="A938:A939"/>
    <mergeCell ref="A940:A941"/>
    <mergeCell ref="A942:A943"/>
    <mergeCell ref="A944:A945"/>
    <mergeCell ref="A948:A949"/>
    <mergeCell ref="A967:A968"/>
    <mergeCell ref="A973:A974"/>
    <mergeCell ref="A1064:A1065"/>
    <mergeCell ref="A1066:A1067"/>
    <mergeCell ref="B31:B32"/>
    <mergeCell ref="B33:B34"/>
    <mergeCell ref="B45:B46"/>
    <mergeCell ref="B298:B299"/>
    <mergeCell ref="B300:B301"/>
    <mergeCell ref="B303:B304"/>
    <mergeCell ref="B305:B306"/>
    <mergeCell ref="B307:B308"/>
    <mergeCell ref="B309:B310"/>
    <mergeCell ref="B449:B450"/>
    <mergeCell ref="B459:B460"/>
    <mergeCell ref="B464:B465"/>
    <mergeCell ref="B471:B472"/>
    <mergeCell ref="B696:B697"/>
    <mergeCell ref="B698:B699"/>
    <mergeCell ref="B700:B701"/>
    <mergeCell ref="B702:B703"/>
    <mergeCell ref="B704:B705"/>
    <mergeCell ref="B706:B707"/>
    <mergeCell ref="B708:B710"/>
    <mergeCell ref="B711:B712"/>
    <mergeCell ref="B713:B714"/>
    <mergeCell ref="B715:B716"/>
    <mergeCell ref="B717:B718"/>
    <mergeCell ref="B719:B720"/>
    <mergeCell ref="B721:B722"/>
    <mergeCell ref="B723:B724"/>
    <mergeCell ref="B725:B726"/>
    <mergeCell ref="B727:B728"/>
    <mergeCell ref="B729:B730"/>
    <mergeCell ref="B732:B733"/>
    <mergeCell ref="B743:B744"/>
    <mergeCell ref="B751:B752"/>
    <mergeCell ref="B753:B754"/>
    <mergeCell ref="B755:B756"/>
    <mergeCell ref="B757:B758"/>
    <mergeCell ref="B796:B797"/>
    <mergeCell ref="B815:B816"/>
    <mergeCell ref="B827:B828"/>
    <mergeCell ref="B832:B833"/>
    <mergeCell ref="B915:B916"/>
    <mergeCell ref="B917:B918"/>
    <mergeCell ref="B927:B928"/>
    <mergeCell ref="B932:B933"/>
    <mergeCell ref="B938:B939"/>
    <mergeCell ref="B940:B941"/>
    <mergeCell ref="B942:B943"/>
    <mergeCell ref="B944:B945"/>
    <mergeCell ref="B948:B949"/>
    <mergeCell ref="B967:B968"/>
    <mergeCell ref="B973:B974"/>
    <mergeCell ref="B1064:B1065"/>
    <mergeCell ref="B1066:B1067"/>
    <mergeCell ref="C31:C32"/>
    <mergeCell ref="C33:C34"/>
    <mergeCell ref="C45:C46"/>
    <mergeCell ref="C298:C299"/>
    <mergeCell ref="C300:C301"/>
    <mergeCell ref="C303:C304"/>
    <mergeCell ref="C305:C306"/>
    <mergeCell ref="C307:C308"/>
    <mergeCell ref="C309:C310"/>
    <mergeCell ref="C449:C450"/>
    <mergeCell ref="C459:C460"/>
    <mergeCell ref="C464:C465"/>
    <mergeCell ref="C471:C472"/>
    <mergeCell ref="C696:C697"/>
    <mergeCell ref="C698:C699"/>
    <mergeCell ref="C700:C701"/>
    <mergeCell ref="C702:C703"/>
    <mergeCell ref="C704:C705"/>
    <mergeCell ref="C706:C707"/>
    <mergeCell ref="C708:C710"/>
    <mergeCell ref="C711:C712"/>
    <mergeCell ref="C713:C714"/>
    <mergeCell ref="C715:C716"/>
    <mergeCell ref="C717:C718"/>
    <mergeCell ref="C719:C720"/>
    <mergeCell ref="C721:C722"/>
    <mergeCell ref="C723:C724"/>
    <mergeCell ref="C725:C726"/>
    <mergeCell ref="C727:C728"/>
    <mergeCell ref="C729:C730"/>
    <mergeCell ref="C732:C733"/>
    <mergeCell ref="C743:C744"/>
    <mergeCell ref="C751:C752"/>
    <mergeCell ref="C753:C754"/>
    <mergeCell ref="C755:C756"/>
    <mergeCell ref="C757:C758"/>
    <mergeCell ref="C796:C797"/>
    <mergeCell ref="C815:C816"/>
    <mergeCell ref="C827:C828"/>
    <mergeCell ref="C832:C833"/>
    <mergeCell ref="C915:C916"/>
    <mergeCell ref="C917:C918"/>
    <mergeCell ref="C927:C928"/>
    <mergeCell ref="C932:C933"/>
    <mergeCell ref="C938:C939"/>
    <mergeCell ref="C940:C941"/>
    <mergeCell ref="C942:C943"/>
    <mergeCell ref="C944:C945"/>
    <mergeCell ref="C948:C949"/>
    <mergeCell ref="C967:C968"/>
    <mergeCell ref="C973:C974"/>
    <mergeCell ref="C1064:C1065"/>
    <mergeCell ref="C1066:C1067"/>
    <mergeCell ref="D31:D32"/>
    <mergeCell ref="D33:D34"/>
    <mergeCell ref="D45:D46"/>
    <mergeCell ref="D298:D299"/>
    <mergeCell ref="D300:D301"/>
    <mergeCell ref="D303:D304"/>
    <mergeCell ref="D305:D306"/>
    <mergeCell ref="D307:D308"/>
    <mergeCell ref="D309:D310"/>
    <mergeCell ref="D449:D450"/>
    <mergeCell ref="D459:D460"/>
    <mergeCell ref="D464:D465"/>
    <mergeCell ref="D471:D472"/>
    <mergeCell ref="D696:D697"/>
    <mergeCell ref="D698:D699"/>
    <mergeCell ref="D700:D701"/>
    <mergeCell ref="D702:D703"/>
    <mergeCell ref="D704:D705"/>
    <mergeCell ref="D706:D707"/>
    <mergeCell ref="D708:D710"/>
    <mergeCell ref="D711:D712"/>
    <mergeCell ref="D713:D714"/>
    <mergeCell ref="D715:D716"/>
    <mergeCell ref="D717:D718"/>
    <mergeCell ref="D719:D720"/>
    <mergeCell ref="D721:D722"/>
    <mergeCell ref="D723:D724"/>
    <mergeCell ref="D725:D726"/>
    <mergeCell ref="D727:D728"/>
    <mergeCell ref="D729:D730"/>
    <mergeCell ref="D732:D733"/>
    <mergeCell ref="D743:D744"/>
    <mergeCell ref="D751:D752"/>
    <mergeCell ref="D753:D754"/>
    <mergeCell ref="D755:D756"/>
    <mergeCell ref="D757:D758"/>
    <mergeCell ref="D796:D797"/>
    <mergeCell ref="D815:D816"/>
    <mergeCell ref="D827:D828"/>
    <mergeCell ref="D832:D833"/>
    <mergeCell ref="D915:D916"/>
    <mergeCell ref="D917:D918"/>
    <mergeCell ref="D927:D928"/>
    <mergeCell ref="D932:D933"/>
    <mergeCell ref="D938:D939"/>
    <mergeCell ref="D940:D941"/>
    <mergeCell ref="D942:D943"/>
    <mergeCell ref="D944:D945"/>
    <mergeCell ref="D948:D949"/>
    <mergeCell ref="D967:D968"/>
    <mergeCell ref="D973:D974"/>
    <mergeCell ref="D1064:D1065"/>
    <mergeCell ref="D1066:D1067"/>
    <mergeCell ref="E449:E450"/>
    <mergeCell ref="F449:F450"/>
    <mergeCell ref="G449:G450"/>
    <mergeCell ref="H449:H450"/>
    <mergeCell ref="H451:H460"/>
    <mergeCell ref="H462:H470"/>
    <mergeCell ref="H472:H505"/>
    <mergeCell ref="H507:H508"/>
    <mergeCell ref="H509:H688"/>
    <mergeCell ref="H689:H692"/>
    <mergeCell ref="H693:H696"/>
    <mergeCell ref="H708:H709"/>
    <mergeCell ref="H827:H828"/>
    <mergeCell ref="H829:H831"/>
    <mergeCell ref="H832:H835"/>
    <mergeCell ref="H837:H840"/>
    <mergeCell ref="H841:H848"/>
    <mergeCell ref="H849:H850"/>
    <mergeCell ref="H851:H906"/>
    <mergeCell ref="H907:H913"/>
    <mergeCell ref="H914:H915"/>
    <mergeCell ref="H919:H922"/>
    <mergeCell ref="H923:H925"/>
    <mergeCell ref="H926:H927"/>
    <mergeCell ref="H929:H932"/>
    <mergeCell ref="H934:H938"/>
    <mergeCell ref="H946:H948"/>
    <mergeCell ref="H950:H952"/>
    <mergeCell ref="H953:H1063"/>
    <mergeCell ref="H1064:H1073"/>
    <mergeCell ref="H1077:H1085"/>
    <mergeCell ref="M309:M310"/>
    <mergeCell ref="M449:M450"/>
    <mergeCell ref="I449:I450"/>
    <mergeCell ref="J449:J450"/>
    <mergeCell ref="K31:K32"/>
    <mergeCell ref="K33:K34"/>
    <mergeCell ref="K309:K310"/>
    <mergeCell ref="K449:K450"/>
    <mergeCell ref="L31:L32"/>
    <mergeCell ref="L33:L34"/>
    <mergeCell ref="L309:L310"/>
    <mergeCell ref="L449:L450"/>
  </mergeCells>
  <phoneticPr fontId="31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B1:AS49"/>
  <sheetViews>
    <sheetView showGridLines="0" topLeftCell="A19" zoomScale="85" zoomScaleNormal="85" workbookViewId="0">
      <selection activeCell="F41" sqref="F41"/>
    </sheetView>
  </sheetViews>
  <sheetFormatPr defaultColWidth="9" defaultRowHeight="14.15" x14ac:dyDescent="0.3"/>
  <cols>
    <col min="1" max="3" width="3.61328125" customWidth="1"/>
    <col min="4" max="5" width="5.4609375" customWidth="1"/>
    <col min="6" max="6" width="7.4609375" customWidth="1"/>
    <col min="7" max="7" width="3.61328125" customWidth="1"/>
    <col min="8" max="8" width="7.4609375" customWidth="1"/>
    <col min="9" max="9" width="5.4609375" customWidth="1"/>
    <col min="10" max="11" width="3.61328125" customWidth="1"/>
    <col min="12" max="13" width="5.4609375" customWidth="1"/>
    <col min="14" max="15" width="3.61328125" customWidth="1"/>
    <col min="16" max="17" width="5.4609375" customWidth="1"/>
    <col min="18" max="19" width="3.61328125" customWidth="1"/>
    <col min="20" max="20" width="4.4609375" customWidth="1"/>
    <col min="21" max="21" width="5" customWidth="1"/>
    <col min="22" max="23" width="3.61328125" customWidth="1"/>
    <col min="24" max="25" width="5.4609375" customWidth="1"/>
    <col min="26" max="27" width="3.61328125" customWidth="1"/>
    <col min="28" max="29" width="5.4609375" customWidth="1"/>
    <col min="30" max="31" width="3.61328125" customWidth="1"/>
    <col min="32" max="33" width="5.4609375" customWidth="1"/>
    <col min="34" max="35" width="3.61328125" customWidth="1"/>
    <col min="36" max="37" width="5.4609375" customWidth="1"/>
    <col min="38" max="39" width="3.61328125" customWidth="1"/>
    <col min="40" max="41" width="5.4609375" customWidth="1"/>
    <col min="42" max="44" width="3.61328125" customWidth="1"/>
    <col min="45" max="45" width="16.07421875" customWidth="1"/>
  </cols>
  <sheetData>
    <row r="1" spans="2:45" x14ac:dyDescent="0.3">
      <c r="AS1" s="278"/>
    </row>
    <row r="2" spans="2:45" ht="14.15" customHeight="1" x14ac:dyDescent="0.3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4"/>
      <c r="AS2" s="278"/>
    </row>
    <row r="3" spans="2:45" ht="25" customHeight="1" x14ac:dyDescent="0.3">
      <c r="B3" s="281" t="s">
        <v>548</v>
      </c>
      <c r="C3" s="282"/>
      <c r="I3" s="281" t="s">
        <v>549</v>
      </c>
      <c r="J3" s="282"/>
      <c r="K3" s="281" t="s">
        <v>550</v>
      </c>
      <c r="L3" s="282"/>
      <c r="P3" s="281" t="s">
        <v>551</v>
      </c>
      <c r="Q3" s="282"/>
      <c r="T3" s="281" t="s">
        <v>552</v>
      </c>
      <c r="U3" s="282"/>
      <c r="Y3" s="281" t="s">
        <v>553</v>
      </c>
      <c r="Z3" s="282"/>
      <c r="AA3" s="281" t="s">
        <v>554</v>
      </c>
      <c r="AB3" s="282"/>
      <c r="AG3" s="281" t="s">
        <v>555</v>
      </c>
      <c r="AH3" s="282"/>
      <c r="AK3" s="281" t="s">
        <v>556</v>
      </c>
      <c r="AL3" s="282"/>
      <c r="AP3" s="281" t="s">
        <v>557</v>
      </c>
      <c r="AQ3" s="282"/>
      <c r="AR3" s="6"/>
      <c r="AS3" s="278"/>
    </row>
    <row r="4" spans="2:45" ht="25" customHeight="1" x14ac:dyDescent="0.3">
      <c r="B4" s="290"/>
      <c r="C4" s="291"/>
      <c r="I4" s="292"/>
      <c r="J4" s="291"/>
      <c r="K4" s="292"/>
      <c r="L4" s="291"/>
      <c r="P4" s="292"/>
      <c r="Q4" s="291"/>
      <c r="T4" s="292"/>
      <c r="U4" s="291"/>
      <c r="Y4" s="292"/>
      <c r="Z4" s="291"/>
      <c r="AA4" s="292"/>
      <c r="AB4" s="291"/>
      <c r="AG4" s="292"/>
      <c r="AH4" s="291"/>
      <c r="AK4" s="292"/>
      <c r="AL4" s="291"/>
      <c r="AP4" s="292"/>
      <c r="AQ4" s="293"/>
      <c r="AR4" s="6"/>
      <c r="AS4" s="278"/>
    </row>
    <row r="5" spans="2:45" x14ac:dyDescent="0.3">
      <c r="B5" s="7"/>
      <c r="C5" s="8"/>
      <c r="F5" s="8"/>
      <c r="G5" s="8"/>
      <c r="H5" s="284" t="s">
        <v>558</v>
      </c>
      <c r="I5" s="285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284" t="s">
        <v>559</v>
      </c>
      <c r="W5" s="285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284" t="s">
        <v>560</v>
      </c>
      <c r="AN5" s="285"/>
      <c r="AO5" s="8"/>
      <c r="AP5" s="8"/>
      <c r="AQ5" s="9"/>
      <c r="AS5" s="278"/>
    </row>
    <row r="6" spans="2:45" x14ac:dyDescent="0.3">
      <c r="B6" s="11"/>
      <c r="D6" s="3"/>
      <c r="E6" s="3"/>
      <c r="H6" s="3"/>
      <c r="I6" s="3"/>
      <c r="L6" s="3"/>
      <c r="M6" s="3"/>
      <c r="P6" s="3"/>
      <c r="Q6" s="3"/>
      <c r="T6" s="3"/>
      <c r="U6" s="3" t="s">
        <v>561</v>
      </c>
      <c r="V6" s="1"/>
      <c r="W6" s="1"/>
      <c r="X6" s="3"/>
      <c r="Y6" s="3"/>
      <c r="AB6" s="3"/>
      <c r="AC6" s="3"/>
      <c r="AF6" s="3"/>
      <c r="AG6" s="3"/>
      <c r="AJ6" s="3"/>
      <c r="AK6" s="3"/>
      <c r="AM6" s="1"/>
      <c r="AN6" s="3"/>
      <c r="AO6" s="3"/>
      <c r="AP6" s="3"/>
      <c r="AQ6" s="4"/>
    </row>
    <row r="7" spans="2:45" x14ac:dyDescent="0.3">
      <c r="B7" s="12"/>
      <c r="C7" s="13"/>
      <c r="D7" s="289" t="s">
        <v>562</v>
      </c>
      <c r="E7" s="289"/>
      <c r="F7" s="13"/>
      <c r="G7" s="13"/>
      <c r="H7" s="289" t="s">
        <v>563</v>
      </c>
      <c r="I7" s="289"/>
      <c r="J7" s="13"/>
      <c r="K7" s="13"/>
      <c r="L7" s="289" t="s">
        <v>564</v>
      </c>
      <c r="M7" s="289"/>
      <c r="N7" s="13"/>
      <c r="O7" s="13"/>
      <c r="P7" s="289" t="s">
        <v>565</v>
      </c>
      <c r="Q7" s="289"/>
      <c r="R7" s="13"/>
      <c r="S7" s="13"/>
      <c r="T7" s="289" t="s">
        <v>566</v>
      </c>
      <c r="U7" s="289"/>
      <c r="V7" s="13"/>
      <c r="W7" s="13"/>
      <c r="X7" s="289" t="s">
        <v>567</v>
      </c>
      <c r="Y7" s="289"/>
      <c r="Z7" s="13"/>
      <c r="AA7" s="13"/>
      <c r="AB7" s="289" t="s">
        <v>568</v>
      </c>
      <c r="AC7" s="289"/>
      <c r="AD7" s="13"/>
      <c r="AE7" s="13"/>
      <c r="AF7" s="289" t="s">
        <v>569</v>
      </c>
      <c r="AG7" s="289"/>
      <c r="AH7" s="13"/>
      <c r="AI7" s="13"/>
      <c r="AJ7" s="289" t="s">
        <v>570</v>
      </c>
      <c r="AK7" s="289"/>
      <c r="AL7" s="13"/>
      <c r="AM7" s="13"/>
      <c r="AN7" s="289" t="s">
        <v>571</v>
      </c>
      <c r="AO7" s="289"/>
      <c r="AP7" s="13"/>
      <c r="AQ7" s="14"/>
      <c r="AR7" s="13"/>
    </row>
    <row r="8" spans="2:45" ht="14.25" customHeight="1" x14ac:dyDescent="0.3">
      <c r="B8" s="11"/>
      <c r="D8" s="15" t="s">
        <v>572</v>
      </c>
      <c r="E8" s="15" t="s">
        <v>573</v>
      </c>
      <c r="F8" s="1"/>
      <c r="G8" s="1"/>
      <c r="H8" s="15" t="s">
        <v>573</v>
      </c>
      <c r="I8" s="15" t="s">
        <v>572</v>
      </c>
      <c r="J8" s="1"/>
      <c r="K8" s="1"/>
      <c r="L8" s="15" t="s">
        <v>572</v>
      </c>
      <c r="M8" s="15" t="s">
        <v>573</v>
      </c>
      <c r="N8" s="1"/>
      <c r="O8" s="1"/>
      <c r="P8" s="15" t="s">
        <v>573</v>
      </c>
      <c r="Q8" s="15" t="s">
        <v>572</v>
      </c>
      <c r="R8" s="1"/>
      <c r="S8" s="1"/>
      <c r="T8" s="15" t="s">
        <v>572</v>
      </c>
      <c r="U8" s="15" t="s">
        <v>573</v>
      </c>
      <c r="V8" s="1"/>
      <c r="W8" s="1"/>
      <c r="X8" s="15" t="s">
        <v>573</v>
      </c>
      <c r="Y8" s="15" t="s">
        <v>572</v>
      </c>
      <c r="Z8" s="1"/>
      <c r="AA8" s="1"/>
      <c r="AB8" s="15" t="s">
        <v>572</v>
      </c>
      <c r="AC8" s="15" t="s">
        <v>573</v>
      </c>
      <c r="AD8" s="1"/>
      <c r="AE8" s="1"/>
      <c r="AF8" s="15" t="s">
        <v>573</v>
      </c>
      <c r="AG8" s="15" t="s">
        <v>572</v>
      </c>
      <c r="AH8" s="1"/>
      <c r="AI8" s="1"/>
      <c r="AJ8" s="15" t="s">
        <v>572</v>
      </c>
      <c r="AK8" s="15" t="s">
        <v>573</v>
      </c>
      <c r="AL8" s="1"/>
      <c r="AM8" s="1"/>
      <c r="AN8" s="15" t="s">
        <v>573</v>
      </c>
      <c r="AO8" s="15" t="s">
        <v>572</v>
      </c>
      <c r="AQ8" s="16"/>
    </row>
    <row r="9" spans="2:45" x14ac:dyDescent="0.3">
      <c r="B9" s="11"/>
      <c r="D9" s="286" t="s">
        <v>262</v>
      </c>
      <c r="E9" s="286"/>
      <c r="F9" s="17"/>
      <c r="G9" s="17"/>
      <c r="H9" s="286" t="s">
        <v>261</v>
      </c>
      <c r="I9" s="286"/>
      <c r="L9" s="286" t="s">
        <v>264</v>
      </c>
      <c r="M9" s="286"/>
      <c r="N9" s="17"/>
      <c r="O9" s="17"/>
      <c r="P9" s="286" t="s">
        <v>206</v>
      </c>
      <c r="Q9" s="286"/>
      <c r="T9" s="286" t="s">
        <v>260</v>
      </c>
      <c r="U9" s="286"/>
      <c r="V9" s="17"/>
      <c r="W9" s="17"/>
      <c r="X9" s="286" t="s">
        <v>259</v>
      </c>
      <c r="Y9" s="286"/>
      <c r="AB9" s="286" t="s">
        <v>263</v>
      </c>
      <c r="AC9" s="286"/>
      <c r="AD9" s="17"/>
      <c r="AE9" s="17"/>
      <c r="AF9" s="286" t="s">
        <v>258</v>
      </c>
      <c r="AG9" s="286"/>
      <c r="AJ9" s="286" t="s">
        <v>256</v>
      </c>
      <c r="AK9" s="286"/>
      <c r="AL9" s="17"/>
      <c r="AM9" s="17"/>
      <c r="AN9" s="286" t="s">
        <v>265</v>
      </c>
      <c r="AO9" s="286"/>
      <c r="AQ9" s="16"/>
    </row>
    <row r="10" spans="2:45" x14ac:dyDescent="0.3">
      <c r="B10" s="11"/>
      <c r="D10" s="286" t="s">
        <v>477</v>
      </c>
      <c r="E10" s="286"/>
      <c r="F10" s="17"/>
      <c r="G10" s="17"/>
      <c r="H10" s="286" t="s">
        <v>368</v>
      </c>
      <c r="I10" s="286"/>
      <c r="L10" s="286" t="s">
        <v>365</v>
      </c>
      <c r="M10" s="286"/>
      <c r="N10" s="17"/>
      <c r="O10" s="17"/>
      <c r="P10" s="286" t="s">
        <v>203</v>
      </c>
      <c r="Q10" s="286"/>
      <c r="T10" s="286" t="s">
        <v>179</v>
      </c>
      <c r="U10" s="286"/>
      <c r="V10" s="17"/>
      <c r="W10" s="17"/>
      <c r="X10" s="286" t="s">
        <v>172</v>
      </c>
      <c r="Y10" s="286"/>
      <c r="AB10" s="286" t="s">
        <v>181</v>
      </c>
      <c r="AC10" s="286"/>
      <c r="AD10" s="17"/>
      <c r="AE10" s="17"/>
      <c r="AF10" s="286" t="s">
        <v>320</v>
      </c>
      <c r="AG10" s="286"/>
      <c r="AJ10" s="286" t="s">
        <v>449</v>
      </c>
      <c r="AK10" s="286"/>
      <c r="AL10" s="17"/>
      <c r="AM10" s="17"/>
      <c r="AN10" s="286" t="s">
        <v>246</v>
      </c>
      <c r="AO10" s="286"/>
      <c r="AQ10" s="16"/>
      <c r="AR10" s="18"/>
    </row>
    <row r="11" spans="2:45" x14ac:dyDescent="0.3">
      <c r="B11" s="11"/>
      <c r="D11" s="286" t="s">
        <v>303</v>
      </c>
      <c r="E11" s="286"/>
      <c r="F11" s="17"/>
      <c r="G11" s="17"/>
      <c r="H11" s="286" t="s">
        <v>371</v>
      </c>
      <c r="I11" s="286"/>
      <c r="L11" s="287" t="s">
        <v>275</v>
      </c>
      <c r="M11" s="287"/>
      <c r="N11" s="17"/>
      <c r="O11" s="17"/>
      <c r="P11" s="286" t="s">
        <v>157</v>
      </c>
      <c r="Q11" s="286"/>
      <c r="T11" s="286" t="s">
        <v>141</v>
      </c>
      <c r="U11" s="286"/>
      <c r="V11" s="17"/>
      <c r="W11" s="17"/>
      <c r="X11" s="286" t="s">
        <v>177</v>
      </c>
      <c r="Y11" s="286"/>
      <c r="AB11" s="286" t="s">
        <v>82</v>
      </c>
      <c r="AC11" s="286"/>
      <c r="AD11" s="17"/>
      <c r="AE11" s="17"/>
      <c r="AF11" s="286" t="s">
        <v>215</v>
      </c>
      <c r="AG11" s="286"/>
      <c r="AJ11" s="286" t="s">
        <v>271</v>
      </c>
      <c r="AK11" s="286"/>
      <c r="AL11" s="17"/>
      <c r="AM11" s="17"/>
      <c r="AN11" s="286" t="s">
        <v>185</v>
      </c>
      <c r="AO11" s="286"/>
      <c r="AQ11" s="16"/>
    </row>
    <row r="12" spans="2:45" x14ac:dyDescent="0.3">
      <c r="B12" s="11"/>
      <c r="D12" s="286" t="s">
        <v>304</v>
      </c>
      <c r="E12" s="286"/>
      <c r="F12" s="17"/>
      <c r="G12" s="17"/>
      <c r="H12" s="286" t="s">
        <v>374</v>
      </c>
      <c r="I12" s="286"/>
      <c r="L12" s="286" t="s">
        <v>276</v>
      </c>
      <c r="M12" s="286"/>
      <c r="N12" s="17"/>
      <c r="O12" s="17"/>
      <c r="P12" s="286" t="s">
        <v>158</v>
      </c>
      <c r="Q12" s="286"/>
      <c r="T12" s="286" t="s">
        <v>142</v>
      </c>
      <c r="U12" s="286"/>
      <c r="V12" s="17"/>
      <c r="W12" s="17"/>
      <c r="X12" s="286" t="s">
        <v>178</v>
      </c>
      <c r="Y12" s="286"/>
      <c r="AB12" s="286" t="s">
        <v>87</v>
      </c>
      <c r="AC12" s="286"/>
      <c r="AD12" s="17"/>
      <c r="AE12" s="17"/>
      <c r="AF12" s="286" t="s">
        <v>222</v>
      </c>
      <c r="AG12" s="286"/>
      <c r="AJ12" s="286" t="s">
        <v>272</v>
      </c>
      <c r="AK12" s="286"/>
      <c r="AL12" s="17"/>
      <c r="AM12" s="17"/>
      <c r="AN12" s="286" t="s">
        <v>193</v>
      </c>
      <c r="AO12" s="286"/>
      <c r="AQ12" s="16"/>
    </row>
    <row r="13" spans="2:45" x14ac:dyDescent="0.3">
      <c r="B13" s="11"/>
      <c r="D13" s="286" t="s">
        <v>305</v>
      </c>
      <c r="E13" s="286"/>
      <c r="F13" s="17"/>
      <c r="G13" s="17"/>
      <c r="H13" s="286" t="s">
        <v>291</v>
      </c>
      <c r="I13" s="286"/>
      <c r="L13" s="286" t="s">
        <v>277</v>
      </c>
      <c r="M13" s="286"/>
      <c r="N13" s="17"/>
      <c r="O13" s="17"/>
      <c r="P13" s="286" t="s">
        <v>159</v>
      </c>
      <c r="Q13" s="286"/>
      <c r="T13" s="286" t="s">
        <v>143</v>
      </c>
      <c r="U13" s="286"/>
      <c r="V13" s="17"/>
      <c r="W13" s="17"/>
      <c r="X13" s="286" t="s">
        <v>129</v>
      </c>
      <c r="Y13" s="286"/>
      <c r="AB13" s="286" t="s">
        <v>88</v>
      </c>
      <c r="AC13" s="286"/>
      <c r="AD13" s="17"/>
      <c r="AE13" s="17"/>
      <c r="AF13" s="286" t="s">
        <v>225</v>
      </c>
      <c r="AG13" s="286"/>
      <c r="AJ13" s="286" t="s">
        <v>99</v>
      </c>
      <c r="AK13" s="286"/>
      <c r="AL13" s="17"/>
      <c r="AM13" s="17"/>
      <c r="AN13" s="286" t="s">
        <v>268</v>
      </c>
      <c r="AO13" s="286"/>
      <c r="AQ13" s="16"/>
    </row>
    <row r="14" spans="2:45" x14ac:dyDescent="0.3">
      <c r="B14" s="11"/>
      <c r="D14" s="286" t="s">
        <v>306</v>
      </c>
      <c r="E14" s="286"/>
      <c r="F14" s="17"/>
      <c r="G14" s="17"/>
      <c r="H14" s="286" t="s">
        <v>292</v>
      </c>
      <c r="I14" s="286"/>
      <c r="L14" s="286" t="s">
        <v>278</v>
      </c>
      <c r="M14" s="286"/>
      <c r="N14" s="17"/>
      <c r="O14" s="17"/>
      <c r="P14" s="286" t="s">
        <v>160</v>
      </c>
      <c r="Q14" s="286"/>
      <c r="T14" s="286" t="s">
        <v>144</v>
      </c>
      <c r="U14" s="286"/>
      <c r="V14" s="17"/>
      <c r="W14" s="17"/>
      <c r="X14" s="286" t="s">
        <v>130</v>
      </c>
      <c r="Y14" s="286"/>
      <c r="AB14" s="286" t="s">
        <v>89</v>
      </c>
      <c r="AC14" s="286"/>
      <c r="AD14" s="17"/>
      <c r="AE14" s="17"/>
      <c r="AF14" s="286" t="s">
        <v>228</v>
      </c>
      <c r="AG14" s="286"/>
      <c r="AJ14" s="286" t="s">
        <v>100</v>
      </c>
      <c r="AK14" s="286"/>
      <c r="AL14" s="17"/>
      <c r="AM14" s="17"/>
      <c r="AN14" s="286" t="s">
        <v>192</v>
      </c>
      <c r="AO14" s="286"/>
      <c r="AQ14" s="16"/>
    </row>
    <row r="15" spans="2:45" x14ac:dyDescent="0.3">
      <c r="B15" s="11"/>
      <c r="D15" s="286" t="s">
        <v>307</v>
      </c>
      <c r="E15" s="286"/>
      <c r="F15" s="17"/>
      <c r="G15" s="17"/>
      <c r="H15" s="286" t="s">
        <v>293</v>
      </c>
      <c r="I15" s="286"/>
      <c r="L15" s="286" t="s">
        <v>279</v>
      </c>
      <c r="M15" s="286"/>
      <c r="N15" s="17"/>
      <c r="O15" s="17"/>
      <c r="P15" s="286" t="s">
        <v>161</v>
      </c>
      <c r="Q15" s="286"/>
      <c r="T15" s="286" t="s">
        <v>145</v>
      </c>
      <c r="U15" s="286"/>
      <c r="V15" s="17"/>
      <c r="W15" s="17"/>
      <c r="X15" s="286" t="s">
        <v>131</v>
      </c>
      <c r="Y15" s="286"/>
      <c r="AB15" s="286" t="s">
        <v>90</v>
      </c>
      <c r="AC15" s="286"/>
      <c r="AD15" s="17"/>
      <c r="AE15" s="17"/>
      <c r="AF15" s="286" t="s">
        <v>113</v>
      </c>
      <c r="AG15" s="286"/>
      <c r="AJ15" s="286" t="s">
        <v>101</v>
      </c>
      <c r="AK15" s="286"/>
      <c r="AL15" s="17"/>
      <c r="AM15" s="17"/>
      <c r="AN15" s="286" t="s">
        <v>186</v>
      </c>
      <c r="AO15" s="286"/>
      <c r="AQ15" s="16"/>
    </row>
    <row r="16" spans="2:45" x14ac:dyDescent="0.3">
      <c r="B16" s="11"/>
      <c r="D16" s="286" t="s">
        <v>308</v>
      </c>
      <c r="E16" s="286"/>
      <c r="F16" s="17"/>
      <c r="G16" s="17"/>
      <c r="H16" s="286" t="s">
        <v>294</v>
      </c>
      <c r="I16" s="286"/>
      <c r="L16" s="286" t="s">
        <v>280</v>
      </c>
      <c r="M16" s="286"/>
      <c r="N16" s="17"/>
      <c r="O16" s="17"/>
      <c r="P16" s="286" t="s">
        <v>162</v>
      </c>
      <c r="Q16" s="286"/>
      <c r="T16" s="286" t="s">
        <v>146</v>
      </c>
      <c r="U16" s="286"/>
      <c r="V16" s="17"/>
      <c r="W16" s="17"/>
      <c r="X16" s="286" t="s">
        <v>132</v>
      </c>
      <c r="Y16" s="286"/>
      <c r="AB16" s="286" t="s">
        <v>91</v>
      </c>
      <c r="AC16" s="286"/>
      <c r="AD16" s="17"/>
      <c r="AE16" s="17"/>
      <c r="AF16" s="286" t="s">
        <v>114</v>
      </c>
      <c r="AG16" s="286"/>
      <c r="AJ16" s="286" t="s">
        <v>102</v>
      </c>
      <c r="AK16" s="286"/>
      <c r="AL16" s="17"/>
      <c r="AM16" s="17"/>
      <c r="AN16" s="286" t="s">
        <v>319</v>
      </c>
      <c r="AO16" s="286"/>
      <c r="AQ16" s="16"/>
    </row>
    <row r="17" spans="2:43" x14ac:dyDescent="0.3">
      <c r="B17" s="11"/>
      <c r="D17" s="286" t="s">
        <v>309</v>
      </c>
      <c r="E17" s="286"/>
      <c r="F17" s="17"/>
      <c r="G17" s="17"/>
      <c r="H17" s="286" t="s">
        <v>295</v>
      </c>
      <c r="I17" s="286"/>
      <c r="L17" s="286" t="s">
        <v>281</v>
      </c>
      <c r="M17" s="286"/>
      <c r="N17" s="17"/>
      <c r="O17" s="17"/>
      <c r="P17" s="286" t="s">
        <v>163</v>
      </c>
      <c r="Q17" s="286"/>
      <c r="T17" s="286" t="s">
        <v>147</v>
      </c>
      <c r="U17" s="286"/>
      <c r="V17" s="17"/>
      <c r="W17" s="17"/>
      <c r="X17" s="286" t="s">
        <v>133</v>
      </c>
      <c r="Y17" s="286"/>
      <c r="AB17" s="286" t="s">
        <v>92</v>
      </c>
      <c r="AC17" s="286"/>
      <c r="AD17" s="17"/>
      <c r="AE17" s="17"/>
      <c r="AF17" s="286" t="s">
        <v>115</v>
      </c>
      <c r="AG17" s="286"/>
      <c r="AJ17" s="286" t="s">
        <v>103</v>
      </c>
      <c r="AK17" s="286"/>
      <c r="AL17" s="17"/>
      <c r="AM17" s="17"/>
      <c r="AN17" s="286" t="s">
        <v>191</v>
      </c>
      <c r="AO17" s="286"/>
      <c r="AQ17" s="16"/>
    </row>
    <row r="18" spans="2:43" x14ac:dyDescent="0.3">
      <c r="B18" s="11"/>
      <c r="D18" s="286" t="s">
        <v>310</v>
      </c>
      <c r="E18" s="286"/>
      <c r="F18" s="17"/>
      <c r="G18" s="17"/>
      <c r="H18" s="286" t="s">
        <v>296</v>
      </c>
      <c r="I18" s="286"/>
      <c r="L18" s="286" t="s">
        <v>282</v>
      </c>
      <c r="M18" s="286"/>
      <c r="N18" s="17"/>
      <c r="O18" s="17"/>
      <c r="P18" s="286" t="s">
        <v>164</v>
      </c>
      <c r="Q18" s="286"/>
      <c r="T18" s="286" t="s">
        <v>148</v>
      </c>
      <c r="U18" s="286"/>
      <c r="V18" s="17"/>
      <c r="W18" s="17"/>
      <c r="X18" s="286" t="s">
        <v>134</v>
      </c>
      <c r="Y18" s="286"/>
      <c r="AB18" s="286" t="s">
        <v>93</v>
      </c>
      <c r="AC18" s="286"/>
      <c r="AD18" s="17"/>
      <c r="AE18" s="17"/>
      <c r="AF18" s="286" t="s">
        <v>116</v>
      </c>
      <c r="AG18" s="286"/>
      <c r="AJ18" s="286" t="s">
        <v>104</v>
      </c>
      <c r="AK18" s="286"/>
      <c r="AL18" s="17"/>
      <c r="AM18" s="17"/>
      <c r="AN18" s="286" t="s">
        <v>187</v>
      </c>
      <c r="AO18" s="286"/>
      <c r="AQ18" s="16"/>
    </row>
    <row r="19" spans="2:43" x14ac:dyDescent="0.3">
      <c r="B19" s="11"/>
      <c r="D19" s="286" t="s">
        <v>311</v>
      </c>
      <c r="E19" s="286"/>
      <c r="F19" s="17"/>
      <c r="G19" s="17"/>
      <c r="H19" s="288"/>
      <c r="I19" s="288"/>
      <c r="L19" s="286" t="s">
        <v>283</v>
      </c>
      <c r="M19" s="286"/>
      <c r="N19" s="17"/>
      <c r="O19" s="17"/>
      <c r="P19" s="288"/>
      <c r="Q19" s="288"/>
      <c r="T19" s="286" t="s">
        <v>149</v>
      </c>
      <c r="U19" s="286"/>
      <c r="V19" s="17"/>
      <c r="W19" s="17"/>
      <c r="X19" s="288"/>
      <c r="Y19" s="288"/>
      <c r="AB19" s="286" t="s">
        <v>273</v>
      </c>
      <c r="AC19" s="286"/>
      <c r="AD19" s="17"/>
      <c r="AE19" s="17"/>
      <c r="AF19" s="288"/>
      <c r="AG19" s="288"/>
      <c r="AJ19" s="286" t="s">
        <v>105</v>
      </c>
      <c r="AK19" s="286"/>
      <c r="AL19" s="17"/>
      <c r="AM19" s="17"/>
      <c r="AN19" s="288"/>
      <c r="AO19" s="288"/>
      <c r="AQ19" s="16"/>
    </row>
    <row r="20" spans="2:43" x14ac:dyDescent="0.3">
      <c r="B20" s="11"/>
      <c r="D20" s="286" t="s">
        <v>312</v>
      </c>
      <c r="E20" s="286"/>
      <c r="F20" s="17"/>
      <c r="G20" s="17"/>
      <c r="H20" s="288"/>
      <c r="I20" s="288"/>
      <c r="L20" s="286" t="s">
        <v>284</v>
      </c>
      <c r="M20" s="286"/>
      <c r="N20" s="17"/>
      <c r="O20" s="17"/>
      <c r="P20" s="288"/>
      <c r="Q20" s="288"/>
      <c r="T20" s="286" t="s">
        <v>150</v>
      </c>
      <c r="U20" s="286"/>
      <c r="V20" s="17"/>
      <c r="W20" s="17"/>
      <c r="X20" s="288"/>
      <c r="Y20" s="288"/>
      <c r="AB20" s="286" t="s">
        <v>274</v>
      </c>
      <c r="AC20" s="286"/>
      <c r="AD20" s="17"/>
      <c r="AE20" s="17"/>
      <c r="AF20" s="288"/>
      <c r="AG20" s="288"/>
      <c r="AJ20" s="286" t="s">
        <v>106</v>
      </c>
      <c r="AK20" s="286"/>
      <c r="AL20" s="17"/>
      <c r="AM20" s="17"/>
      <c r="AN20" s="288"/>
      <c r="AO20" s="288"/>
      <c r="AP20" s="19"/>
      <c r="AQ20" s="16"/>
    </row>
    <row r="21" spans="2:43" x14ac:dyDescent="0.3">
      <c r="B21" s="11"/>
      <c r="D21" s="286" t="s">
        <v>313</v>
      </c>
      <c r="E21" s="286"/>
      <c r="F21" s="17"/>
      <c r="G21" s="17"/>
      <c r="H21" s="286" t="s">
        <v>297</v>
      </c>
      <c r="I21" s="286"/>
      <c r="L21" s="286" t="s">
        <v>285</v>
      </c>
      <c r="M21" s="286"/>
      <c r="N21" s="17"/>
      <c r="O21" s="17"/>
      <c r="P21" s="286" t="s">
        <v>165</v>
      </c>
      <c r="Q21" s="286"/>
      <c r="T21" s="286" t="s">
        <v>151</v>
      </c>
      <c r="U21" s="286"/>
      <c r="V21" s="17"/>
      <c r="W21" s="17"/>
      <c r="X21" s="286" t="s">
        <v>135</v>
      </c>
      <c r="Y21" s="286"/>
      <c r="AB21" s="286" t="s">
        <v>123</v>
      </c>
      <c r="AC21" s="286"/>
      <c r="AD21" s="17"/>
      <c r="AE21" s="17"/>
      <c r="AF21" s="286" t="s">
        <v>117</v>
      </c>
      <c r="AG21" s="286"/>
      <c r="AJ21" s="286" t="s">
        <v>107</v>
      </c>
      <c r="AK21" s="286"/>
      <c r="AL21" s="17"/>
      <c r="AM21" s="17"/>
      <c r="AN21" s="286" t="s">
        <v>209</v>
      </c>
      <c r="AO21" s="286"/>
      <c r="AQ21" s="16"/>
    </row>
    <row r="22" spans="2:43" x14ac:dyDescent="0.3">
      <c r="B22" s="11"/>
      <c r="D22" s="286" t="s">
        <v>314</v>
      </c>
      <c r="E22" s="286"/>
      <c r="F22" s="17"/>
      <c r="G22" s="17"/>
      <c r="H22" s="286" t="s">
        <v>298</v>
      </c>
      <c r="I22" s="286"/>
      <c r="L22" s="286" t="s">
        <v>286</v>
      </c>
      <c r="M22" s="286"/>
      <c r="N22" s="17"/>
      <c r="O22" s="17"/>
      <c r="P22" s="286" t="s">
        <v>166</v>
      </c>
      <c r="Q22" s="286"/>
      <c r="T22" s="286" t="s">
        <v>152</v>
      </c>
      <c r="U22" s="286"/>
      <c r="V22" s="17"/>
      <c r="W22" s="17"/>
      <c r="X22" s="286" t="s">
        <v>136</v>
      </c>
      <c r="Y22" s="286"/>
      <c r="AB22" s="286" t="s">
        <v>124</v>
      </c>
      <c r="AC22" s="286"/>
      <c r="AD22" s="17"/>
      <c r="AE22" s="17"/>
      <c r="AF22" s="286" t="s">
        <v>118</v>
      </c>
      <c r="AG22" s="286"/>
      <c r="AJ22" s="286" t="s">
        <v>108</v>
      </c>
      <c r="AK22" s="286"/>
      <c r="AL22" s="17"/>
      <c r="AM22" s="17"/>
      <c r="AN22" s="286" t="s">
        <v>213</v>
      </c>
      <c r="AO22" s="286"/>
      <c r="AQ22" s="16"/>
    </row>
    <row r="23" spans="2:43" x14ac:dyDescent="0.3">
      <c r="B23" s="11"/>
      <c r="D23" s="286" t="s">
        <v>315</v>
      </c>
      <c r="E23" s="286"/>
      <c r="F23" s="17"/>
      <c r="G23" s="17"/>
      <c r="H23" s="286" t="s">
        <v>299</v>
      </c>
      <c r="I23" s="286"/>
      <c r="L23" s="286" t="s">
        <v>287</v>
      </c>
      <c r="M23" s="286"/>
      <c r="N23" s="17"/>
      <c r="O23" s="17"/>
      <c r="P23" s="286" t="s">
        <v>167</v>
      </c>
      <c r="Q23" s="286"/>
      <c r="T23" s="286" t="s">
        <v>153</v>
      </c>
      <c r="U23" s="286"/>
      <c r="V23" s="17"/>
      <c r="W23" s="17"/>
      <c r="X23" s="286" t="s">
        <v>137</v>
      </c>
      <c r="Y23" s="286"/>
      <c r="AB23" s="286" t="s">
        <v>125</v>
      </c>
      <c r="AC23" s="286"/>
      <c r="AD23" s="17"/>
      <c r="AE23" s="17"/>
      <c r="AF23" s="286" t="s">
        <v>119</v>
      </c>
      <c r="AG23" s="286"/>
      <c r="AJ23" s="286" t="s">
        <v>109</v>
      </c>
      <c r="AK23" s="286"/>
      <c r="AL23" s="17"/>
      <c r="AM23" s="17"/>
      <c r="AN23" s="286" t="s">
        <v>270</v>
      </c>
      <c r="AO23" s="286"/>
      <c r="AQ23" s="16"/>
    </row>
    <row r="24" spans="2:43" x14ac:dyDescent="0.3">
      <c r="B24" s="11"/>
      <c r="D24" s="286" t="s">
        <v>316</v>
      </c>
      <c r="E24" s="286"/>
      <c r="F24" s="17"/>
      <c r="G24" s="17"/>
      <c r="H24" s="286" t="s">
        <v>300</v>
      </c>
      <c r="I24" s="286"/>
      <c r="L24" s="286" t="s">
        <v>288</v>
      </c>
      <c r="M24" s="286"/>
      <c r="N24" s="17"/>
      <c r="O24" s="17"/>
      <c r="P24" s="286" t="s">
        <v>168</v>
      </c>
      <c r="Q24" s="286"/>
      <c r="T24" s="286" t="s">
        <v>154</v>
      </c>
      <c r="U24" s="286"/>
      <c r="V24" s="17"/>
      <c r="W24" s="17"/>
      <c r="X24" s="286" t="s">
        <v>138</v>
      </c>
      <c r="Y24" s="286"/>
      <c r="AB24" s="286" t="s">
        <v>126</v>
      </c>
      <c r="AC24" s="286"/>
      <c r="AD24" s="17"/>
      <c r="AE24" s="17"/>
      <c r="AF24" s="286" t="s">
        <v>120</v>
      </c>
      <c r="AG24" s="286"/>
      <c r="AJ24" s="286" t="s">
        <v>110</v>
      </c>
      <c r="AK24" s="286"/>
      <c r="AL24" s="17"/>
      <c r="AM24" s="17"/>
      <c r="AN24" s="286" t="s">
        <v>95</v>
      </c>
      <c r="AO24" s="286"/>
      <c r="AQ24" s="16"/>
    </row>
    <row r="25" spans="2:43" x14ac:dyDescent="0.3">
      <c r="B25" s="11"/>
      <c r="D25" s="286" t="s">
        <v>317</v>
      </c>
      <c r="E25" s="286"/>
      <c r="F25" s="17"/>
      <c r="G25" s="17"/>
      <c r="H25" s="286" t="s">
        <v>301</v>
      </c>
      <c r="I25" s="286"/>
      <c r="L25" s="286" t="s">
        <v>289</v>
      </c>
      <c r="M25" s="286"/>
      <c r="N25" s="17"/>
      <c r="O25" s="17"/>
      <c r="P25" s="287" t="s">
        <v>169</v>
      </c>
      <c r="Q25" s="287"/>
      <c r="T25" s="286" t="s">
        <v>155</v>
      </c>
      <c r="U25" s="286"/>
      <c r="V25" s="17"/>
      <c r="W25" s="17"/>
      <c r="X25" s="286" t="s">
        <v>139</v>
      </c>
      <c r="Y25" s="286"/>
      <c r="AB25" s="286" t="s">
        <v>127</v>
      </c>
      <c r="AC25" s="286"/>
      <c r="AD25" s="17"/>
      <c r="AE25" s="17"/>
      <c r="AF25" s="286" t="s">
        <v>121</v>
      </c>
      <c r="AG25" s="286"/>
      <c r="AJ25" s="286" t="s">
        <v>111</v>
      </c>
      <c r="AK25" s="286"/>
      <c r="AL25" s="17"/>
      <c r="AM25" s="17"/>
      <c r="AN25" s="286" t="s">
        <v>97</v>
      </c>
      <c r="AO25" s="286"/>
      <c r="AQ25" s="16"/>
    </row>
    <row r="26" spans="2:43" x14ac:dyDescent="0.3">
      <c r="B26" s="11"/>
      <c r="D26" s="286" t="s">
        <v>318</v>
      </c>
      <c r="E26" s="286"/>
      <c r="F26" s="17"/>
      <c r="G26" s="17"/>
      <c r="H26" s="286" t="s">
        <v>302</v>
      </c>
      <c r="I26" s="286"/>
      <c r="L26" s="286" t="s">
        <v>290</v>
      </c>
      <c r="M26" s="286"/>
      <c r="N26" s="17"/>
      <c r="O26" s="17"/>
      <c r="P26" s="287" t="s">
        <v>170</v>
      </c>
      <c r="Q26" s="287"/>
      <c r="T26" s="286" t="s">
        <v>156</v>
      </c>
      <c r="U26" s="286"/>
      <c r="V26" s="17"/>
      <c r="W26" s="17"/>
      <c r="X26" s="286" t="s">
        <v>140</v>
      </c>
      <c r="Y26" s="286"/>
      <c r="AB26" s="286" t="s">
        <v>128</v>
      </c>
      <c r="AC26" s="286"/>
      <c r="AD26" s="17"/>
      <c r="AE26" s="17"/>
      <c r="AF26" s="286" t="s">
        <v>122</v>
      </c>
      <c r="AG26" s="286"/>
      <c r="AJ26" s="286" t="s">
        <v>112</v>
      </c>
      <c r="AK26" s="286"/>
      <c r="AL26" s="17"/>
      <c r="AM26" s="17"/>
      <c r="AN26" s="286" t="s">
        <v>98</v>
      </c>
      <c r="AO26" s="286"/>
      <c r="AQ26" s="16"/>
    </row>
    <row r="27" spans="2:43" x14ac:dyDescent="0.3">
      <c r="B27" s="7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9"/>
    </row>
    <row r="28" spans="2:43" x14ac:dyDescent="0.3">
      <c r="B28" s="2"/>
      <c r="C28" s="3"/>
      <c r="D28" s="3"/>
      <c r="E28" s="3"/>
      <c r="F28" s="3"/>
      <c r="G28" s="284" t="s">
        <v>558</v>
      </c>
      <c r="H28" s="285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284" t="s">
        <v>559</v>
      </c>
      <c r="X28" s="285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284" t="s">
        <v>560</v>
      </c>
      <c r="AN28" s="285"/>
      <c r="AO28" s="3"/>
      <c r="AP28" s="3"/>
      <c r="AQ28" s="4"/>
    </row>
    <row r="29" spans="2:43" x14ac:dyDescent="0.3">
      <c r="B29" s="11"/>
      <c r="AQ29" s="9"/>
    </row>
    <row r="30" spans="2:43" x14ac:dyDescent="0.3">
      <c r="B30" s="281" t="s">
        <v>574</v>
      </c>
      <c r="C30" s="282"/>
      <c r="I30" s="281" t="s">
        <v>575</v>
      </c>
      <c r="J30" s="282"/>
      <c r="K30" s="281" t="s">
        <v>576</v>
      </c>
      <c r="L30" s="282"/>
      <c r="P30" s="281" t="s">
        <v>577</v>
      </c>
      <c r="Q30" s="282"/>
      <c r="T30" s="281" t="s">
        <v>578</v>
      </c>
      <c r="U30" s="282"/>
      <c r="Y30" s="281" t="s">
        <v>579</v>
      </c>
      <c r="Z30" s="282"/>
      <c r="AA30" s="281" t="s">
        <v>580</v>
      </c>
      <c r="AB30" s="282"/>
      <c r="AG30" s="281" t="s">
        <v>581</v>
      </c>
      <c r="AH30" s="282"/>
      <c r="AK30" s="281" t="s">
        <v>582</v>
      </c>
      <c r="AL30" s="282"/>
      <c r="AP30" s="281" t="s">
        <v>583</v>
      </c>
      <c r="AQ30" s="282"/>
    </row>
    <row r="31" spans="2:43" x14ac:dyDescent="0.3"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9"/>
    </row>
    <row r="32" spans="2:43" x14ac:dyDescent="0.3">
      <c r="B32" s="7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9"/>
    </row>
    <row r="34" spans="2:8" ht="14.15" customHeight="1" x14ac:dyDescent="0.3">
      <c r="B34" s="279" t="s">
        <v>584</v>
      </c>
      <c r="C34" s="279"/>
      <c r="D34" s="279"/>
      <c r="E34" s="279"/>
      <c r="F34" s="279"/>
    </row>
    <row r="35" spans="2:8" x14ac:dyDescent="0.3">
      <c r="B35" s="279"/>
      <c r="C35" s="279"/>
      <c r="D35" s="279"/>
      <c r="E35" s="279"/>
      <c r="F35" s="279"/>
    </row>
    <row r="36" spans="2:8" x14ac:dyDescent="0.3">
      <c r="B36" s="279"/>
      <c r="C36" s="279"/>
      <c r="D36" s="279"/>
      <c r="E36" s="279"/>
      <c r="F36" s="279"/>
    </row>
    <row r="37" spans="2:8" x14ac:dyDescent="0.3">
      <c r="B37" s="279"/>
      <c r="C37" s="279"/>
      <c r="D37" s="279"/>
      <c r="E37" s="279"/>
      <c r="F37" s="279"/>
      <c r="H37" s="10"/>
    </row>
    <row r="38" spans="2:8" x14ac:dyDescent="0.3">
      <c r="B38" s="280"/>
      <c r="C38" s="280"/>
      <c r="D38" s="280"/>
      <c r="E38" s="280"/>
      <c r="F38" s="280"/>
      <c r="G38" s="18"/>
      <c r="H38" s="10"/>
    </row>
    <row r="39" spans="2:8" x14ac:dyDescent="0.3">
      <c r="B39" s="283" t="s">
        <v>585</v>
      </c>
      <c r="C39" s="283"/>
      <c r="D39" s="283"/>
      <c r="E39" s="283"/>
      <c r="F39" s="21">
        <v>170</v>
      </c>
    </row>
    <row r="40" spans="2:8" x14ac:dyDescent="0.3">
      <c r="B40" s="283" t="s">
        <v>586</v>
      </c>
      <c r="C40" s="283"/>
      <c r="D40" s="283"/>
      <c r="E40" s="283"/>
      <c r="F40" s="21">
        <f>getcolorcount($D$9:$AO$31,G40)/2</f>
        <v>3</v>
      </c>
      <c r="G40" s="22"/>
    </row>
    <row r="41" spans="2:8" x14ac:dyDescent="0.3">
      <c r="B41" s="283" t="s">
        <v>587</v>
      </c>
      <c r="C41" s="283"/>
      <c r="D41" s="283"/>
      <c r="E41" s="283"/>
      <c r="F41" s="21">
        <f>getcolorcount($D$9:$AO$31,G41)/2</f>
        <v>167</v>
      </c>
      <c r="G41" s="23"/>
    </row>
    <row r="42" spans="2:8" x14ac:dyDescent="0.3">
      <c r="B42" s="283" t="s">
        <v>588</v>
      </c>
      <c r="C42" s="283"/>
      <c r="D42" s="283"/>
      <c r="E42" s="283"/>
      <c r="F42" s="21">
        <f>getcolorcount($D$9:$AO$31,G42)/2</f>
        <v>0</v>
      </c>
      <c r="G42" s="24"/>
    </row>
    <row r="43" spans="2:8" x14ac:dyDescent="0.3">
      <c r="B43" s="283" t="s">
        <v>589</v>
      </c>
      <c r="C43" s="283"/>
      <c r="D43" s="283"/>
      <c r="E43" s="283"/>
      <c r="F43" s="21">
        <f>F40+F41</f>
        <v>170</v>
      </c>
    </row>
    <row r="45" spans="2:8" x14ac:dyDescent="0.3">
      <c r="B45" s="283" t="s">
        <v>590</v>
      </c>
      <c r="C45" s="283"/>
      <c r="D45" s="283"/>
      <c r="E45" s="283" t="s">
        <v>591</v>
      </c>
      <c r="F45" s="28">
        <f>F40+'201-M2机柜平面图 '!F40+'302-M3机柜平面图 '!F39+'301-M4机柜平面图'!F39+'402-M5机柜平面图'!F40+'401-M6机柜平面图'!F40</f>
        <v>31</v>
      </c>
    </row>
    <row r="46" spans="2:8" x14ac:dyDescent="0.3">
      <c r="B46" s="283" t="s">
        <v>592</v>
      </c>
      <c r="C46" s="283"/>
      <c r="D46" s="283"/>
      <c r="E46" s="283" t="s">
        <v>591</v>
      </c>
      <c r="F46" s="28">
        <f>F41+'201-M2机柜平面图 '!F41+'302-M3机柜平面图 '!F40+'301-M4机柜平面图'!F40+'402-M5机柜平面图'!F41+'401-M6机柜平面图'!F41</f>
        <v>939</v>
      </c>
    </row>
    <row r="47" spans="2:8" ht="25.85" customHeight="1" x14ac:dyDescent="0.3">
      <c r="B47" s="277" t="s">
        <v>593</v>
      </c>
      <c r="C47" s="277"/>
      <c r="D47" s="277"/>
      <c r="E47" s="277" t="s">
        <v>591</v>
      </c>
      <c r="F47" s="28">
        <f>F42+'201-M2机柜平面图 '!F42+'302-M3机柜平面图 '!F41+'301-M4机柜平面图'!F41+'402-M5机柜平面图'!F42+'401-M6机柜平面图'!F42</f>
        <v>28</v>
      </c>
    </row>
    <row r="48" spans="2:8" ht="28.85" customHeight="1" x14ac:dyDescent="0.3">
      <c r="B48" s="277" t="s">
        <v>594</v>
      </c>
      <c r="C48" s="277"/>
      <c r="D48" s="277"/>
      <c r="E48" s="277"/>
      <c r="F48" s="28">
        <f>F43+'201-M2机柜平面图 '!F43+'302-M3机柜平面图 '!F42+'301-M4机柜平面图'!F42+'402-M5机柜平面图'!F43+'401-M6机柜平面图'!F43</f>
        <v>970</v>
      </c>
    </row>
    <row r="49" spans="2:6" x14ac:dyDescent="0.3">
      <c r="B49" s="277" t="s">
        <v>595</v>
      </c>
      <c r="C49" s="277"/>
      <c r="D49" s="277"/>
      <c r="E49" s="277"/>
      <c r="F49" s="28">
        <f>F47+F48</f>
        <v>998</v>
      </c>
    </row>
  </sheetData>
  <mergeCells count="238"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K30:AL30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B48:E48"/>
    <mergeCell ref="B49:E49"/>
    <mergeCell ref="AS1:AS5"/>
    <mergeCell ref="B34:F38"/>
    <mergeCell ref="AP30:AQ30"/>
    <mergeCell ref="B39:E39"/>
    <mergeCell ref="B40:E40"/>
    <mergeCell ref="B41:E41"/>
    <mergeCell ref="B42:E42"/>
    <mergeCell ref="B43:E43"/>
    <mergeCell ref="B45:E45"/>
    <mergeCell ref="B46:E46"/>
    <mergeCell ref="B47:E47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</mergeCells>
  <phoneticPr fontId="31" type="noConversion"/>
  <pageMargins left="0.7" right="0.7" top="0.75" bottom="0.75" header="0.3" footer="0.3"/>
  <pageSetup paperSize="9" scale="76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fitToPage="1"/>
  </sheetPr>
  <dimension ref="B1:AW43"/>
  <sheetViews>
    <sheetView showGridLines="0" topLeftCell="A8" zoomScale="85" zoomScaleNormal="85" workbookViewId="0">
      <selection activeCell="F40" sqref="F40"/>
    </sheetView>
  </sheetViews>
  <sheetFormatPr defaultColWidth="9" defaultRowHeight="14.15" x14ac:dyDescent="0.3"/>
  <cols>
    <col min="1" max="3" width="3.61328125" customWidth="1"/>
    <col min="4" max="5" width="5.4609375" customWidth="1"/>
    <col min="6" max="6" width="6.84375" customWidth="1"/>
    <col min="7" max="7" width="3.61328125" customWidth="1"/>
    <col min="8" max="8" width="7.4609375" customWidth="1"/>
    <col min="9" max="9" width="5.4609375" customWidth="1"/>
    <col min="10" max="11" width="3.61328125" customWidth="1"/>
    <col min="12" max="13" width="5.4609375" customWidth="1"/>
    <col min="14" max="15" width="3.61328125" customWidth="1"/>
    <col min="16" max="17" width="5.4609375" customWidth="1"/>
    <col min="18" max="19" width="3.61328125" customWidth="1"/>
    <col min="20" max="20" width="5.4609375" customWidth="1"/>
    <col min="21" max="21" width="5.07421875" customWidth="1"/>
    <col min="22" max="23" width="3.61328125" customWidth="1"/>
    <col min="24" max="25" width="5.4609375" customWidth="1"/>
    <col min="26" max="27" width="3.61328125" customWidth="1"/>
    <col min="28" max="29" width="5.4609375" customWidth="1"/>
    <col min="30" max="31" width="3.61328125" customWidth="1"/>
    <col min="32" max="33" width="5.4609375" customWidth="1"/>
    <col min="34" max="35" width="3.61328125" customWidth="1"/>
    <col min="36" max="37" width="5.4609375" customWidth="1"/>
    <col min="38" max="39" width="3.61328125" customWidth="1"/>
    <col min="40" max="41" width="5.4609375" customWidth="1"/>
    <col min="42" max="44" width="3.61328125" customWidth="1"/>
    <col min="45" max="45" width="16.07421875" customWidth="1"/>
    <col min="46" max="47" width="16.07421875" style="1" customWidth="1"/>
    <col min="48" max="48" width="4.4609375" style="1" customWidth="1"/>
    <col min="49" max="49" width="5.07421875" customWidth="1"/>
  </cols>
  <sheetData>
    <row r="1" spans="2:49" x14ac:dyDescent="0.3">
      <c r="AS1" s="278"/>
    </row>
    <row r="2" spans="2:49" ht="14.15" customHeight="1" x14ac:dyDescent="0.3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4"/>
      <c r="AS2" s="278"/>
      <c r="AW2" s="5"/>
    </row>
    <row r="3" spans="2:49" ht="25" customHeight="1" x14ac:dyDescent="0.3">
      <c r="B3" s="281" t="s">
        <v>596</v>
      </c>
      <c r="C3" s="282"/>
      <c r="I3" s="281" t="s">
        <v>597</v>
      </c>
      <c r="J3" s="282"/>
      <c r="K3" s="281" t="s">
        <v>598</v>
      </c>
      <c r="L3" s="282"/>
      <c r="P3" s="281" t="s">
        <v>599</v>
      </c>
      <c r="Q3" s="282"/>
      <c r="T3" s="281" t="s">
        <v>600</v>
      </c>
      <c r="U3" s="282"/>
      <c r="Y3" s="281" t="s">
        <v>601</v>
      </c>
      <c r="Z3" s="282"/>
      <c r="AA3" s="281" t="s">
        <v>602</v>
      </c>
      <c r="AB3" s="282"/>
      <c r="AG3" s="281" t="s">
        <v>603</v>
      </c>
      <c r="AH3" s="282"/>
      <c r="AK3" s="281" t="s">
        <v>604</v>
      </c>
      <c r="AL3" s="282"/>
      <c r="AP3" s="281" t="s">
        <v>605</v>
      </c>
      <c r="AQ3" s="282"/>
      <c r="AR3" s="6"/>
      <c r="AS3" s="278"/>
    </row>
    <row r="4" spans="2:49" ht="25" customHeight="1" x14ac:dyDescent="0.3">
      <c r="B4" s="290"/>
      <c r="C4" s="291"/>
      <c r="I4" s="292"/>
      <c r="J4" s="291"/>
      <c r="K4" s="292"/>
      <c r="L4" s="291"/>
      <c r="P4" s="292"/>
      <c r="Q4" s="291"/>
      <c r="T4" s="292"/>
      <c r="U4" s="291"/>
      <c r="Y4" s="292"/>
      <c r="Z4" s="291"/>
      <c r="AA4" s="292"/>
      <c r="AB4" s="291"/>
      <c r="AG4" s="292"/>
      <c r="AH4" s="291"/>
      <c r="AK4" s="292"/>
      <c r="AL4" s="291"/>
      <c r="AP4" s="292"/>
      <c r="AQ4" s="293"/>
      <c r="AR4" s="6"/>
      <c r="AS4" s="278"/>
      <c r="AV4"/>
    </row>
    <row r="5" spans="2:49" x14ac:dyDescent="0.3">
      <c r="B5" s="7"/>
      <c r="C5" s="8"/>
      <c r="F5" s="8"/>
      <c r="G5" s="8"/>
      <c r="H5" s="284" t="s">
        <v>558</v>
      </c>
      <c r="I5" s="285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284" t="s">
        <v>559</v>
      </c>
      <c r="W5" s="285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284" t="s">
        <v>560</v>
      </c>
      <c r="AN5" s="285"/>
      <c r="AO5" s="8"/>
      <c r="AP5" s="8"/>
      <c r="AQ5" s="9"/>
      <c r="AS5" s="278"/>
      <c r="AW5" s="10"/>
    </row>
    <row r="6" spans="2:49" x14ac:dyDescent="0.3">
      <c r="B6" s="11"/>
      <c r="D6" s="3"/>
      <c r="E6" s="3"/>
      <c r="H6" s="3"/>
      <c r="I6" s="3"/>
      <c r="L6" s="3"/>
      <c r="M6" s="3"/>
      <c r="P6" s="3"/>
      <c r="Q6" s="3"/>
      <c r="T6" s="3"/>
      <c r="U6" s="3" t="s">
        <v>606</v>
      </c>
      <c r="V6" s="1"/>
      <c r="W6" s="1"/>
      <c r="X6" s="3"/>
      <c r="Y6" s="3"/>
      <c r="AB6" s="3"/>
      <c r="AC6" s="3"/>
      <c r="AF6" s="3"/>
      <c r="AG6" s="3"/>
      <c r="AJ6" s="3"/>
      <c r="AK6" s="3"/>
      <c r="AM6" s="1"/>
      <c r="AN6" s="3"/>
      <c r="AO6" s="3"/>
      <c r="AP6" s="3"/>
      <c r="AQ6" s="4"/>
    </row>
    <row r="7" spans="2:49" x14ac:dyDescent="0.3">
      <c r="B7" s="12"/>
      <c r="C7" s="13"/>
      <c r="D7" s="289" t="s">
        <v>571</v>
      </c>
      <c r="E7" s="289"/>
      <c r="F7" s="13"/>
      <c r="G7" s="13"/>
      <c r="H7" s="289" t="s">
        <v>570</v>
      </c>
      <c r="I7" s="289"/>
      <c r="J7" s="13"/>
      <c r="K7" s="13"/>
      <c r="L7" s="289" t="s">
        <v>569</v>
      </c>
      <c r="M7" s="289"/>
      <c r="N7" s="13"/>
      <c r="O7" s="13"/>
      <c r="P7" s="289" t="s">
        <v>568</v>
      </c>
      <c r="Q7" s="289"/>
      <c r="R7" s="13"/>
      <c r="S7" s="13"/>
      <c r="T7" s="289" t="s">
        <v>567</v>
      </c>
      <c r="U7" s="289"/>
      <c r="V7" s="13"/>
      <c r="W7" s="13"/>
      <c r="X7" s="289" t="s">
        <v>566</v>
      </c>
      <c r="Y7" s="289"/>
      <c r="Z7" s="13"/>
      <c r="AA7" s="13"/>
      <c r="AB7" s="289" t="s">
        <v>565</v>
      </c>
      <c r="AC7" s="289"/>
      <c r="AD7" s="13"/>
      <c r="AE7" s="13"/>
      <c r="AF7" s="289" t="s">
        <v>564</v>
      </c>
      <c r="AG7" s="289"/>
      <c r="AH7" s="13"/>
      <c r="AI7" s="13"/>
      <c r="AJ7" s="289" t="s">
        <v>563</v>
      </c>
      <c r="AK7" s="289"/>
      <c r="AL7" s="13"/>
      <c r="AM7" s="13"/>
      <c r="AN7" s="289" t="s">
        <v>562</v>
      </c>
      <c r="AO7" s="289"/>
      <c r="AP7" s="13"/>
      <c r="AQ7" s="14"/>
      <c r="AR7" s="13"/>
    </row>
    <row r="8" spans="2:49" x14ac:dyDescent="0.3">
      <c r="B8" s="11"/>
      <c r="D8" s="15" t="s">
        <v>572</v>
      </c>
      <c r="E8" s="15" t="s">
        <v>573</v>
      </c>
      <c r="F8" s="1"/>
      <c r="G8" s="1"/>
      <c r="H8" s="15" t="s">
        <v>573</v>
      </c>
      <c r="I8" s="15" t="s">
        <v>572</v>
      </c>
      <c r="J8" s="1"/>
      <c r="K8" s="1"/>
      <c r="L8" s="15" t="s">
        <v>572</v>
      </c>
      <c r="M8" s="15" t="s">
        <v>573</v>
      </c>
      <c r="N8" s="1"/>
      <c r="O8" s="1"/>
      <c r="P8" s="15" t="s">
        <v>573</v>
      </c>
      <c r="Q8" s="15" t="s">
        <v>572</v>
      </c>
      <c r="R8" s="1"/>
      <c r="S8" s="1"/>
      <c r="T8" s="15" t="s">
        <v>572</v>
      </c>
      <c r="U8" s="15" t="s">
        <v>573</v>
      </c>
      <c r="V8" s="1"/>
      <c r="W8" s="1"/>
      <c r="X8" s="15" t="s">
        <v>573</v>
      </c>
      <c r="Y8" s="15" t="s">
        <v>572</v>
      </c>
      <c r="Z8" s="1"/>
      <c r="AA8" s="1"/>
      <c r="AB8" s="15" t="s">
        <v>572</v>
      </c>
      <c r="AC8" s="15" t="s">
        <v>607</v>
      </c>
      <c r="AD8" s="1"/>
      <c r="AE8" s="1"/>
      <c r="AF8" s="15" t="s">
        <v>608</v>
      </c>
      <c r="AG8" s="15" t="s">
        <v>609</v>
      </c>
      <c r="AH8" s="1"/>
      <c r="AI8" s="1"/>
      <c r="AJ8" s="15" t="s">
        <v>572</v>
      </c>
      <c r="AK8" s="15" t="s">
        <v>573</v>
      </c>
      <c r="AL8" s="1"/>
      <c r="AM8" s="1"/>
      <c r="AN8" s="15" t="s">
        <v>573</v>
      </c>
      <c r="AO8" s="15" t="s">
        <v>610</v>
      </c>
      <c r="AQ8" s="16"/>
    </row>
    <row r="9" spans="2:49" x14ac:dyDescent="0.3">
      <c r="B9" s="11"/>
      <c r="D9" s="286" t="s">
        <v>265</v>
      </c>
      <c r="E9" s="286"/>
      <c r="F9" s="17"/>
      <c r="G9" s="17"/>
      <c r="H9" s="286" t="s">
        <v>256</v>
      </c>
      <c r="I9" s="286"/>
      <c r="L9" s="286" t="s">
        <v>258</v>
      </c>
      <c r="M9" s="286"/>
      <c r="N9" s="17"/>
      <c r="O9" s="17"/>
      <c r="P9" s="286" t="s">
        <v>263</v>
      </c>
      <c r="Q9" s="286"/>
      <c r="T9" s="286" t="s">
        <v>259</v>
      </c>
      <c r="U9" s="286"/>
      <c r="V9" s="17"/>
      <c r="W9" s="17"/>
      <c r="X9" s="286" t="s">
        <v>260</v>
      </c>
      <c r="Y9" s="286"/>
      <c r="AB9" s="286" t="s">
        <v>206</v>
      </c>
      <c r="AC9" s="286"/>
      <c r="AD9" s="17"/>
      <c r="AE9" s="17"/>
      <c r="AF9" s="286" t="s">
        <v>264</v>
      </c>
      <c r="AG9" s="286"/>
      <c r="AJ9" s="286" t="s">
        <v>261</v>
      </c>
      <c r="AK9" s="286"/>
      <c r="AL9" s="17"/>
      <c r="AM9" s="17"/>
      <c r="AN9" s="286" t="s">
        <v>262</v>
      </c>
      <c r="AO9" s="286"/>
      <c r="AQ9" s="16"/>
    </row>
    <row r="10" spans="2:49" x14ac:dyDescent="0.3">
      <c r="B10" s="11"/>
      <c r="D10" s="286" t="s">
        <v>246</v>
      </c>
      <c r="E10" s="286"/>
      <c r="F10" s="17"/>
      <c r="G10" s="17"/>
      <c r="H10" s="286" t="s">
        <v>449</v>
      </c>
      <c r="I10" s="286"/>
      <c r="L10" s="286" t="s">
        <v>320</v>
      </c>
      <c r="M10" s="286"/>
      <c r="N10" s="17"/>
      <c r="O10" s="17"/>
      <c r="P10" s="286" t="s">
        <v>181</v>
      </c>
      <c r="Q10" s="286"/>
      <c r="T10" s="286" t="s">
        <v>172</v>
      </c>
      <c r="U10" s="286"/>
      <c r="V10" s="17"/>
      <c r="W10" s="17"/>
      <c r="X10" s="286" t="s">
        <v>179</v>
      </c>
      <c r="Y10" s="286"/>
      <c r="AB10" s="286" t="s">
        <v>203</v>
      </c>
      <c r="AC10" s="286"/>
      <c r="AD10" s="17"/>
      <c r="AE10" s="17"/>
      <c r="AF10" s="286" t="s">
        <v>365</v>
      </c>
      <c r="AG10" s="286"/>
      <c r="AJ10" s="286" t="s">
        <v>368</v>
      </c>
      <c r="AK10" s="286"/>
      <c r="AL10" s="17"/>
      <c r="AM10" s="17"/>
      <c r="AN10" s="286" t="s">
        <v>477</v>
      </c>
      <c r="AO10" s="286"/>
      <c r="AQ10" s="16"/>
      <c r="AR10" s="18"/>
    </row>
    <row r="11" spans="2:49" x14ac:dyDescent="0.3">
      <c r="B11" s="11"/>
      <c r="D11" s="286" t="s">
        <v>185</v>
      </c>
      <c r="E11" s="286"/>
      <c r="F11" s="17"/>
      <c r="G11" s="17"/>
      <c r="H11" s="286" t="s">
        <v>271</v>
      </c>
      <c r="I11" s="286"/>
      <c r="L11" s="286" t="s">
        <v>215</v>
      </c>
      <c r="M11" s="286"/>
      <c r="N11" s="17"/>
      <c r="O11" s="17"/>
      <c r="P11" s="286" t="s">
        <v>82</v>
      </c>
      <c r="Q11" s="286"/>
      <c r="T11" s="286" t="s">
        <v>177</v>
      </c>
      <c r="U11" s="286"/>
      <c r="V11" s="17"/>
      <c r="W11" s="17"/>
      <c r="X11" s="286" t="s">
        <v>141</v>
      </c>
      <c r="Y11" s="286"/>
      <c r="AB11" s="286" t="s">
        <v>157</v>
      </c>
      <c r="AC11" s="286"/>
      <c r="AD11" s="17"/>
      <c r="AE11" s="17"/>
      <c r="AF11" s="286" t="s">
        <v>275</v>
      </c>
      <c r="AG11" s="286"/>
      <c r="AJ11" s="286" t="s">
        <v>371</v>
      </c>
      <c r="AK11" s="286"/>
      <c r="AL11" s="17"/>
      <c r="AM11" s="17"/>
      <c r="AN11" s="286" t="s">
        <v>303</v>
      </c>
      <c r="AO11" s="286"/>
      <c r="AQ11" s="16"/>
    </row>
    <row r="12" spans="2:49" x14ac:dyDescent="0.3">
      <c r="B12" s="11"/>
      <c r="D12" s="286" t="s">
        <v>193</v>
      </c>
      <c r="E12" s="286"/>
      <c r="F12" s="17"/>
      <c r="G12" s="17"/>
      <c r="H12" s="286" t="s">
        <v>272</v>
      </c>
      <c r="I12" s="286"/>
      <c r="L12" s="286" t="s">
        <v>222</v>
      </c>
      <c r="M12" s="286"/>
      <c r="N12" s="17"/>
      <c r="O12" s="17"/>
      <c r="P12" s="286" t="s">
        <v>87</v>
      </c>
      <c r="Q12" s="286"/>
      <c r="T12" s="286" t="s">
        <v>178</v>
      </c>
      <c r="U12" s="286"/>
      <c r="V12" s="17"/>
      <c r="W12" s="17"/>
      <c r="X12" s="286" t="s">
        <v>142</v>
      </c>
      <c r="Y12" s="286"/>
      <c r="AB12" s="286" t="s">
        <v>158</v>
      </c>
      <c r="AC12" s="286"/>
      <c r="AD12" s="17"/>
      <c r="AE12" s="17"/>
      <c r="AF12" s="286" t="s">
        <v>276</v>
      </c>
      <c r="AG12" s="286"/>
      <c r="AJ12" s="286" t="s">
        <v>374</v>
      </c>
      <c r="AK12" s="286"/>
      <c r="AL12" s="17"/>
      <c r="AM12" s="17"/>
      <c r="AN12" s="286" t="s">
        <v>304</v>
      </c>
      <c r="AO12" s="286"/>
      <c r="AQ12" s="16"/>
    </row>
    <row r="13" spans="2:49" x14ac:dyDescent="0.3">
      <c r="B13" s="11"/>
      <c r="D13" s="286" t="s">
        <v>268</v>
      </c>
      <c r="E13" s="286"/>
      <c r="F13" s="17"/>
      <c r="G13" s="17"/>
      <c r="H13" s="286" t="s">
        <v>99</v>
      </c>
      <c r="I13" s="286"/>
      <c r="L13" s="286" t="s">
        <v>225</v>
      </c>
      <c r="M13" s="286"/>
      <c r="N13" s="17"/>
      <c r="O13" s="17"/>
      <c r="P13" s="286" t="s">
        <v>88</v>
      </c>
      <c r="Q13" s="286"/>
      <c r="T13" s="286" t="s">
        <v>129</v>
      </c>
      <c r="U13" s="286"/>
      <c r="V13" s="17"/>
      <c r="W13" s="17"/>
      <c r="X13" s="286" t="s">
        <v>143</v>
      </c>
      <c r="Y13" s="286"/>
      <c r="AB13" s="286" t="s">
        <v>159</v>
      </c>
      <c r="AC13" s="286"/>
      <c r="AD13" s="17"/>
      <c r="AE13" s="17"/>
      <c r="AF13" s="286" t="s">
        <v>277</v>
      </c>
      <c r="AG13" s="286"/>
      <c r="AJ13" s="286" t="s">
        <v>291</v>
      </c>
      <c r="AK13" s="286"/>
      <c r="AL13" s="17"/>
      <c r="AM13" s="17"/>
      <c r="AN13" s="286" t="s">
        <v>305</v>
      </c>
      <c r="AO13" s="286"/>
      <c r="AQ13" s="16"/>
    </row>
    <row r="14" spans="2:49" x14ac:dyDescent="0.3">
      <c r="B14" s="11"/>
      <c r="D14" s="286" t="s">
        <v>192</v>
      </c>
      <c r="E14" s="286"/>
      <c r="F14" s="17"/>
      <c r="G14" s="17"/>
      <c r="H14" s="286" t="s">
        <v>100</v>
      </c>
      <c r="I14" s="286"/>
      <c r="L14" s="286" t="s">
        <v>228</v>
      </c>
      <c r="M14" s="286"/>
      <c r="N14" s="17"/>
      <c r="O14" s="17"/>
      <c r="P14" s="286" t="s">
        <v>89</v>
      </c>
      <c r="Q14" s="286"/>
      <c r="T14" s="286" t="s">
        <v>130</v>
      </c>
      <c r="U14" s="286"/>
      <c r="V14" s="17"/>
      <c r="W14" s="17"/>
      <c r="X14" s="286" t="s">
        <v>144</v>
      </c>
      <c r="Y14" s="286"/>
      <c r="AB14" s="286" t="s">
        <v>160</v>
      </c>
      <c r="AC14" s="286"/>
      <c r="AD14" s="17"/>
      <c r="AE14" s="17"/>
      <c r="AF14" s="286" t="s">
        <v>278</v>
      </c>
      <c r="AG14" s="286"/>
      <c r="AJ14" s="286" t="s">
        <v>292</v>
      </c>
      <c r="AK14" s="286"/>
      <c r="AL14" s="17"/>
      <c r="AM14" s="17"/>
      <c r="AN14" s="286" t="s">
        <v>306</v>
      </c>
      <c r="AO14" s="286"/>
      <c r="AQ14" s="16"/>
    </row>
    <row r="15" spans="2:49" x14ac:dyDescent="0.3">
      <c r="B15" s="11"/>
      <c r="D15" s="286" t="s">
        <v>186</v>
      </c>
      <c r="E15" s="286"/>
      <c r="F15" s="17"/>
      <c r="G15" s="17"/>
      <c r="H15" s="286" t="s">
        <v>101</v>
      </c>
      <c r="I15" s="286"/>
      <c r="L15" s="286" t="s">
        <v>113</v>
      </c>
      <c r="M15" s="286"/>
      <c r="N15" s="17"/>
      <c r="O15" s="17"/>
      <c r="P15" s="286" t="s">
        <v>90</v>
      </c>
      <c r="Q15" s="286"/>
      <c r="T15" s="286" t="s">
        <v>131</v>
      </c>
      <c r="U15" s="286"/>
      <c r="V15" s="17"/>
      <c r="W15" s="17"/>
      <c r="X15" s="286" t="s">
        <v>145</v>
      </c>
      <c r="Y15" s="286"/>
      <c r="AB15" s="286" t="s">
        <v>161</v>
      </c>
      <c r="AC15" s="286"/>
      <c r="AD15" s="17"/>
      <c r="AE15" s="17"/>
      <c r="AF15" s="286" t="s">
        <v>279</v>
      </c>
      <c r="AG15" s="286"/>
      <c r="AJ15" s="286" t="s">
        <v>293</v>
      </c>
      <c r="AK15" s="286"/>
      <c r="AL15" s="17"/>
      <c r="AM15" s="17"/>
      <c r="AN15" s="286" t="s">
        <v>307</v>
      </c>
      <c r="AO15" s="286"/>
      <c r="AQ15" s="16"/>
    </row>
    <row r="16" spans="2:49" x14ac:dyDescent="0.3">
      <c r="B16" s="11"/>
      <c r="D16" s="286" t="s">
        <v>319</v>
      </c>
      <c r="E16" s="286"/>
      <c r="F16" s="17"/>
      <c r="G16" s="17"/>
      <c r="H16" s="286" t="s">
        <v>102</v>
      </c>
      <c r="I16" s="286"/>
      <c r="L16" s="286" t="s">
        <v>114</v>
      </c>
      <c r="M16" s="286"/>
      <c r="N16" s="17"/>
      <c r="O16" s="17"/>
      <c r="P16" s="286" t="s">
        <v>91</v>
      </c>
      <c r="Q16" s="286"/>
      <c r="T16" s="286" t="s">
        <v>132</v>
      </c>
      <c r="U16" s="286"/>
      <c r="V16" s="17"/>
      <c r="W16" s="17"/>
      <c r="X16" s="286" t="s">
        <v>146</v>
      </c>
      <c r="Y16" s="286"/>
      <c r="AB16" s="286" t="s">
        <v>162</v>
      </c>
      <c r="AC16" s="286"/>
      <c r="AD16" s="17"/>
      <c r="AE16" s="17"/>
      <c r="AF16" s="286" t="s">
        <v>280</v>
      </c>
      <c r="AG16" s="286"/>
      <c r="AJ16" s="286" t="s">
        <v>294</v>
      </c>
      <c r="AK16" s="286"/>
      <c r="AL16" s="17"/>
      <c r="AM16" s="17"/>
      <c r="AN16" s="286" t="s">
        <v>308</v>
      </c>
      <c r="AO16" s="286"/>
      <c r="AQ16" s="16"/>
    </row>
    <row r="17" spans="2:43" x14ac:dyDescent="0.3">
      <c r="B17" s="11"/>
      <c r="D17" s="286" t="s">
        <v>191</v>
      </c>
      <c r="E17" s="286"/>
      <c r="F17" s="17"/>
      <c r="G17" s="17"/>
      <c r="H17" s="286" t="s">
        <v>103</v>
      </c>
      <c r="I17" s="286"/>
      <c r="L17" s="286" t="s">
        <v>115</v>
      </c>
      <c r="M17" s="286"/>
      <c r="N17" s="17"/>
      <c r="O17" s="17"/>
      <c r="P17" s="286" t="s">
        <v>92</v>
      </c>
      <c r="Q17" s="286"/>
      <c r="T17" s="286" t="s">
        <v>133</v>
      </c>
      <c r="U17" s="286"/>
      <c r="V17" s="17"/>
      <c r="W17" s="17"/>
      <c r="X17" s="286" t="s">
        <v>147</v>
      </c>
      <c r="Y17" s="286"/>
      <c r="AB17" s="286" t="s">
        <v>163</v>
      </c>
      <c r="AC17" s="286"/>
      <c r="AD17" s="17"/>
      <c r="AE17" s="17"/>
      <c r="AF17" s="286" t="s">
        <v>281</v>
      </c>
      <c r="AG17" s="286"/>
      <c r="AJ17" s="286" t="s">
        <v>295</v>
      </c>
      <c r="AK17" s="286"/>
      <c r="AL17" s="17"/>
      <c r="AM17" s="17"/>
      <c r="AN17" s="286" t="s">
        <v>309</v>
      </c>
      <c r="AO17" s="286"/>
      <c r="AQ17" s="16"/>
    </row>
    <row r="18" spans="2:43" x14ac:dyDescent="0.3">
      <c r="B18" s="11"/>
      <c r="D18" s="286" t="s">
        <v>187</v>
      </c>
      <c r="E18" s="286"/>
      <c r="F18" s="17"/>
      <c r="G18" s="17"/>
      <c r="H18" s="286" t="s">
        <v>104</v>
      </c>
      <c r="I18" s="286"/>
      <c r="L18" s="286" t="s">
        <v>116</v>
      </c>
      <c r="M18" s="286"/>
      <c r="N18" s="17"/>
      <c r="O18" s="17"/>
      <c r="P18" s="286" t="s">
        <v>93</v>
      </c>
      <c r="Q18" s="286"/>
      <c r="T18" s="286" t="s">
        <v>134</v>
      </c>
      <c r="U18" s="286"/>
      <c r="V18" s="17"/>
      <c r="W18" s="17"/>
      <c r="X18" s="286" t="s">
        <v>148</v>
      </c>
      <c r="Y18" s="286"/>
      <c r="AB18" s="286" t="s">
        <v>164</v>
      </c>
      <c r="AC18" s="286"/>
      <c r="AD18" s="17"/>
      <c r="AE18" s="17"/>
      <c r="AF18" s="286" t="s">
        <v>282</v>
      </c>
      <c r="AG18" s="286"/>
      <c r="AJ18" s="286" t="s">
        <v>296</v>
      </c>
      <c r="AK18" s="286"/>
      <c r="AL18" s="17"/>
      <c r="AM18" s="17"/>
      <c r="AN18" s="286" t="s">
        <v>310</v>
      </c>
      <c r="AO18" s="286"/>
      <c r="AQ18" s="16"/>
    </row>
    <row r="19" spans="2:43" x14ac:dyDescent="0.3">
      <c r="B19" s="11"/>
      <c r="D19" s="288"/>
      <c r="E19" s="288"/>
      <c r="F19" s="17"/>
      <c r="G19" s="17"/>
      <c r="H19" s="286" t="s">
        <v>105</v>
      </c>
      <c r="I19" s="286"/>
      <c r="L19" s="288"/>
      <c r="M19" s="288"/>
      <c r="N19" s="17"/>
      <c r="O19" s="17"/>
      <c r="P19" s="286" t="s">
        <v>273</v>
      </c>
      <c r="Q19" s="286"/>
      <c r="T19" s="288"/>
      <c r="U19" s="288"/>
      <c r="V19" s="17"/>
      <c r="W19" s="17"/>
      <c r="X19" s="286" t="s">
        <v>149</v>
      </c>
      <c r="Y19" s="286"/>
      <c r="AB19" s="288"/>
      <c r="AC19" s="288"/>
      <c r="AD19" s="17"/>
      <c r="AE19" s="17"/>
      <c r="AF19" s="286" t="s">
        <v>283</v>
      </c>
      <c r="AG19" s="286"/>
      <c r="AJ19" s="288"/>
      <c r="AK19" s="288"/>
      <c r="AL19" s="17"/>
      <c r="AM19" s="17"/>
      <c r="AN19" s="286" t="s">
        <v>311</v>
      </c>
      <c r="AO19" s="286"/>
      <c r="AQ19" s="16"/>
    </row>
    <row r="20" spans="2:43" x14ac:dyDescent="0.3">
      <c r="B20" s="11"/>
      <c r="D20" s="288"/>
      <c r="E20" s="288"/>
      <c r="F20" s="17"/>
      <c r="G20" s="17"/>
      <c r="H20" s="286" t="s">
        <v>106</v>
      </c>
      <c r="I20" s="286"/>
      <c r="L20" s="288"/>
      <c r="M20" s="288"/>
      <c r="N20" s="17"/>
      <c r="O20" s="17"/>
      <c r="P20" s="286" t="s">
        <v>274</v>
      </c>
      <c r="Q20" s="286"/>
      <c r="T20" s="288"/>
      <c r="U20" s="288"/>
      <c r="V20" s="17"/>
      <c r="W20" s="17"/>
      <c r="X20" s="286" t="s">
        <v>150</v>
      </c>
      <c r="Y20" s="286"/>
      <c r="AB20" s="288"/>
      <c r="AC20" s="288"/>
      <c r="AD20" s="17"/>
      <c r="AE20" s="17"/>
      <c r="AF20" s="286" t="s">
        <v>284</v>
      </c>
      <c r="AG20" s="286"/>
      <c r="AJ20" s="288"/>
      <c r="AK20" s="288"/>
      <c r="AL20" s="17"/>
      <c r="AM20" s="17"/>
      <c r="AN20" s="286" t="s">
        <v>312</v>
      </c>
      <c r="AO20" s="286"/>
      <c r="AP20" s="19"/>
      <c r="AQ20" s="16"/>
    </row>
    <row r="21" spans="2:43" x14ac:dyDescent="0.3">
      <c r="B21" s="11"/>
      <c r="D21" s="286" t="s">
        <v>209</v>
      </c>
      <c r="E21" s="286"/>
      <c r="F21" s="17"/>
      <c r="G21" s="17"/>
      <c r="H21" s="286" t="s">
        <v>107</v>
      </c>
      <c r="I21" s="286"/>
      <c r="L21" s="286" t="s">
        <v>117</v>
      </c>
      <c r="M21" s="286"/>
      <c r="N21" s="17"/>
      <c r="O21" s="17"/>
      <c r="P21" s="286" t="s">
        <v>123</v>
      </c>
      <c r="Q21" s="286"/>
      <c r="T21" s="286" t="s">
        <v>135</v>
      </c>
      <c r="U21" s="286"/>
      <c r="V21" s="17"/>
      <c r="W21" s="17"/>
      <c r="X21" s="286" t="s">
        <v>151</v>
      </c>
      <c r="Y21" s="286"/>
      <c r="AB21" s="286" t="s">
        <v>165</v>
      </c>
      <c r="AC21" s="286"/>
      <c r="AD21" s="17"/>
      <c r="AE21" s="17"/>
      <c r="AF21" s="286" t="s">
        <v>285</v>
      </c>
      <c r="AG21" s="286"/>
      <c r="AJ21" s="286" t="s">
        <v>297</v>
      </c>
      <c r="AK21" s="286"/>
      <c r="AL21" s="17"/>
      <c r="AM21" s="17"/>
      <c r="AN21" s="286" t="s">
        <v>313</v>
      </c>
      <c r="AO21" s="286"/>
      <c r="AQ21" s="16"/>
    </row>
    <row r="22" spans="2:43" x14ac:dyDescent="0.3">
      <c r="B22" s="11"/>
      <c r="D22" s="286" t="s">
        <v>213</v>
      </c>
      <c r="E22" s="286"/>
      <c r="F22" s="17"/>
      <c r="G22" s="17"/>
      <c r="H22" s="286" t="s">
        <v>108</v>
      </c>
      <c r="I22" s="286"/>
      <c r="L22" s="286" t="s">
        <v>118</v>
      </c>
      <c r="M22" s="286"/>
      <c r="N22" s="17"/>
      <c r="O22" s="17"/>
      <c r="P22" s="286" t="s">
        <v>124</v>
      </c>
      <c r="Q22" s="286"/>
      <c r="T22" s="286" t="s">
        <v>136</v>
      </c>
      <c r="U22" s="286"/>
      <c r="V22" s="17"/>
      <c r="W22" s="17"/>
      <c r="X22" s="286" t="s">
        <v>152</v>
      </c>
      <c r="Y22" s="286"/>
      <c r="AB22" s="286" t="s">
        <v>166</v>
      </c>
      <c r="AC22" s="286"/>
      <c r="AD22" s="17"/>
      <c r="AE22" s="17"/>
      <c r="AF22" s="286" t="s">
        <v>286</v>
      </c>
      <c r="AG22" s="286"/>
      <c r="AJ22" s="286" t="s">
        <v>298</v>
      </c>
      <c r="AK22" s="286"/>
      <c r="AL22" s="17"/>
      <c r="AM22" s="17"/>
      <c r="AN22" s="286" t="s">
        <v>314</v>
      </c>
      <c r="AO22" s="286"/>
      <c r="AQ22" s="16"/>
    </row>
    <row r="23" spans="2:43" x14ac:dyDescent="0.3">
      <c r="B23" s="11"/>
      <c r="D23" s="286" t="s">
        <v>270</v>
      </c>
      <c r="E23" s="286"/>
      <c r="F23" s="17"/>
      <c r="G23" s="17"/>
      <c r="H23" s="286" t="s">
        <v>109</v>
      </c>
      <c r="I23" s="286"/>
      <c r="L23" s="286" t="s">
        <v>119</v>
      </c>
      <c r="M23" s="286"/>
      <c r="N23" s="17"/>
      <c r="O23" s="17"/>
      <c r="P23" s="286" t="s">
        <v>125</v>
      </c>
      <c r="Q23" s="286"/>
      <c r="T23" s="286" t="s">
        <v>137</v>
      </c>
      <c r="U23" s="286"/>
      <c r="V23" s="17"/>
      <c r="W23" s="17"/>
      <c r="X23" s="286" t="s">
        <v>153</v>
      </c>
      <c r="Y23" s="286"/>
      <c r="AB23" s="286" t="s">
        <v>167</v>
      </c>
      <c r="AC23" s="286"/>
      <c r="AD23" s="17"/>
      <c r="AE23" s="17"/>
      <c r="AF23" s="286" t="s">
        <v>287</v>
      </c>
      <c r="AG23" s="286"/>
      <c r="AJ23" s="286" t="s">
        <v>299</v>
      </c>
      <c r="AK23" s="286"/>
      <c r="AL23" s="17"/>
      <c r="AM23" s="17"/>
      <c r="AN23" s="286" t="s">
        <v>315</v>
      </c>
      <c r="AO23" s="286"/>
      <c r="AQ23" s="16"/>
    </row>
    <row r="24" spans="2:43" x14ac:dyDescent="0.3">
      <c r="B24" s="11"/>
      <c r="D24" s="286" t="s">
        <v>95</v>
      </c>
      <c r="E24" s="286"/>
      <c r="F24" s="17"/>
      <c r="G24" s="17"/>
      <c r="H24" s="286" t="s">
        <v>110</v>
      </c>
      <c r="I24" s="286"/>
      <c r="L24" s="286" t="s">
        <v>120</v>
      </c>
      <c r="M24" s="286"/>
      <c r="N24" s="17"/>
      <c r="O24" s="17"/>
      <c r="P24" s="286" t="s">
        <v>126</v>
      </c>
      <c r="Q24" s="286"/>
      <c r="T24" s="286" t="s">
        <v>138</v>
      </c>
      <c r="U24" s="286"/>
      <c r="V24" s="17"/>
      <c r="W24" s="17"/>
      <c r="X24" s="286" t="s">
        <v>154</v>
      </c>
      <c r="Y24" s="286"/>
      <c r="AB24" s="286" t="s">
        <v>168</v>
      </c>
      <c r="AC24" s="286"/>
      <c r="AD24" s="17"/>
      <c r="AE24" s="17"/>
      <c r="AF24" s="286" t="s">
        <v>288</v>
      </c>
      <c r="AG24" s="286"/>
      <c r="AJ24" s="286" t="s">
        <v>300</v>
      </c>
      <c r="AK24" s="286"/>
      <c r="AL24" s="17"/>
      <c r="AM24" s="17"/>
      <c r="AN24" s="286" t="s">
        <v>316</v>
      </c>
      <c r="AO24" s="286"/>
      <c r="AQ24" s="16"/>
    </row>
    <row r="25" spans="2:43" x14ac:dyDescent="0.3">
      <c r="B25" s="11"/>
      <c r="D25" s="308" t="s">
        <v>97</v>
      </c>
      <c r="E25" s="308"/>
      <c r="F25" s="17"/>
      <c r="G25" s="17"/>
      <c r="H25" s="286" t="s">
        <v>111</v>
      </c>
      <c r="I25" s="286"/>
      <c r="L25" s="286" t="s">
        <v>121</v>
      </c>
      <c r="M25" s="286"/>
      <c r="N25" s="17"/>
      <c r="O25" s="17"/>
      <c r="P25" s="286" t="s">
        <v>127</v>
      </c>
      <c r="Q25" s="286"/>
      <c r="T25" s="286" t="s">
        <v>139</v>
      </c>
      <c r="U25" s="286"/>
      <c r="V25" s="17"/>
      <c r="W25" s="17"/>
      <c r="X25" s="286" t="s">
        <v>155</v>
      </c>
      <c r="Y25" s="286"/>
      <c r="AB25" s="286" t="s">
        <v>169</v>
      </c>
      <c r="AC25" s="286"/>
      <c r="AD25" s="17"/>
      <c r="AE25" s="17"/>
      <c r="AF25" s="287" t="s">
        <v>289</v>
      </c>
      <c r="AG25" s="287"/>
      <c r="AJ25" s="287" t="s">
        <v>301</v>
      </c>
      <c r="AK25" s="287"/>
      <c r="AL25" s="17"/>
      <c r="AM25" s="17"/>
      <c r="AN25" s="286" t="s">
        <v>317</v>
      </c>
      <c r="AO25" s="286"/>
      <c r="AQ25" s="16"/>
    </row>
    <row r="26" spans="2:43" x14ac:dyDescent="0.3">
      <c r="B26" s="11"/>
      <c r="D26" s="308" t="s">
        <v>98</v>
      </c>
      <c r="E26" s="308"/>
      <c r="F26" s="17"/>
      <c r="G26" s="17"/>
      <c r="H26" s="287" t="s">
        <v>112</v>
      </c>
      <c r="I26" s="287"/>
      <c r="L26" s="286" t="s">
        <v>122</v>
      </c>
      <c r="M26" s="286"/>
      <c r="N26" s="17"/>
      <c r="O26" s="17"/>
      <c r="P26" s="286" t="s">
        <v>128</v>
      </c>
      <c r="Q26" s="286"/>
      <c r="T26" s="286" t="s">
        <v>140</v>
      </c>
      <c r="U26" s="286"/>
      <c r="V26" s="17"/>
      <c r="W26" s="17"/>
      <c r="X26" s="286" t="s">
        <v>156</v>
      </c>
      <c r="Y26" s="286"/>
      <c r="AB26" s="286" t="s">
        <v>170</v>
      </c>
      <c r="AC26" s="286"/>
      <c r="AD26" s="17"/>
      <c r="AE26" s="17"/>
      <c r="AF26" s="286" t="s">
        <v>290</v>
      </c>
      <c r="AG26" s="286"/>
      <c r="AJ26" s="287" t="s">
        <v>302</v>
      </c>
      <c r="AK26" s="287"/>
      <c r="AL26" s="17"/>
      <c r="AM26" s="17"/>
      <c r="AN26" s="286" t="s">
        <v>318</v>
      </c>
      <c r="AO26" s="286"/>
      <c r="AQ26" s="16"/>
    </row>
    <row r="27" spans="2:43" x14ac:dyDescent="0.3">
      <c r="B27" s="11"/>
      <c r="D27" s="286" t="s">
        <v>540</v>
      </c>
      <c r="E27" s="286"/>
      <c r="F27" s="17"/>
      <c r="G27" s="17"/>
      <c r="H27" s="286" t="s">
        <v>541</v>
      </c>
      <c r="I27" s="286"/>
      <c r="L27" s="286" t="s">
        <v>537</v>
      </c>
      <c r="M27" s="286"/>
      <c r="N27" s="17"/>
      <c r="O27" s="17"/>
      <c r="P27" s="286" t="s">
        <v>542</v>
      </c>
      <c r="Q27" s="286"/>
      <c r="T27" s="286" t="s">
        <v>544</v>
      </c>
      <c r="U27" s="286"/>
      <c r="V27" s="17"/>
      <c r="W27" s="17"/>
      <c r="X27" s="286" t="s">
        <v>536</v>
      </c>
      <c r="Y27" s="286"/>
      <c r="AB27" s="286" t="s">
        <v>543</v>
      </c>
      <c r="AC27" s="286"/>
      <c r="AD27" s="17"/>
      <c r="AE27" s="17"/>
      <c r="AF27" s="286" t="s">
        <v>539</v>
      </c>
      <c r="AG27" s="286"/>
      <c r="AJ27" s="287" t="s">
        <v>545</v>
      </c>
      <c r="AK27" s="287"/>
      <c r="AL27" s="17"/>
      <c r="AM27" s="17"/>
      <c r="AN27" s="286" t="s">
        <v>538</v>
      </c>
      <c r="AO27" s="286"/>
      <c r="AQ27" s="16"/>
    </row>
    <row r="28" spans="2:43" x14ac:dyDescent="0.3">
      <c r="B28" s="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9"/>
    </row>
    <row r="29" spans="2:43" x14ac:dyDescent="0.3">
      <c r="B29" s="2"/>
      <c r="C29" s="3"/>
      <c r="D29" s="3"/>
      <c r="E29" s="3"/>
      <c r="F29" s="3"/>
      <c r="G29" s="284" t="s">
        <v>558</v>
      </c>
      <c r="H29" s="285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284" t="s">
        <v>559</v>
      </c>
      <c r="X29" s="285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284" t="s">
        <v>560</v>
      </c>
      <c r="AN29" s="285"/>
      <c r="AO29" s="3"/>
      <c r="AP29" s="3"/>
      <c r="AQ29" s="4"/>
    </row>
    <row r="30" spans="2:43" x14ac:dyDescent="0.3">
      <c r="B30" s="11"/>
      <c r="AQ30" s="9"/>
    </row>
    <row r="31" spans="2:43" x14ac:dyDescent="0.3">
      <c r="B31" s="281" t="s">
        <v>611</v>
      </c>
      <c r="C31" s="282"/>
      <c r="I31" s="281" t="s">
        <v>612</v>
      </c>
      <c r="J31" s="282"/>
      <c r="K31" s="281" t="s">
        <v>613</v>
      </c>
      <c r="L31" s="282"/>
      <c r="P31" s="281" t="s">
        <v>614</v>
      </c>
      <c r="Q31" s="282"/>
      <c r="T31" s="281" t="s">
        <v>615</v>
      </c>
      <c r="U31" s="282"/>
      <c r="Y31" s="281" t="s">
        <v>616</v>
      </c>
      <c r="Z31" s="282"/>
      <c r="AA31" s="281" t="s">
        <v>617</v>
      </c>
      <c r="AB31" s="282"/>
      <c r="AG31" s="281" t="s">
        <v>618</v>
      </c>
      <c r="AH31" s="282"/>
      <c r="AK31" s="281" t="s">
        <v>619</v>
      </c>
      <c r="AL31" s="282"/>
      <c r="AP31" s="281" t="s">
        <v>620</v>
      </c>
      <c r="AQ31" s="282"/>
    </row>
    <row r="32" spans="2:43" x14ac:dyDescent="0.3">
      <c r="B32" s="7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9"/>
    </row>
    <row r="34" spans="2:48" ht="14.15" customHeight="1" x14ac:dyDescent="0.3">
      <c r="B34" s="297" t="s">
        <v>584</v>
      </c>
      <c r="C34" s="298"/>
      <c r="D34" s="298"/>
      <c r="E34" s="298"/>
      <c r="F34" s="299"/>
      <c r="AR34" s="1"/>
      <c r="AS34" s="1"/>
      <c r="AU34"/>
      <c r="AV34"/>
    </row>
    <row r="35" spans="2:48" x14ac:dyDescent="0.3">
      <c r="B35" s="300"/>
      <c r="C35" s="301"/>
      <c r="D35" s="301"/>
      <c r="E35" s="301"/>
      <c r="F35" s="302"/>
      <c r="AR35" s="1"/>
      <c r="AS35" s="1"/>
      <c r="AU35"/>
      <c r="AV35"/>
    </row>
    <row r="36" spans="2:48" x14ac:dyDescent="0.3">
      <c r="B36" s="300"/>
      <c r="C36" s="301"/>
      <c r="D36" s="301"/>
      <c r="E36" s="301"/>
      <c r="F36" s="302"/>
      <c r="AR36" s="1"/>
      <c r="AS36" s="1"/>
      <c r="AU36"/>
      <c r="AV36"/>
    </row>
    <row r="37" spans="2:48" x14ac:dyDescent="0.3">
      <c r="B37" s="300"/>
      <c r="C37" s="301"/>
      <c r="D37" s="301"/>
      <c r="E37" s="301"/>
      <c r="F37" s="302"/>
      <c r="I37" s="10"/>
      <c r="AR37" s="1"/>
      <c r="AS37" s="1"/>
      <c r="AU37"/>
      <c r="AV37"/>
    </row>
    <row r="38" spans="2:48" x14ac:dyDescent="0.3">
      <c r="B38" s="303"/>
      <c r="C38" s="304"/>
      <c r="D38" s="304"/>
      <c r="E38" s="304"/>
      <c r="F38" s="305"/>
      <c r="H38" s="18"/>
      <c r="I38" s="10"/>
      <c r="AR38" s="1"/>
      <c r="AS38" s="1"/>
      <c r="AU38"/>
      <c r="AV38"/>
    </row>
    <row r="39" spans="2:48" x14ac:dyDescent="0.3">
      <c r="B39" s="294" t="s">
        <v>585</v>
      </c>
      <c r="C39" s="295"/>
      <c r="D39" s="295"/>
      <c r="E39" s="296"/>
      <c r="F39" s="21">
        <v>180</v>
      </c>
    </row>
    <row r="40" spans="2:48" x14ac:dyDescent="0.3">
      <c r="B40" s="283" t="s">
        <v>586</v>
      </c>
      <c r="C40" s="283"/>
      <c r="D40" s="283"/>
      <c r="E40" s="283"/>
      <c r="F40" s="21">
        <f>getcolorcount($D$9:$AO$31,G40)/2</f>
        <v>5</v>
      </c>
      <c r="G40" s="22"/>
    </row>
    <row r="41" spans="2:48" x14ac:dyDescent="0.3">
      <c r="B41" s="283" t="s">
        <v>587</v>
      </c>
      <c r="C41" s="283"/>
      <c r="D41" s="283"/>
      <c r="E41" s="283"/>
      <c r="F41" s="21">
        <f>getcolorcount($D$9:$AO$31,G41)/2</f>
        <v>173</v>
      </c>
      <c r="G41" s="23"/>
    </row>
    <row r="42" spans="2:48" x14ac:dyDescent="0.3">
      <c r="B42" s="283" t="s">
        <v>588</v>
      </c>
      <c r="C42" s="283"/>
      <c r="D42" s="283"/>
      <c r="E42" s="283"/>
      <c r="F42" s="21">
        <f>getcolorcount($D$9:$AO$31,G42)/2</f>
        <v>2</v>
      </c>
      <c r="G42" s="24"/>
    </row>
    <row r="43" spans="2:48" x14ac:dyDescent="0.3">
      <c r="B43" s="283" t="s">
        <v>589</v>
      </c>
      <c r="C43" s="283"/>
      <c r="D43" s="283"/>
      <c r="E43" s="283"/>
      <c r="F43" s="21">
        <f>F40+F41</f>
        <v>178</v>
      </c>
    </row>
  </sheetData>
  <mergeCells count="243"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F25:AG25"/>
    <mergeCell ref="AJ25:AK25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P27:Q27"/>
    <mergeCell ref="T27:U27"/>
    <mergeCell ref="X27:Y27"/>
    <mergeCell ref="AB27:AC27"/>
    <mergeCell ref="AF27:AG27"/>
    <mergeCell ref="AJ27:AK27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D25:E25"/>
    <mergeCell ref="H25:I25"/>
    <mergeCell ref="L25:M25"/>
    <mergeCell ref="P25:Q25"/>
    <mergeCell ref="T25:U25"/>
    <mergeCell ref="X25:Y25"/>
    <mergeCell ref="AB25:AC25"/>
    <mergeCell ref="AP31:AQ31"/>
    <mergeCell ref="B39:E39"/>
    <mergeCell ref="B40:E40"/>
    <mergeCell ref="B41:E41"/>
    <mergeCell ref="B42:E42"/>
    <mergeCell ref="B43:E43"/>
    <mergeCell ref="AS1:AS5"/>
    <mergeCell ref="B34:F38"/>
    <mergeCell ref="AN27:AO27"/>
    <mergeCell ref="G29:H29"/>
    <mergeCell ref="W29:X29"/>
    <mergeCell ref="AM29:AN29"/>
    <mergeCell ref="B31:C31"/>
    <mergeCell ref="I31:J31"/>
    <mergeCell ref="K31:L31"/>
    <mergeCell ref="P31:Q31"/>
    <mergeCell ref="T31:U31"/>
    <mergeCell ref="Y31:Z31"/>
    <mergeCell ref="AA31:AB31"/>
    <mergeCell ref="AG31:AH31"/>
    <mergeCell ref="AK31:AL31"/>
    <mergeCell ref="D27:E27"/>
    <mergeCell ref="H27:I27"/>
    <mergeCell ref="L27:M27"/>
  </mergeCells>
  <phoneticPr fontId="31" type="noConversion"/>
  <pageMargins left="0.7" right="0.7" top="0.75" bottom="0.75" header="0.3" footer="0.3"/>
  <pageSetup paperSize="9" scale="76"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pageSetUpPr fitToPage="1"/>
  </sheetPr>
  <dimension ref="B1:AW42"/>
  <sheetViews>
    <sheetView showGridLines="0" topLeftCell="A13" zoomScale="85" zoomScaleNormal="85" workbookViewId="0">
      <selection activeCell="AN22" sqref="AN22:AO22"/>
    </sheetView>
  </sheetViews>
  <sheetFormatPr defaultColWidth="9" defaultRowHeight="14.15" x14ac:dyDescent="0.3"/>
  <cols>
    <col min="1" max="3" width="3.61328125" customWidth="1"/>
    <col min="4" max="5" width="5.4609375" customWidth="1"/>
    <col min="6" max="6" width="7.4609375" customWidth="1"/>
    <col min="7" max="7" width="3.61328125" customWidth="1"/>
    <col min="8" max="8" width="7.4609375" customWidth="1"/>
    <col min="9" max="9" width="5.4609375" customWidth="1"/>
    <col min="10" max="11" width="3.61328125" customWidth="1"/>
    <col min="12" max="13" width="5.4609375" customWidth="1"/>
    <col min="14" max="15" width="3.61328125" customWidth="1"/>
    <col min="16" max="17" width="5.4609375" customWidth="1"/>
    <col min="18" max="19" width="3.61328125" customWidth="1"/>
    <col min="20" max="20" width="4.4609375" customWidth="1"/>
    <col min="21" max="21" width="5" customWidth="1"/>
    <col min="22" max="23" width="3.61328125" customWidth="1"/>
    <col min="24" max="25" width="5.4609375" customWidth="1"/>
    <col min="26" max="27" width="3.61328125" customWidth="1"/>
    <col min="28" max="29" width="5.4609375" customWidth="1"/>
    <col min="30" max="31" width="3.61328125" customWidth="1"/>
    <col min="32" max="33" width="5.4609375" customWidth="1"/>
    <col min="34" max="35" width="3.61328125" customWidth="1"/>
    <col min="36" max="37" width="5.4609375" customWidth="1"/>
    <col min="38" max="39" width="3.61328125" customWidth="1"/>
    <col min="40" max="41" width="5.4609375" customWidth="1"/>
    <col min="42" max="44" width="3.61328125" customWidth="1"/>
    <col min="45" max="45" width="16.07421875" customWidth="1"/>
    <col min="46" max="47" width="16.07421875" style="1" customWidth="1"/>
    <col min="48" max="48" width="4.4609375" style="1" customWidth="1"/>
    <col min="49" max="49" width="5.07421875" customWidth="1"/>
  </cols>
  <sheetData>
    <row r="1" spans="2:49" x14ac:dyDescent="0.3">
      <c r="AS1" s="278"/>
      <c r="AW1" s="5"/>
    </row>
    <row r="2" spans="2:49" ht="14.15" customHeight="1" x14ac:dyDescent="0.3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4"/>
      <c r="AS2" s="278"/>
    </row>
    <row r="3" spans="2:49" ht="25" customHeight="1" x14ac:dyDescent="0.3">
      <c r="B3" s="281" t="s">
        <v>621</v>
      </c>
      <c r="C3" s="282"/>
      <c r="I3" s="281" t="s">
        <v>622</v>
      </c>
      <c r="J3" s="282"/>
      <c r="K3" s="281" t="s">
        <v>623</v>
      </c>
      <c r="L3" s="282"/>
      <c r="P3" s="281" t="s">
        <v>624</v>
      </c>
      <c r="Q3" s="282"/>
      <c r="T3" s="281" t="s">
        <v>625</v>
      </c>
      <c r="U3" s="282"/>
      <c r="Y3" s="281" t="s">
        <v>626</v>
      </c>
      <c r="Z3" s="282"/>
      <c r="AA3" s="281" t="s">
        <v>627</v>
      </c>
      <c r="AB3" s="282"/>
      <c r="AG3" s="281" t="s">
        <v>628</v>
      </c>
      <c r="AH3" s="282"/>
      <c r="AK3" s="281" t="s">
        <v>629</v>
      </c>
      <c r="AL3" s="282"/>
      <c r="AP3" s="281" t="s">
        <v>630</v>
      </c>
      <c r="AQ3" s="282"/>
      <c r="AR3" s="6"/>
      <c r="AS3" s="278"/>
    </row>
    <row r="4" spans="2:49" ht="25" customHeight="1" x14ac:dyDescent="0.3">
      <c r="B4" s="290"/>
      <c r="C4" s="291"/>
      <c r="I4" s="292"/>
      <c r="J4" s="291"/>
      <c r="K4" s="292"/>
      <c r="L4" s="291"/>
      <c r="P4" s="292"/>
      <c r="Q4" s="291"/>
      <c r="T4" s="292"/>
      <c r="U4" s="291"/>
      <c r="Y4" s="292"/>
      <c r="Z4" s="291"/>
      <c r="AA4" s="292"/>
      <c r="AB4" s="291"/>
      <c r="AG4" s="292"/>
      <c r="AH4" s="291"/>
      <c r="AK4" s="292"/>
      <c r="AL4" s="291"/>
      <c r="AP4" s="292"/>
      <c r="AQ4" s="293"/>
      <c r="AR4" s="6"/>
      <c r="AS4" s="278"/>
      <c r="AW4" s="10"/>
    </row>
    <row r="5" spans="2:49" x14ac:dyDescent="0.3">
      <c r="B5" s="7"/>
      <c r="C5" s="8"/>
      <c r="F5" s="8"/>
      <c r="G5" s="8"/>
      <c r="H5" s="284" t="s">
        <v>558</v>
      </c>
      <c r="I5" s="285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284" t="s">
        <v>559</v>
      </c>
      <c r="W5" s="285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284" t="s">
        <v>560</v>
      </c>
      <c r="AN5" s="285"/>
      <c r="AO5" s="8"/>
      <c r="AP5" s="8"/>
      <c r="AQ5" s="9"/>
      <c r="AS5" s="278"/>
    </row>
    <row r="6" spans="2:49" x14ac:dyDescent="0.3">
      <c r="B6" s="11"/>
      <c r="D6" s="3"/>
      <c r="E6" s="3"/>
      <c r="H6" s="3"/>
      <c r="I6" s="3"/>
      <c r="L6" s="3"/>
      <c r="M6" s="3"/>
      <c r="P6" s="3"/>
      <c r="Q6" s="3"/>
      <c r="T6" s="3"/>
      <c r="U6" s="3" t="s">
        <v>631</v>
      </c>
      <c r="V6" s="1"/>
      <c r="W6" s="1"/>
      <c r="X6" s="3"/>
      <c r="Y6" s="3"/>
      <c r="AB6" s="3"/>
      <c r="AC6" s="3"/>
      <c r="AF6" s="3"/>
      <c r="AG6" s="3"/>
      <c r="AJ6" s="3"/>
      <c r="AK6" s="3"/>
      <c r="AM6" s="1"/>
      <c r="AN6" s="3"/>
      <c r="AO6" s="3"/>
      <c r="AP6" s="3"/>
      <c r="AQ6" s="4"/>
    </row>
    <row r="7" spans="2:49" x14ac:dyDescent="0.3">
      <c r="B7" s="12"/>
      <c r="C7" s="13"/>
      <c r="D7" s="289" t="s">
        <v>562</v>
      </c>
      <c r="E7" s="289"/>
      <c r="F7" s="13"/>
      <c r="G7" s="13"/>
      <c r="H7" s="289" t="s">
        <v>563</v>
      </c>
      <c r="I7" s="289"/>
      <c r="J7" s="13"/>
      <c r="K7" s="13"/>
      <c r="L7" s="289" t="s">
        <v>564</v>
      </c>
      <c r="M7" s="289"/>
      <c r="N7" s="13"/>
      <c r="O7" s="13"/>
      <c r="P7" s="289" t="s">
        <v>565</v>
      </c>
      <c r="Q7" s="289"/>
      <c r="R7" s="13"/>
      <c r="S7" s="13"/>
      <c r="T7" s="289" t="s">
        <v>566</v>
      </c>
      <c r="U7" s="289"/>
      <c r="V7" s="13"/>
      <c r="W7" s="13"/>
      <c r="X7" s="289" t="s">
        <v>567</v>
      </c>
      <c r="Y7" s="289"/>
      <c r="Z7" s="13"/>
      <c r="AA7" s="13"/>
      <c r="AB7" s="289" t="s">
        <v>568</v>
      </c>
      <c r="AC7" s="289"/>
      <c r="AD7" s="13"/>
      <c r="AE7" s="13"/>
      <c r="AF7" s="289" t="s">
        <v>569</v>
      </c>
      <c r="AG7" s="289"/>
      <c r="AH7" s="13"/>
      <c r="AI7" s="13"/>
      <c r="AJ7" s="289" t="s">
        <v>570</v>
      </c>
      <c r="AK7" s="289"/>
      <c r="AL7" s="13"/>
      <c r="AM7" s="13"/>
      <c r="AN7" s="289" t="s">
        <v>571</v>
      </c>
      <c r="AO7" s="289"/>
      <c r="AP7" s="13"/>
      <c r="AQ7" s="14"/>
      <c r="AR7" s="13"/>
    </row>
    <row r="8" spans="2:49" ht="14.25" customHeight="1" x14ac:dyDescent="0.3">
      <c r="B8" s="11"/>
      <c r="D8" s="15" t="s">
        <v>572</v>
      </c>
      <c r="E8" s="15" t="s">
        <v>573</v>
      </c>
      <c r="F8" s="1"/>
      <c r="G8" s="1"/>
      <c r="H8" s="15" t="s">
        <v>573</v>
      </c>
      <c r="I8" s="15" t="s">
        <v>572</v>
      </c>
      <c r="J8" s="1"/>
      <c r="K8" s="1"/>
      <c r="L8" s="15" t="s">
        <v>572</v>
      </c>
      <c r="M8" s="15" t="s">
        <v>573</v>
      </c>
      <c r="N8" s="1"/>
      <c r="O8" s="1"/>
      <c r="P8" s="15" t="s">
        <v>573</v>
      </c>
      <c r="Q8" s="15" t="s">
        <v>572</v>
      </c>
      <c r="R8" s="1"/>
      <c r="S8" s="1"/>
      <c r="T8" s="15" t="s">
        <v>572</v>
      </c>
      <c r="U8" s="15" t="s">
        <v>573</v>
      </c>
      <c r="V8" s="1"/>
      <c r="W8" s="1"/>
      <c r="X8" s="15" t="s">
        <v>573</v>
      </c>
      <c r="Y8" s="15" t="s">
        <v>572</v>
      </c>
      <c r="Z8" s="1"/>
      <c r="AA8" s="1"/>
      <c r="AB8" s="15" t="s">
        <v>573</v>
      </c>
      <c r="AC8" s="15" t="s">
        <v>573</v>
      </c>
      <c r="AD8" s="1"/>
      <c r="AE8" s="1"/>
      <c r="AF8" s="15" t="s">
        <v>573</v>
      </c>
      <c r="AG8" s="15" t="s">
        <v>573</v>
      </c>
      <c r="AH8" s="1"/>
      <c r="AI8" s="1"/>
      <c r="AJ8" s="15" t="s">
        <v>573</v>
      </c>
      <c r="AK8" s="15" t="s">
        <v>573</v>
      </c>
      <c r="AL8" s="1"/>
      <c r="AM8" s="1"/>
      <c r="AN8" s="15" t="s">
        <v>573</v>
      </c>
      <c r="AO8" s="15" t="s">
        <v>573</v>
      </c>
      <c r="AQ8" s="16"/>
    </row>
    <row r="9" spans="2:49" x14ac:dyDescent="0.3">
      <c r="B9" s="11"/>
      <c r="D9" s="286" t="s">
        <v>262</v>
      </c>
      <c r="E9" s="286"/>
      <c r="F9" s="17"/>
      <c r="G9" s="17"/>
      <c r="H9" s="286" t="s">
        <v>261</v>
      </c>
      <c r="I9" s="286"/>
      <c r="L9" s="286" t="s">
        <v>264</v>
      </c>
      <c r="M9" s="286"/>
      <c r="N9" s="17"/>
      <c r="O9" s="17"/>
      <c r="P9" s="286" t="s">
        <v>206</v>
      </c>
      <c r="Q9" s="286"/>
      <c r="T9" s="286" t="s">
        <v>260</v>
      </c>
      <c r="U9" s="286"/>
      <c r="V9" s="17"/>
      <c r="W9" s="17"/>
      <c r="X9" s="286" t="s">
        <v>259</v>
      </c>
      <c r="Y9" s="286"/>
      <c r="AB9" s="286" t="s">
        <v>263</v>
      </c>
      <c r="AC9" s="286"/>
      <c r="AD9" s="17"/>
      <c r="AE9" s="17"/>
      <c r="AF9" s="286" t="s">
        <v>258</v>
      </c>
      <c r="AG9" s="286"/>
      <c r="AJ9" s="286" t="s">
        <v>256</v>
      </c>
      <c r="AK9" s="286"/>
      <c r="AL9" s="17"/>
      <c r="AM9" s="17"/>
      <c r="AN9" s="286" t="s">
        <v>265</v>
      </c>
      <c r="AO9" s="286"/>
      <c r="AQ9" s="16"/>
    </row>
    <row r="10" spans="2:49" x14ac:dyDescent="0.3">
      <c r="B10" s="11"/>
      <c r="D10" s="286" t="s">
        <v>477</v>
      </c>
      <c r="E10" s="286"/>
      <c r="F10" s="17"/>
      <c r="G10" s="17"/>
      <c r="H10" s="286" t="s">
        <v>368</v>
      </c>
      <c r="I10" s="286"/>
      <c r="L10" s="286" t="s">
        <v>365</v>
      </c>
      <c r="M10" s="286"/>
      <c r="N10" s="17"/>
      <c r="O10" s="17"/>
      <c r="P10" s="286" t="s">
        <v>203</v>
      </c>
      <c r="Q10" s="286"/>
      <c r="T10" s="286" t="s">
        <v>179</v>
      </c>
      <c r="U10" s="286"/>
      <c r="V10" s="17"/>
      <c r="W10" s="17"/>
      <c r="X10" s="286" t="s">
        <v>172</v>
      </c>
      <c r="Y10" s="286"/>
      <c r="AB10" s="286" t="s">
        <v>181</v>
      </c>
      <c r="AC10" s="286"/>
      <c r="AD10" s="17"/>
      <c r="AE10" s="17"/>
      <c r="AF10" s="286" t="s">
        <v>320</v>
      </c>
      <c r="AG10" s="286"/>
      <c r="AJ10" s="286" t="s">
        <v>449</v>
      </c>
      <c r="AK10" s="286"/>
      <c r="AL10" s="17"/>
      <c r="AM10" s="17"/>
      <c r="AN10" s="286" t="s">
        <v>246</v>
      </c>
      <c r="AO10" s="286"/>
      <c r="AQ10" s="16"/>
      <c r="AR10" s="18"/>
    </row>
    <row r="11" spans="2:49" x14ac:dyDescent="0.3">
      <c r="B11" s="11"/>
      <c r="D11" s="286" t="s">
        <v>303</v>
      </c>
      <c r="E11" s="286"/>
      <c r="F11" s="17"/>
      <c r="G11" s="17"/>
      <c r="H11" s="286" t="s">
        <v>371</v>
      </c>
      <c r="I11" s="286"/>
      <c r="L11" s="287" t="s">
        <v>275</v>
      </c>
      <c r="M11" s="287"/>
      <c r="N11" s="17"/>
      <c r="O11" s="17"/>
      <c r="P11" s="286" t="s">
        <v>157</v>
      </c>
      <c r="Q11" s="286"/>
      <c r="T11" s="286" t="s">
        <v>141</v>
      </c>
      <c r="U11" s="286"/>
      <c r="V11" s="17"/>
      <c r="W11" s="17"/>
      <c r="X11" s="286" t="s">
        <v>177</v>
      </c>
      <c r="Y11" s="286"/>
      <c r="AB11" s="286" t="s">
        <v>82</v>
      </c>
      <c r="AC11" s="286"/>
      <c r="AD11" s="17"/>
      <c r="AE11" s="17"/>
      <c r="AF11" s="286" t="s">
        <v>215</v>
      </c>
      <c r="AG11" s="286"/>
      <c r="AJ11" s="286" t="s">
        <v>271</v>
      </c>
      <c r="AK11" s="286"/>
      <c r="AL11" s="17"/>
      <c r="AM11" s="17"/>
      <c r="AN11" s="286" t="s">
        <v>185</v>
      </c>
      <c r="AO11" s="286"/>
      <c r="AQ11" s="16"/>
    </row>
    <row r="12" spans="2:49" x14ac:dyDescent="0.3">
      <c r="B12" s="11"/>
      <c r="D12" s="286" t="s">
        <v>304</v>
      </c>
      <c r="E12" s="286"/>
      <c r="F12" s="17"/>
      <c r="G12" s="17"/>
      <c r="H12" s="286" t="s">
        <v>374</v>
      </c>
      <c r="I12" s="286"/>
      <c r="L12" s="287" t="s">
        <v>276</v>
      </c>
      <c r="M12" s="287"/>
      <c r="N12" s="17"/>
      <c r="O12" s="17"/>
      <c r="P12" s="286" t="s">
        <v>158</v>
      </c>
      <c r="Q12" s="286"/>
      <c r="T12" s="286" t="s">
        <v>142</v>
      </c>
      <c r="U12" s="286"/>
      <c r="V12" s="17"/>
      <c r="W12" s="17"/>
      <c r="X12" s="286" t="s">
        <v>178</v>
      </c>
      <c r="Y12" s="286"/>
      <c r="AB12" s="286" t="s">
        <v>87</v>
      </c>
      <c r="AC12" s="286"/>
      <c r="AD12" s="17"/>
      <c r="AE12" s="17"/>
      <c r="AF12" s="286" t="s">
        <v>222</v>
      </c>
      <c r="AG12" s="286"/>
      <c r="AJ12" s="286" t="s">
        <v>272</v>
      </c>
      <c r="AK12" s="286"/>
      <c r="AL12" s="17"/>
      <c r="AM12" s="17"/>
      <c r="AN12" s="286" t="s">
        <v>193</v>
      </c>
      <c r="AO12" s="286"/>
      <c r="AQ12" s="16"/>
    </row>
    <row r="13" spans="2:49" x14ac:dyDescent="0.3">
      <c r="B13" s="11"/>
      <c r="D13" s="286" t="s">
        <v>305</v>
      </c>
      <c r="E13" s="286"/>
      <c r="F13" s="17"/>
      <c r="G13" s="17"/>
      <c r="H13" s="286" t="s">
        <v>291</v>
      </c>
      <c r="I13" s="286"/>
      <c r="L13" s="286" t="s">
        <v>277</v>
      </c>
      <c r="M13" s="286"/>
      <c r="N13" s="17"/>
      <c r="O13" s="17"/>
      <c r="P13" s="286" t="s">
        <v>159</v>
      </c>
      <c r="Q13" s="286"/>
      <c r="T13" s="286" t="s">
        <v>143</v>
      </c>
      <c r="U13" s="286"/>
      <c r="V13" s="17"/>
      <c r="W13" s="17"/>
      <c r="X13" s="286" t="s">
        <v>129</v>
      </c>
      <c r="Y13" s="286"/>
      <c r="AB13" s="309" t="s">
        <v>88</v>
      </c>
      <c r="AC13" s="310"/>
      <c r="AD13" s="17"/>
      <c r="AE13" s="17"/>
      <c r="AF13" s="286" t="s">
        <v>225</v>
      </c>
      <c r="AG13" s="286"/>
      <c r="AJ13" s="286" t="s">
        <v>99</v>
      </c>
      <c r="AK13" s="286"/>
      <c r="AL13" s="17"/>
      <c r="AM13" s="17"/>
      <c r="AN13" s="286" t="s">
        <v>268</v>
      </c>
      <c r="AO13" s="286"/>
      <c r="AQ13" s="16"/>
    </row>
    <row r="14" spans="2:49" x14ac:dyDescent="0.3">
      <c r="B14" s="11"/>
      <c r="D14" s="286" t="s">
        <v>306</v>
      </c>
      <c r="E14" s="286"/>
      <c r="F14" s="17"/>
      <c r="G14" s="17"/>
      <c r="H14" s="286" t="s">
        <v>292</v>
      </c>
      <c r="I14" s="286"/>
      <c r="L14" s="286" t="s">
        <v>278</v>
      </c>
      <c r="M14" s="286"/>
      <c r="N14" s="17"/>
      <c r="O14" s="17"/>
      <c r="P14" s="286" t="s">
        <v>160</v>
      </c>
      <c r="Q14" s="286"/>
      <c r="T14" s="286" t="s">
        <v>144</v>
      </c>
      <c r="U14" s="286"/>
      <c r="V14" s="17"/>
      <c r="W14" s="17"/>
      <c r="X14" s="286" t="s">
        <v>130</v>
      </c>
      <c r="Y14" s="286"/>
      <c r="AB14" s="286" t="s">
        <v>89</v>
      </c>
      <c r="AC14" s="286"/>
      <c r="AD14" s="17"/>
      <c r="AE14" s="17"/>
      <c r="AF14" s="286" t="s">
        <v>228</v>
      </c>
      <c r="AG14" s="286"/>
      <c r="AJ14" s="286" t="s">
        <v>100</v>
      </c>
      <c r="AK14" s="286"/>
      <c r="AL14" s="17"/>
      <c r="AM14" s="17"/>
      <c r="AN14" s="286" t="s">
        <v>192</v>
      </c>
      <c r="AO14" s="286"/>
      <c r="AQ14" s="16"/>
    </row>
    <row r="15" spans="2:49" x14ac:dyDescent="0.3">
      <c r="B15" s="11"/>
      <c r="D15" s="286" t="s">
        <v>307</v>
      </c>
      <c r="E15" s="286"/>
      <c r="F15" s="17"/>
      <c r="G15" s="17"/>
      <c r="H15" s="286" t="s">
        <v>293</v>
      </c>
      <c r="I15" s="286"/>
      <c r="L15" s="286" t="s">
        <v>279</v>
      </c>
      <c r="M15" s="286"/>
      <c r="N15" s="17"/>
      <c r="O15" s="17"/>
      <c r="P15" s="286" t="s">
        <v>161</v>
      </c>
      <c r="Q15" s="286"/>
      <c r="T15" s="286" t="s">
        <v>145</v>
      </c>
      <c r="U15" s="286"/>
      <c r="V15" s="17"/>
      <c r="W15" s="17"/>
      <c r="X15" s="286" t="s">
        <v>131</v>
      </c>
      <c r="Y15" s="286"/>
      <c r="AB15" s="286" t="s">
        <v>90</v>
      </c>
      <c r="AC15" s="286"/>
      <c r="AD15" s="17"/>
      <c r="AE15" s="17"/>
      <c r="AF15" s="287" t="s">
        <v>113</v>
      </c>
      <c r="AG15" s="287"/>
      <c r="AJ15" s="286" t="s">
        <v>101</v>
      </c>
      <c r="AK15" s="286"/>
      <c r="AL15" s="17"/>
      <c r="AM15" s="17"/>
      <c r="AN15" s="286" t="s">
        <v>186</v>
      </c>
      <c r="AO15" s="286"/>
      <c r="AQ15" s="16"/>
    </row>
    <row r="16" spans="2:49" x14ac:dyDescent="0.3">
      <c r="B16" s="11"/>
      <c r="D16" s="286" t="s">
        <v>308</v>
      </c>
      <c r="E16" s="286"/>
      <c r="F16" s="17"/>
      <c r="G16" s="17"/>
      <c r="H16" s="286" t="s">
        <v>294</v>
      </c>
      <c r="I16" s="286"/>
      <c r="L16" s="286" t="s">
        <v>280</v>
      </c>
      <c r="M16" s="286"/>
      <c r="N16" s="17"/>
      <c r="O16" s="17"/>
      <c r="P16" s="286" t="s">
        <v>162</v>
      </c>
      <c r="Q16" s="286"/>
      <c r="T16" s="286" t="s">
        <v>146</v>
      </c>
      <c r="U16" s="286"/>
      <c r="V16" s="17"/>
      <c r="W16" s="17"/>
      <c r="X16" s="286" t="s">
        <v>132</v>
      </c>
      <c r="Y16" s="286"/>
      <c r="AB16" s="286" t="s">
        <v>91</v>
      </c>
      <c r="AC16" s="286"/>
      <c r="AD16" s="17"/>
      <c r="AE16" s="17"/>
      <c r="AF16" s="286" t="s">
        <v>114</v>
      </c>
      <c r="AG16" s="286"/>
      <c r="AJ16" s="286" t="s">
        <v>102</v>
      </c>
      <c r="AK16" s="286"/>
      <c r="AL16" s="17"/>
      <c r="AM16" s="17"/>
      <c r="AN16" s="286" t="s">
        <v>319</v>
      </c>
      <c r="AO16" s="286"/>
      <c r="AQ16" s="16"/>
    </row>
    <row r="17" spans="2:43" x14ac:dyDescent="0.3">
      <c r="B17" s="11"/>
      <c r="D17" s="286" t="s">
        <v>309</v>
      </c>
      <c r="E17" s="286"/>
      <c r="F17" s="17"/>
      <c r="G17" s="17"/>
      <c r="H17" s="286" t="s">
        <v>295</v>
      </c>
      <c r="I17" s="286"/>
      <c r="L17" s="286" t="s">
        <v>281</v>
      </c>
      <c r="M17" s="286"/>
      <c r="N17" s="17"/>
      <c r="O17" s="17"/>
      <c r="P17" s="287" t="s">
        <v>163</v>
      </c>
      <c r="Q17" s="287"/>
      <c r="T17" s="286" t="s">
        <v>147</v>
      </c>
      <c r="U17" s="286"/>
      <c r="V17" s="17"/>
      <c r="W17" s="17"/>
      <c r="X17" s="286" t="s">
        <v>133</v>
      </c>
      <c r="Y17" s="286"/>
      <c r="AB17" s="286" t="s">
        <v>92</v>
      </c>
      <c r="AC17" s="286"/>
      <c r="AD17" s="17"/>
      <c r="AE17" s="17"/>
      <c r="AF17" s="286" t="s">
        <v>115</v>
      </c>
      <c r="AG17" s="286"/>
      <c r="AJ17" s="286" t="s">
        <v>103</v>
      </c>
      <c r="AK17" s="286"/>
      <c r="AL17" s="17"/>
      <c r="AM17" s="17"/>
      <c r="AN17" s="286" t="s">
        <v>191</v>
      </c>
      <c r="AO17" s="286"/>
      <c r="AQ17" s="16"/>
    </row>
    <row r="18" spans="2:43" x14ac:dyDescent="0.3">
      <c r="B18" s="11"/>
      <c r="D18" s="286" t="s">
        <v>310</v>
      </c>
      <c r="E18" s="286"/>
      <c r="F18" s="17"/>
      <c r="G18" s="17"/>
      <c r="H18" s="286" t="s">
        <v>296</v>
      </c>
      <c r="I18" s="286"/>
      <c r="L18" s="286" t="s">
        <v>282</v>
      </c>
      <c r="M18" s="286"/>
      <c r="N18" s="17"/>
      <c r="O18" s="17"/>
      <c r="P18" s="286" t="s">
        <v>164</v>
      </c>
      <c r="Q18" s="286"/>
      <c r="T18" s="286" t="s">
        <v>148</v>
      </c>
      <c r="U18" s="286"/>
      <c r="V18" s="17"/>
      <c r="W18" s="17"/>
      <c r="X18" s="286" t="s">
        <v>134</v>
      </c>
      <c r="Y18" s="286"/>
      <c r="AB18" s="286" t="s">
        <v>93</v>
      </c>
      <c r="AC18" s="286"/>
      <c r="AD18" s="17"/>
      <c r="AE18" s="17"/>
      <c r="AF18" s="286" t="s">
        <v>116</v>
      </c>
      <c r="AG18" s="286"/>
      <c r="AJ18" s="286" t="s">
        <v>104</v>
      </c>
      <c r="AK18" s="286"/>
      <c r="AL18" s="17"/>
      <c r="AM18" s="17"/>
      <c r="AN18" s="286" t="s">
        <v>187</v>
      </c>
      <c r="AO18" s="286"/>
      <c r="AQ18" s="16"/>
    </row>
    <row r="19" spans="2:43" x14ac:dyDescent="0.3">
      <c r="B19" s="11"/>
      <c r="D19" s="286" t="s">
        <v>311</v>
      </c>
      <c r="E19" s="286"/>
      <c r="F19" s="17"/>
      <c r="G19" s="17"/>
      <c r="H19" s="288"/>
      <c r="I19" s="288"/>
      <c r="L19" s="286" t="s">
        <v>283</v>
      </c>
      <c r="M19" s="286"/>
      <c r="N19" s="17"/>
      <c r="O19" s="17"/>
      <c r="P19" s="288"/>
      <c r="Q19" s="288"/>
      <c r="T19" s="286" t="s">
        <v>149</v>
      </c>
      <c r="U19" s="286"/>
      <c r="V19" s="17"/>
      <c r="W19" s="17"/>
      <c r="X19" s="288"/>
      <c r="Y19" s="288"/>
      <c r="AB19" s="286" t="s">
        <v>273</v>
      </c>
      <c r="AC19" s="286"/>
      <c r="AD19" s="17"/>
      <c r="AE19" s="17"/>
      <c r="AF19" s="288"/>
      <c r="AG19" s="288"/>
      <c r="AJ19" s="286" t="s">
        <v>105</v>
      </c>
      <c r="AK19" s="286"/>
      <c r="AL19" s="17"/>
      <c r="AM19" s="17"/>
      <c r="AN19" s="288"/>
      <c r="AO19" s="288"/>
      <c r="AQ19" s="16"/>
    </row>
    <row r="20" spans="2:43" x14ac:dyDescent="0.3">
      <c r="B20" s="11"/>
      <c r="D20" s="286" t="s">
        <v>312</v>
      </c>
      <c r="E20" s="286"/>
      <c r="F20" s="17"/>
      <c r="G20" s="17"/>
      <c r="H20" s="288"/>
      <c r="I20" s="288"/>
      <c r="L20" s="286" t="s">
        <v>284</v>
      </c>
      <c r="M20" s="286"/>
      <c r="N20" s="17"/>
      <c r="O20" s="17"/>
      <c r="P20" s="288"/>
      <c r="Q20" s="288"/>
      <c r="T20" s="286" t="s">
        <v>150</v>
      </c>
      <c r="U20" s="286"/>
      <c r="V20" s="17"/>
      <c r="W20" s="17"/>
      <c r="X20" s="288"/>
      <c r="Y20" s="288"/>
      <c r="AB20" s="286" t="s">
        <v>274</v>
      </c>
      <c r="AC20" s="286"/>
      <c r="AD20" s="17"/>
      <c r="AE20" s="17"/>
      <c r="AF20" s="288"/>
      <c r="AG20" s="288"/>
      <c r="AJ20" s="286" t="s">
        <v>106</v>
      </c>
      <c r="AK20" s="286"/>
      <c r="AL20" s="17"/>
      <c r="AM20" s="17"/>
      <c r="AN20" s="288"/>
      <c r="AO20" s="288"/>
      <c r="AP20" s="19"/>
      <c r="AQ20" s="16"/>
    </row>
    <row r="21" spans="2:43" x14ac:dyDescent="0.3">
      <c r="B21" s="11"/>
      <c r="D21" s="286" t="s">
        <v>313</v>
      </c>
      <c r="E21" s="286"/>
      <c r="F21" s="17"/>
      <c r="G21" s="17"/>
      <c r="H21" s="286" t="s">
        <v>297</v>
      </c>
      <c r="I21" s="286"/>
      <c r="L21" s="286" t="s">
        <v>285</v>
      </c>
      <c r="M21" s="286"/>
      <c r="N21" s="17"/>
      <c r="O21" s="17"/>
      <c r="P21" s="287" t="s">
        <v>165</v>
      </c>
      <c r="Q21" s="287"/>
      <c r="T21" s="286" t="s">
        <v>151</v>
      </c>
      <c r="U21" s="286"/>
      <c r="V21" s="17"/>
      <c r="W21" s="17"/>
      <c r="X21" s="286" t="s">
        <v>135</v>
      </c>
      <c r="Y21" s="286"/>
      <c r="AB21" s="286" t="s">
        <v>123</v>
      </c>
      <c r="AC21" s="286"/>
      <c r="AD21" s="17"/>
      <c r="AE21" s="17"/>
      <c r="AF21" s="286" t="s">
        <v>117</v>
      </c>
      <c r="AG21" s="286"/>
      <c r="AJ21" s="286" t="s">
        <v>107</v>
      </c>
      <c r="AK21" s="286"/>
      <c r="AL21" s="17"/>
      <c r="AM21" s="17"/>
      <c r="AN21" s="308" t="s">
        <v>209</v>
      </c>
      <c r="AO21" s="308"/>
      <c r="AQ21" s="16"/>
    </row>
    <row r="22" spans="2:43" x14ac:dyDescent="0.3">
      <c r="B22" s="11"/>
      <c r="D22" s="286" t="s">
        <v>314</v>
      </c>
      <c r="E22" s="286"/>
      <c r="F22" s="17"/>
      <c r="G22" s="17"/>
      <c r="H22" s="286" t="s">
        <v>298</v>
      </c>
      <c r="I22" s="286"/>
      <c r="L22" s="286" t="s">
        <v>286</v>
      </c>
      <c r="M22" s="286"/>
      <c r="N22" s="17"/>
      <c r="O22" s="17"/>
      <c r="P22" s="286" t="s">
        <v>166</v>
      </c>
      <c r="Q22" s="286"/>
      <c r="T22" s="286" t="s">
        <v>152</v>
      </c>
      <c r="U22" s="286"/>
      <c r="V22" s="17"/>
      <c r="W22" s="17"/>
      <c r="X22" s="286" t="s">
        <v>136</v>
      </c>
      <c r="Y22" s="286"/>
      <c r="AB22" s="286" t="s">
        <v>124</v>
      </c>
      <c r="AC22" s="286"/>
      <c r="AD22" s="17"/>
      <c r="AE22" s="17"/>
      <c r="AF22" s="286" t="s">
        <v>118</v>
      </c>
      <c r="AG22" s="286"/>
      <c r="AH22" s="8"/>
      <c r="AI22" s="8"/>
      <c r="AJ22" s="286" t="s">
        <v>108</v>
      </c>
      <c r="AK22" s="286"/>
      <c r="AL22" s="17"/>
      <c r="AM22" s="17"/>
      <c r="AN22" s="308" t="s">
        <v>213</v>
      </c>
      <c r="AO22" s="308"/>
      <c r="AQ22" s="16"/>
    </row>
    <row r="23" spans="2:43" x14ac:dyDescent="0.3">
      <c r="B23" s="11"/>
      <c r="D23" s="286" t="s">
        <v>315</v>
      </c>
      <c r="E23" s="286"/>
      <c r="F23" s="17"/>
      <c r="G23" s="17"/>
      <c r="H23" s="286" t="s">
        <v>299</v>
      </c>
      <c r="I23" s="286"/>
      <c r="L23" s="286" t="s">
        <v>287</v>
      </c>
      <c r="M23" s="286"/>
      <c r="N23" s="17"/>
      <c r="O23" s="17"/>
      <c r="P23" s="286" t="s">
        <v>167</v>
      </c>
      <c r="Q23" s="286"/>
      <c r="T23" s="286" t="s">
        <v>153</v>
      </c>
      <c r="U23" s="286"/>
      <c r="V23" s="17"/>
      <c r="W23" s="17"/>
      <c r="X23" s="286" t="s">
        <v>137</v>
      </c>
      <c r="Y23" s="286"/>
      <c r="AB23" s="307"/>
      <c r="AC23" s="307"/>
      <c r="AF23" s="307"/>
      <c r="AG23" s="307"/>
      <c r="AJ23" s="307"/>
      <c r="AK23" s="307"/>
      <c r="AN23" s="307"/>
      <c r="AO23" s="307"/>
      <c r="AQ23" s="16"/>
    </row>
    <row r="24" spans="2:43" x14ac:dyDescent="0.3">
      <c r="B24" s="11"/>
      <c r="D24" s="286" t="s">
        <v>316</v>
      </c>
      <c r="E24" s="286"/>
      <c r="F24" s="17"/>
      <c r="G24" s="17"/>
      <c r="H24" s="286" t="s">
        <v>300</v>
      </c>
      <c r="I24" s="286"/>
      <c r="L24" s="286" t="s">
        <v>288</v>
      </c>
      <c r="M24" s="286"/>
      <c r="N24" s="17"/>
      <c r="O24" s="17"/>
      <c r="P24" s="286" t="s">
        <v>168</v>
      </c>
      <c r="Q24" s="286"/>
      <c r="T24" s="286" t="s">
        <v>154</v>
      </c>
      <c r="U24" s="286"/>
      <c r="V24" s="17"/>
      <c r="W24" s="17"/>
      <c r="X24" s="286" t="s">
        <v>138</v>
      </c>
      <c r="Y24" s="286"/>
      <c r="AB24" s="307"/>
      <c r="AC24" s="307"/>
      <c r="AF24" s="307"/>
      <c r="AG24" s="307"/>
      <c r="AJ24" s="307"/>
      <c r="AK24" s="307"/>
      <c r="AN24" s="307"/>
      <c r="AO24" s="307"/>
      <c r="AQ24" s="16"/>
    </row>
    <row r="25" spans="2:43" x14ac:dyDescent="0.3">
      <c r="B25" s="11"/>
      <c r="D25" s="286" t="s">
        <v>317</v>
      </c>
      <c r="E25" s="286"/>
      <c r="F25" s="17"/>
      <c r="G25" s="17"/>
      <c r="H25" s="286" t="s">
        <v>301</v>
      </c>
      <c r="I25" s="286"/>
      <c r="L25" s="286" t="s">
        <v>289</v>
      </c>
      <c r="M25" s="286"/>
      <c r="N25" s="17"/>
      <c r="O25" s="17"/>
      <c r="P25" s="286" t="s">
        <v>169</v>
      </c>
      <c r="Q25" s="286"/>
      <c r="T25" s="286" t="s">
        <v>155</v>
      </c>
      <c r="U25" s="286"/>
      <c r="V25" s="17"/>
      <c r="W25" s="17"/>
      <c r="X25" s="286" t="s">
        <v>139</v>
      </c>
      <c r="Y25" s="286"/>
      <c r="AB25" s="307"/>
      <c r="AC25" s="307"/>
      <c r="AF25" s="307"/>
      <c r="AG25" s="307"/>
      <c r="AJ25" s="307"/>
      <c r="AK25" s="307"/>
      <c r="AN25" s="307"/>
      <c r="AO25" s="307"/>
      <c r="AQ25" s="16"/>
    </row>
    <row r="26" spans="2:43" x14ac:dyDescent="0.3">
      <c r="B26" s="11"/>
      <c r="D26" s="286" t="s">
        <v>318</v>
      </c>
      <c r="E26" s="286"/>
      <c r="F26" s="17"/>
      <c r="G26" s="17"/>
      <c r="H26" s="286" t="s">
        <v>302</v>
      </c>
      <c r="I26" s="286"/>
      <c r="L26" s="286" t="s">
        <v>290</v>
      </c>
      <c r="M26" s="286"/>
      <c r="N26" s="17"/>
      <c r="O26" s="17"/>
      <c r="P26" s="286" t="s">
        <v>170</v>
      </c>
      <c r="Q26" s="286"/>
      <c r="T26" s="286" t="s">
        <v>156</v>
      </c>
      <c r="U26" s="286"/>
      <c r="V26" s="17"/>
      <c r="W26" s="17"/>
      <c r="X26" s="286" t="s">
        <v>140</v>
      </c>
      <c r="Y26" s="286"/>
      <c r="AB26" s="307"/>
      <c r="AC26" s="307"/>
      <c r="AF26" s="307"/>
      <c r="AG26" s="307"/>
      <c r="AJ26" s="307"/>
      <c r="AK26" s="307"/>
      <c r="AN26" s="307"/>
      <c r="AO26" s="307"/>
      <c r="AQ26" s="16"/>
    </row>
    <row r="27" spans="2:43" x14ac:dyDescent="0.3">
      <c r="B27" s="7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9"/>
    </row>
    <row r="28" spans="2:43" x14ac:dyDescent="0.3">
      <c r="B28" s="2"/>
      <c r="C28" s="3"/>
      <c r="D28" s="3"/>
      <c r="E28" s="3"/>
      <c r="F28" s="3"/>
      <c r="G28" s="284" t="s">
        <v>558</v>
      </c>
      <c r="H28" s="285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284" t="s">
        <v>559</v>
      </c>
      <c r="X28" s="285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284" t="s">
        <v>560</v>
      </c>
      <c r="AN28" s="285"/>
      <c r="AO28" s="3"/>
      <c r="AP28" s="3"/>
      <c r="AQ28" s="4"/>
    </row>
    <row r="29" spans="2:43" x14ac:dyDescent="0.3">
      <c r="B29" s="11"/>
      <c r="AQ29" s="9"/>
    </row>
    <row r="30" spans="2:43" x14ac:dyDescent="0.3">
      <c r="B30" s="281" t="s">
        <v>632</v>
      </c>
      <c r="C30" s="282"/>
      <c r="I30" s="281" t="s">
        <v>633</v>
      </c>
      <c r="J30" s="282"/>
      <c r="K30" s="281" t="s">
        <v>634</v>
      </c>
      <c r="L30" s="282"/>
      <c r="P30" s="281" t="s">
        <v>635</v>
      </c>
      <c r="Q30" s="282"/>
      <c r="T30" s="281" t="s">
        <v>636</v>
      </c>
      <c r="U30" s="282"/>
      <c r="Y30" s="281" t="s">
        <v>637</v>
      </c>
      <c r="Z30" s="282"/>
      <c r="AA30" s="281" t="s">
        <v>638</v>
      </c>
      <c r="AB30" s="282"/>
      <c r="AG30" s="281" t="s">
        <v>639</v>
      </c>
      <c r="AH30" s="282"/>
      <c r="AK30" s="281" t="s">
        <v>640</v>
      </c>
      <c r="AL30" s="282"/>
      <c r="AP30" s="281" t="s">
        <v>641</v>
      </c>
      <c r="AQ30" s="282"/>
    </row>
    <row r="31" spans="2:43" x14ac:dyDescent="0.3"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9"/>
    </row>
    <row r="33" spans="2:48" ht="14.15" customHeight="1" x14ac:dyDescent="0.3">
      <c r="B33" s="306" t="s">
        <v>642</v>
      </c>
      <c r="C33" s="279"/>
      <c r="D33" s="279"/>
      <c r="E33" s="279"/>
      <c r="F33" s="279"/>
      <c r="AR33" s="1"/>
      <c r="AS33" s="1"/>
      <c r="AU33"/>
      <c r="AV33"/>
    </row>
    <row r="34" spans="2:48" x14ac:dyDescent="0.3">
      <c r="B34" s="279"/>
      <c r="C34" s="279"/>
      <c r="D34" s="279"/>
      <c r="E34" s="279"/>
      <c r="F34" s="279"/>
      <c r="AR34" s="1"/>
      <c r="AS34" s="1"/>
      <c r="AU34"/>
      <c r="AV34"/>
    </row>
    <row r="35" spans="2:48" x14ac:dyDescent="0.3">
      <c r="B35" s="279"/>
      <c r="C35" s="279"/>
      <c r="D35" s="279"/>
      <c r="E35" s="279"/>
      <c r="F35" s="279"/>
      <c r="AR35" s="1"/>
      <c r="AS35" s="1"/>
      <c r="AU35"/>
      <c r="AV35"/>
    </row>
    <row r="36" spans="2:48" x14ac:dyDescent="0.3">
      <c r="B36" s="279"/>
      <c r="C36" s="279"/>
      <c r="D36" s="279"/>
      <c r="E36" s="279"/>
      <c r="F36" s="279"/>
      <c r="I36" s="10"/>
      <c r="AR36" s="1"/>
      <c r="AS36" s="1"/>
      <c r="AU36"/>
      <c r="AV36"/>
    </row>
    <row r="37" spans="2:48" x14ac:dyDescent="0.3">
      <c r="B37" s="280"/>
      <c r="C37" s="280"/>
      <c r="D37" s="280"/>
      <c r="E37" s="280"/>
      <c r="F37" s="280"/>
      <c r="H37" s="18"/>
      <c r="I37" s="10"/>
      <c r="AR37" s="1"/>
      <c r="AS37" s="1"/>
      <c r="AU37"/>
      <c r="AV37"/>
    </row>
    <row r="38" spans="2:48" x14ac:dyDescent="0.3">
      <c r="B38" s="283" t="s">
        <v>585</v>
      </c>
      <c r="C38" s="283"/>
      <c r="D38" s="283"/>
      <c r="E38" s="283"/>
      <c r="F38" s="21">
        <v>154</v>
      </c>
    </row>
    <row r="39" spans="2:48" x14ac:dyDescent="0.3">
      <c r="B39" s="283" t="s">
        <v>586</v>
      </c>
      <c r="C39" s="283"/>
      <c r="D39" s="283"/>
      <c r="E39" s="283"/>
      <c r="F39" s="21">
        <f>getcolorcount($D$9:$AO$31,G39)/2</f>
        <v>5</v>
      </c>
      <c r="G39" s="22"/>
    </row>
    <row r="40" spans="2:48" x14ac:dyDescent="0.3">
      <c r="B40" s="283" t="s">
        <v>587</v>
      </c>
      <c r="C40" s="283"/>
      <c r="D40" s="283"/>
      <c r="E40" s="283"/>
      <c r="F40" s="21">
        <f>getcolorcount($D$9:$AO$31,G40)/2</f>
        <v>147</v>
      </c>
      <c r="G40" s="23"/>
    </row>
    <row r="41" spans="2:48" x14ac:dyDescent="0.3">
      <c r="B41" s="283" t="s">
        <v>588</v>
      </c>
      <c r="C41" s="283"/>
      <c r="D41" s="283"/>
      <c r="E41" s="283"/>
      <c r="F41" s="21">
        <f>getcolorcount($D$9:$AO$31,G41)/2</f>
        <v>2</v>
      </c>
      <c r="G41" s="24"/>
    </row>
    <row r="42" spans="2:48" x14ac:dyDescent="0.3">
      <c r="B42" s="283" t="s">
        <v>589</v>
      </c>
      <c r="C42" s="283"/>
      <c r="D42" s="283"/>
      <c r="E42" s="283"/>
      <c r="F42" s="21">
        <f>F39+F40</f>
        <v>152</v>
      </c>
    </row>
  </sheetData>
  <mergeCells count="233"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P26:Q26"/>
    <mergeCell ref="T26:U26"/>
    <mergeCell ref="X26:Y26"/>
    <mergeCell ref="AB26:AC26"/>
    <mergeCell ref="AF26:AG26"/>
    <mergeCell ref="AJ26:AK26"/>
    <mergeCell ref="AN26:AO26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P30:AQ30"/>
    <mergeCell ref="B38:E38"/>
    <mergeCell ref="B39:E39"/>
    <mergeCell ref="B40:E40"/>
    <mergeCell ref="B41:E41"/>
    <mergeCell ref="B42:E42"/>
    <mergeCell ref="AS1:AS5"/>
    <mergeCell ref="B33:F37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N25:AO25"/>
    <mergeCell ref="D26:E26"/>
    <mergeCell ref="H26:I26"/>
    <mergeCell ref="L26:M26"/>
  </mergeCells>
  <phoneticPr fontId="31" type="noConversion"/>
  <pageMargins left="0.7" right="0.7" top="0.75" bottom="0.75" header="0.3" footer="0.3"/>
  <pageSetup paperSize="9" scale="76" orientation="landscape"/>
  <ignoredErrors>
    <ignoredError sqref="F42" evalError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pageSetUpPr fitToPage="1"/>
  </sheetPr>
  <dimension ref="B1:AW42"/>
  <sheetViews>
    <sheetView showGridLines="0" topLeftCell="A3" zoomScale="85" zoomScaleNormal="85" workbookViewId="0">
      <selection activeCell="D10" sqref="D10:E10"/>
    </sheetView>
  </sheetViews>
  <sheetFormatPr defaultColWidth="9" defaultRowHeight="14.15" x14ac:dyDescent="0.3"/>
  <cols>
    <col min="1" max="3" width="3.61328125" customWidth="1"/>
    <col min="4" max="5" width="5.4609375" customWidth="1"/>
    <col min="6" max="6" width="6.84375" customWidth="1"/>
    <col min="7" max="7" width="3.61328125" customWidth="1"/>
    <col min="8" max="8" width="10" customWidth="1"/>
    <col min="9" max="9" width="5.4609375" customWidth="1"/>
    <col min="10" max="11" width="3.61328125" customWidth="1"/>
    <col min="12" max="13" width="5.4609375" customWidth="1"/>
    <col min="14" max="15" width="3.61328125" customWidth="1"/>
    <col min="16" max="17" width="5.4609375" customWidth="1"/>
    <col min="18" max="19" width="3.61328125" customWidth="1"/>
    <col min="20" max="20" width="5.4609375" customWidth="1"/>
    <col min="21" max="21" width="5.07421875" customWidth="1"/>
    <col min="22" max="23" width="3.61328125" customWidth="1"/>
    <col min="24" max="25" width="5.4609375" customWidth="1"/>
    <col min="26" max="27" width="3.61328125" customWidth="1"/>
    <col min="28" max="29" width="5.4609375" customWidth="1"/>
    <col min="30" max="31" width="3.61328125" customWidth="1"/>
    <col min="32" max="33" width="5.4609375" customWidth="1"/>
    <col min="34" max="35" width="3.61328125" customWidth="1"/>
    <col min="36" max="37" width="5.4609375" customWidth="1"/>
    <col min="38" max="39" width="3.61328125" customWidth="1"/>
    <col min="40" max="41" width="5.4609375" customWidth="1"/>
    <col min="42" max="44" width="3.61328125" customWidth="1"/>
    <col min="45" max="45" width="16.07421875" customWidth="1"/>
    <col min="46" max="47" width="16.07421875" style="1" customWidth="1"/>
    <col min="48" max="48" width="4.4609375" style="1" customWidth="1"/>
    <col min="49" max="49" width="5.07421875" customWidth="1"/>
  </cols>
  <sheetData>
    <row r="1" spans="2:49" x14ac:dyDescent="0.3">
      <c r="AS1" s="278"/>
    </row>
    <row r="2" spans="2:49" ht="14.15" customHeight="1" x14ac:dyDescent="0.3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4"/>
      <c r="AS2" s="278"/>
      <c r="AW2" s="5"/>
    </row>
    <row r="3" spans="2:49" ht="25" customHeight="1" x14ac:dyDescent="0.3">
      <c r="B3" s="281" t="s">
        <v>643</v>
      </c>
      <c r="C3" s="282"/>
      <c r="I3" s="281" t="s">
        <v>644</v>
      </c>
      <c r="J3" s="282"/>
      <c r="K3" s="281" t="s">
        <v>645</v>
      </c>
      <c r="L3" s="282"/>
      <c r="P3" s="281" t="s">
        <v>646</v>
      </c>
      <c r="Q3" s="282"/>
      <c r="T3" s="281" t="s">
        <v>647</v>
      </c>
      <c r="U3" s="282"/>
      <c r="Y3" s="281" t="s">
        <v>648</v>
      </c>
      <c r="Z3" s="282"/>
      <c r="AA3" s="281" t="s">
        <v>649</v>
      </c>
      <c r="AB3" s="282"/>
      <c r="AG3" s="281" t="s">
        <v>650</v>
      </c>
      <c r="AH3" s="282"/>
      <c r="AK3" s="281" t="s">
        <v>651</v>
      </c>
      <c r="AL3" s="282"/>
      <c r="AP3" s="281" t="s">
        <v>652</v>
      </c>
      <c r="AQ3" s="282"/>
      <c r="AR3" s="6"/>
      <c r="AS3" s="278"/>
    </row>
    <row r="4" spans="2:49" ht="25" customHeight="1" x14ac:dyDescent="0.3">
      <c r="B4" s="290"/>
      <c r="C4" s="291"/>
      <c r="I4" s="292"/>
      <c r="J4" s="291"/>
      <c r="K4" s="292"/>
      <c r="L4" s="291"/>
      <c r="P4" s="292"/>
      <c r="Q4" s="291"/>
      <c r="T4" s="292"/>
      <c r="U4" s="291"/>
      <c r="Y4" s="292"/>
      <c r="Z4" s="291"/>
      <c r="AA4" s="292"/>
      <c r="AB4" s="291"/>
      <c r="AG4" s="292"/>
      <c r="AH4" s="291"/>
      <c r="AK4" s="292"/>
      <c r="AL4" s="291"/>
      <c r="AP4" s="292"/>
      <c r="AQ4" s="293"/>
      <c r="AR4" s="6"/>
      <c r="AS4" s="278"/>
      <c r="AV4"/>
    </row>
    <row r="5" spans="2:49" x14ac:dyDescent="0.3">
      <c r="B5" s="7"/>
      <c r="C5" s="8"/>
      <c r="F5" s="8"/>
      <c r="G5" s="8"/>
      <c r="H5" s="284" t="s">
        <v>558</v>
      </c>
      <c r="I5" s="285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284" t="s">
        <v>559</v>
      </c>
      <c r="W5" s="285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284" t="s">
        <v>560</v>
      </c>
      <c r="AN5" s="285"/>
      <c r="AO5" s="8"/>
      <c r="AP5" s="8"/>
      <c r="AQ5" s="9"/>
      <c r="AS5" s="278"/>
      <c r="AW5" s="10"/>
    </row>
    <row r="6" spans="2:49" x14ac:dyDescent="0.3">
      <c r="B6" s="11"/>
      <c r="D6" s="3"/>
      <c r="E6" s="3"/>
      <c r="H6" s="3"/>
      <c r="I6" s="3"/>
      <c r="L6" s="3"/>
      <c r="M6" s="3"/>
      <c r="P6" s="3"/>
      <c r="Q6" s="3"/>
      <c r="T6" s="3"/>
      <c r="U6" s="3" t="s">
        <v>653</v>
      </c>
      <c r="V6" s="1"/>
      <c r="W6" s="1"/>
      <c r="X6" s="3"/>
      <c r="Y6" s="3"/>
      <c r="AB6" s="3"/>
      <c r="AC6" s="3"/>
      <c r="AF6" s="3"/>
      <c r="AG6" s="3"/>
      <c r="AJ6" s="3"/>
      <c r="AK6" s="3"/>
      <c r="AM6" s="1"/>
      <c r="AN6" s="3"/>
      <c r="AO6" s="3"/>
      <c r="AP6" s="3"/>
      <c r="AQ6" s="4"/>
    </row>
    <row r="7" spans="2:49" x14ac:dyDescent="0.3">
      <c r="B7" s="12"/>
      <c r="C7" s="13"/>
      <c r="D7" s="289" t="s">
        <v>571</v>
      </c>
      <c r="E7" s="289"/>
      <c r="F7" s="13"/>
      <c r="G7" s="13"/>
      <c r="H7" s="289" t="s">
        <v>570</v>
      </c>
      <c r="I7" s="289"/>
      <c r="J7" s="13"/>
      <c r="K7" s="13"/>
      <c r="L7" s="289" t="s">
        <v>569</v>
      </c>
      <c r="M7" s="289"/>
      <c r="N7" s="13"/>
      <c r="O7" s="13"/>
      <c r="P7" s="289" t="s">
        <v>568</v>
      </c>
      <c r="Q7" s="289"/>
      <c r="R7" s="13"/>
      <c r="S7" s="13"/>
      <c r="T7" s="289" t="s">
        <v>567</v>
      </c>
      <c r="U7" s="289"/>
      <c r="V7" s="13"/>
      <c r="W7" s="13"/>
      <c r="X7" s="289" t="s">
        <v>566</v>
      </c>
      <c r="Y7" s="289"/>
      <c r="Z7" s="13"/>
      <c r="AA7" s="13"/>
      <c r="AB7" s="289" t="s">
        <v>565</v>
      </c>
      <c r="AC7" s="289"/>
      <c r="AD7" s="13"/>
      <c r="AE7" s="13"/>
      <c r="AF7" s="289" t="s">
        <v>564</v>
      </c>
      <c r="AG7" s="289"/>
      <c r="AH7" s="13"/>
      <c r="AI7" s="13"/>
      <c r="AJ7" s="289" t="s">
        <v>563</v>
      </c>
      <c r="AK7" s="289"/>
      <c r="AL7" s="13"/>
      <c r="AM7" s="13"/>
      <c r="AN7" s="289" t="s">
        <v>562</v>
      </c>
      <c r="AO7" s="289"/>
      <c r="AP7" s="13"/>
      <c r="AQ7" s="14"/>
      <c r="AR7" s="13"/>
    </row>
    <row r="8" spans="2:49" x14ac:dyDescent="0.3">
      <c r="B8" s="11"/>
      <c r="D8" s="15" t="s">
        <v>573</v>
      </c>
      <c r="E8" s="15" t="s">
        <v>573</v>
      </c>
      <c r="F8" s="1"/>
      <c r="G8" s="1"/>
      <c r="H8" s="15" t="s">
        <v>573</v>
      </c>
      <c r="I8" s="15" t="s">
        <v>573</v>
      </c>
      <c r="J8" s="1"/>
      <c r="K8" s="1"/>
      <c r="L8" s="15" t="s">
        <v>573</v>
      </c>
      <c r="M8" s="15" t="s">
        <v>573</v>
      </c>
      <c r="N8" s="1"/>
      <c r="O8" s="1"/>
      <c r="P8" s="15" t="s">
        <v>573</v>
      </c>
      <c r="Q8" s="15" t="s">
        <v>573</v>
      </c>
      <c r="R8" s="1"/>
      <c r="S8" s="1"/>
      <c r="T8" s="15" t="s">
        <v>572</v>
      </c>
      <c r="U8" s="15" t="s">
        <v>573</v>
      </c>
      <c r="V8" s="1"/>
      <c r="W8" s="1"/>
      <c r="X8" s="15" t="s">
        <v>573</v>
      </c>
      <c r="Y8" s="15" t="s">
        <v>572</v>
      </c>
      <c r="Z8" s="1"/>
      <c r="AA8" s="1"/>
      <c r="AB8" s="15" t="s">
        <v>572</v>
      </c>
      <c r="AC8" s="15" t="s">
        <v>573</v>
      </c>
      <c r="AD8" s="1"/>
      <c r="AE8" s="1"/>
      <c r="AF8" s="15" t="s">
        <v>573</v>
      </c>
      <c r="AG8" s="15" t="s">
        <v>572</v>
      </c>
      <c r="AH8" s="1"/>
      <c r="AI8" s="1"/>
      <c r="AJ8" s="15" t="s">
        <v>572</v>
      </c>
      <c r="AK8" s="15" t="s">
        <v>573</v>
      </c>
      <c r="AL8" s="1"/>
      <c r="AM8" s="1"/>
      <c r="AN8" s="15" t="s">
        <v>573</v>
      </c>
      <c r="AO8" s="15" t="s">
        <v>572</v>
      </c>
      <c r="AQ8" s="16"/>
    </row>
    <row r="9" spans="2:49" x14ac:dyDescent="0.3">
      <c r="B9" s="11"/>
      <c r="D9" s="286" t="s">
        <v>265</v>
      </c>
      <c r="E9" s="286"/>
      <c r="F9" s="17"/>
      <c r="G9" s="17"/>
      <c r="H9" s="286" t="s">
        <v>256</v>
      </c>
      <c r="I9" s="286"/>
      <c r="L9" s="286" t="s">
        <v>258</v>
      </c>
      <c r="M9" s="286"/>
      <c r="N9" s="17"/>
      <c r="O9" s="17"/>
      <c r="P9" s="286" t="s">
        <v>263</v>
      </c>
      <c r="Q9" s="286"/>
      <c r="T9" s="309" t="s">
        <v>259</v>
      </c>
      <c r="U9" s="310"/>
      <c r="V9" s="17"/>
      <c r="W9" s="17"/>
      <c r="X9" s="286" t="s">
        <v>260</v>
      </c>
      <c r="Y9" s="286"/>
      <c r="AB9" s="286" t="s">
        <v>206</v>
      </c>
      <c r="AC9" s="286"/>
      <c r="AD9" s="17"/>
      <c r="AE9" s="17"/>
      <c r="AF9" s="286" t="s">
        <v>264</v>
      </c>
      <c r="AG9" s="286"/>
      <c r="AJ9" s="286" t="s">
        <v>261</v>
      </c>
      <c r="AK9" s="286"/>
      <c r="AL9" s="17"/>
      <c r="AM9" s="17"/>
      <c r="AN9" s="286" t="s">
        <v>262</v>
      </c>
      <c r="AO9" s="286"/>
      <c r="AQ9" s="16"/>
    </row>
    <row r="10" spans="2:49" x14ac:dyDescent="0.3">
      <c r="B10" s="11"/>
      <c r="D10" s="311" t="s">
        <v>246</v>
      </c>
      <c r="E10" s="311"/>
      <c r="F10" s="17"/>
      <c r="G10" s="17"/>
      <c r="H10" s="286" t="s">
        <v>449</v>
      </c>
      <c r="I10" s="286"/>
      <c r="L10" s="286" t="s">
        <v>320</v>
      </c>
      <c r="M10" s="286"/>
      <c r="N10" s="17"/>
      <c r="O10" s="17"/>
      <c r="P10" s="286" t="s">
        <v>181</v>
      </c>
      <c r="Q10" s="286"/>
      <c r="T10" s="309" t="s">
        <v>172</v>
      </c>
      <c r="U10" s="310"/>
      <c r="V10" s="17"/>
      <c r="W10" s="17"/>
      <c r="X10" s="286" t="s">
        <v>179</v>
      </c>
      <c r="Y10" s="286"/>
      <c r="AB10" s="286" t="s">
        <v>203</v>
      </c>
      <c r="AC10" s="286"/>
      <c r="AD10" s="17"/>
      <c r="AE10" s="17"/>
      <c r="AF10" s="286" t="s">
        <v>365</v>
      </c>
      <c r="AG10" s="286"/>
      <c r="AJ10" s="286" t="s">
        <v>368</v>
      </c>
      <c r="AK10" s="286"/>
      <c r="AL10" s="17"/>
      <c r="AM10" s="17"/>
      <c r="AN10" s="286" t="s">
        <v>477</v>
      </c>
      <c r="AO10" s="286"/>
      <c r="AQ10" s="16"/>
      <c r="AR10" s="18"/>
    </row>
    <row r="11" spans="2:49" x14ac:dyDescent="0.3">
      <c r="B11" s="11"/>
      <c r="D11" s="286" t="s">
        <v>185</v>
      </c>
      <c r="E11" s="286"/>
      <c r="F11" s="17"/>
      <c r="G11" s="17"/>
      <c r="H11" s="286" t="s">
        <v>271</v>
      </c>
      <c r="I11" s="286"/>
      <c r="L11" s="286" t="s">
        <v>215</v>
      </c>
      <c r="M11" s="286"/>
      <c r="N11" s="17"/>
      <c r="O11" s="17"/>
      <c r="P11" s="286" t="s">
        <v>82</v>
      </c>
      <c r="Q11" s="286"/>
      <c r="T11" s="309" t="s">
        <v>177</v>
      </c>
      <c r="U11" s="310"/>
      <c r="V11" s="17"/>
      <c r="W11" s="17"/>
      <c r="X11" s="286" t="s">
        <v>141</v>
      </c>
      <c r="Y11" s="286"/>
      <c r="AB11" s="286" t="s">
        <v>157</v>
      </c>
      <c r="AC11" s="286"/>
      <c r="AD11" s="17"/>
      <c r="AE11" s="17"/>
      <c r="AF11" s="286" t="s">
        <v>275</v>
      </c>
      <c r="AG11" s="286"/>
      <c r="AJ11" s="286" t="s">
        <v>371</v>
      </c>
      <c r="AK11" s="286"/>
      <c r="AL11" s="17"/>
      <c r="AM11" s="17"/>
      <c r="AN11" s="286" t="s">
        <v>303</v>
      </c>
      <c r="AO11" s="286"/>
      <c r="AQ11" s="16"/>
    </row>
    <row r="12" spans="2:49" x14ac:dyDescent="0.3">
      <c r="B12" s="11"/>
      <c r="D12" s="286" t="s">
        <v>193</v>
      </c>
      <c r="E12" s="286"/>
      <c r="F12" s="17"/>
      <c r="G12" s="17"/>
      <c r="H12" s="286" t="s">
        <v>272</v>
      </c>
      <c r="I12" s="286"/>
      <c r="L12" s="286" t="s">
        <v>222</v>
      </c>
      <c r="M12" s="286"/>
      <c r="N12" s="17"/>
      <c r="O12" s="17"/>
      <c r="P12" s="286" t="s">
        <v>87</v>
      </c>
      <c r="Q12" s="286"/>
      <c r="T12" s="309" t="s">
        <v>178</v>
      </c>
      <c r="U12" s="310"/>
      <c r="V12" s="17"/>
      <c r="W12" s="17"/>
      <c r="X12" s="286" t="s">
        <v>142</v>
      </c>
      <c r="Y12" s="286"/>
      <c r="AB12" s="286" t="s">
        <v>158</v>
      </c>
      <c r="AC12" s="286"/>
      <c r="AD12" s="17"/>
      <c r="AE12" s="17"/>
      <c r="AF12" s="286" t="s">
        <v>276</v>
      </c>
      <c r="AG12" s="286"/>
      <c r="AJ12" s="286" t="s">
        <v>374</v>
      </c>
      <c r="AK12" s="286"/>
      <c r="AL12" s="17"/>
      <c r="AM12" s="17"/>
      <c r="AN12" s="286" t="s">
        <v>304</v>
      </c>
      <c r="AO12" s="286"/>
      <c r="AQ12" s="16"/>
    </row>
    <row r="13" spans="2:49" x14ac:dyDescent="0.3">
      <c r="B13" s="11"/>
      <c r="D13" s="286" t="s">
        <v>268</v>
      </c>
      <c r="E13" s="286"/>
      <c r="F13" s="17"/>
      <c r="G13" s="17"/>
      <c r="H13" s="286" t="s">
        <v>99</v>
      </c>
      <c r="I13" s="286"/>
      <c r="L13" s="286" t="s">
        <v>225</v>
      </c>
      <c r="M13" s="286"/>
      <c r="N13" s="17"/>
      <c r="O13" s="17"/>
      <c r="P13" s="286" t="s">
        <v>88</v>
      </c>
      <c r="Q13" s="286"/>
      <c r="T13" s="309" t="s">
        <v>129</v>
      </c>
      <c r="U13" s="310"/>
      <c r="V13" s="17"/>
      <c r="W13" s="17"/>
      <c r="X13" s="286" t="s">
        <v>143</v>
      </c>
      <c r="Y13" s="286"/>
      <c r="AB13" s="286" t="s">
        <v>159</v>
      </c>
      <c r="AC13" s="286"/>
      <c r="AD13" s="17"/>
      <c r="AE13" s="17"/>
      <c r="AF13" s="286" t="s">
        <v>277</v>
      </c>
      <c r="AG13" s="286"/>
      <c r="AJ13" s="286" t="s">
        <v>291</v>
      </c>
      <c r="AK13" s="286"/>
      <c r="AL13" s="17"/>
      <c r="AM13" s="17"/>
      <c r="AN13" s="286" t="s">
        <v>305</v>
      </c>
      <c r="AO13" s="286"/>
      <c r="AQ13" s="16"/>
    </row>
    <row r="14" spans="2:49" x14ac:dyDescent="0.3">
      <c r="B14" s="11"/>
      <c r="D14" s="286" t="s">
        <v>192</v>
      </c>
      <c r="E14" s="286"/>
      <c r="F14" s="17"/>
      <c r="G14" s="17"/>
      <c r="H14" s="286" t="s">
        <v>100</v>
      </c>
      <c r="I14" s="286"/>
      <c r="L14" s="286" t="s">
        <v>228</v>
      </c>
      <c r="M14" s="286"/>
      <c r="N14" s="17"/>
      <c r="O14" s="17"/>
      <c r="P14" s="286" t="s">
        <v>89</v>
      </c>
      <c r="Q14" s="286"/>
      <c r="T14" s="309" t="s">
        <v>130</v>
      </c>
      <c r="U14" s="310"/>
      <c r="V14" s="17"/>
      <c r="W14" s="17"/>
      <c r="X14" s="286" t="s">
        <v>144</v>
      </c>
      <c r="Y14" s="286"/>
      <c r="AB14" s="286" t="s">
        <v>160</v>
      </c>
      <c r="AC14" s="286"/>
      <c r="AD14" s="17"/>
      <c r="AE14" s="17"/>
      <c r="AF14" s="286" t="s">
        <v>278</v>
      </c>
      <c r="AG14" s="286"/>
      <c r="AJ14" s="286" t="s">
        <v>292</v>
      </c>
      <c r="AK14" s="286"/>
      <c r="AL14" s="17"/>
      <c r="AM14" s="17"/>
      <c r="AN14" s="286" t="s">
        <v>306</v>
      </c>
      <c r="AO14" s="286"/>
      <c r="AQ14" s="16"/>
    </row>
    <row r="15" spans="2:49" x14ac:dyDescent="0.3">
      <c r="B15" s="11"/>
      <c r="D15" s="286" t="s">
        <v>186</v>
      </c>
      <c r="E15" s="286"/>
      <c r="F15" s="17"/>
      <c r="G15" s="17"/>
      <c r="H15" s="286" t="s">
        <v>101</v>
      </c>
      <c r="I15" s="286"/>
      <c r="L15" s="286" t="s">
        <v>113</v>
      </c>
      <c r="M15" s="286"/>
      <c r="N15" s="17"/>
      <c r="O15" s="17"/>
      <c r="P15" s="286" t="s">
        <v>90</v>
      </c>
      <c r="Q15" s="286"/>
      <c r="T15" s="309" t="s">
        <v>131</v>
      </c>
      <c r="U15" s="310"/>
      <c r="V15" s="17"/>
      <c r="W15" s="17"/>
      <c r="X15" s="286" t="s">
        <v>145</v>
      </c>
      <c r="Y15" s="286"/>
      <c r="AB15" s="286" t="s">
        <v>161</v>
      </c>
      <c r="AC15" s="286"/>
      <c r="AD15" s="17"/>
      <c r="AE15" s="17"/>
      <c r="AF15" s="286" t="s">
        <v>279</v>
      </c>
      <c r="AG15" s="286"/>
      <c r="AJ15" s="286" t="s">
        <v>293</v>
      </c>
      <c r="AK15" s="286"/>
      <c r="AL15" s="17"/>
      <c r="AM15" s="17"/>
      <c r="AN15" s="286" t="s">
        <v>307</v>
      </c>
      <c r="AO15" s="286"/>
      <c r="AQ15" s="16"/>
    </row>
    <row r="16" spans="2:49" x14ac:dyDescent="0.3">
      <c r="B16" s="11"/>
      <c r="D16" s="286" t="s">
        <v>319</v>
      </c>
      <c r="E16" s="286"/>
      <c r="F16" s="17"/>
      <c r="G16" s="17"/>
      <c r="H16" s="286" t="s">
        <v>102</v>
      </c>
      <c r="I16" s="286"/>
      <c r="L16" s="286" t="s">
        <v>114</v>
      </c>
      <c r="M16" s="286"/>
      <c r="N16" s="17"/>
      <c r="O16" s="17"/>
      <c r="P16" s="286" t="s">
        <v>91</v>
      </c>
      <c r="Q16" s="286"/>
      <c r="T16" s="309" t="s">
        <v>132</v>
      </c>
      <c r="U16" s="310"/>
      <c r="V16" s="17"/>
      <c r="W16" s="17"/>
      <c r="X16" s="286" t="s">
        <v>146</v>
      </c>
      <c r="Y16" s="286"/>
      <c r="AB16" s="286" t="s">
        <v>162</v>
      </c>
      <c r="AC16" s="286"/>
      <c r="AD16" s="17"/>
      <c r="AE16" s="17"/>
      <c r="AF16" s="286" t="s">
        <v>280</v>
      </c>
      <c r="AG16" s="286"/>
      <c r="AJ16" s="286" t="s">
        <v>294</v>
      </c>
      <c r="AK16" s="286"/>
      <c r="AL16" s="17"/>
      <c r="AM16" s="17"/>
      <c r="AN16" s="286" t="s">
        <v>308</v>
      </c>
      <c r="AO16" s="286"/>
      <c r="AQ16" s="16"/>
    </row>
    <row r="17" spans="2:43" x14ac:dyDescent="0.3">
      <c r="B17" s="11"/>
      <c r="D17" s="286" t="s">
        <v>191</v>
      </c>
      <c r="E17" s="286"/>
      <c r="F17" s="17"/>
      <c r="G17" s="17"/>
      <c r="H17" s="286" t="s">
        <v>103</v>
      </c>
      <c r="I17" s="286"/>
      <c r="L17" s="286" t="s">
        <v>115</v>
      </c>
      <c r="M17" s="286"/>
      <c r="N17" s="17"/>
      <c r="O17" s="17"/>
      <c r="P17" s="286" t="s">
        <v>92</v>
      </c>
      <c r="Q17" s="286"/>
      <c r="T17" s="309" t="s">
        <v>133</v>
      </c>
      <c r="U17" s="310"/>
      <c r="V17" s="17"/>
      <c r="W17" s="17"/>
      <c r="X17" s="286" t="s">
        <v>147</v>
      </c>
      <c r="Y17" s="286"/>
      <c r="AB17" s="286" t="s">
        <v>163</v>
      </c>
      <c r="AC17" s="286"/>
      <c r="AD17" s="17"/>
      <c r="AE17" s="17"/>
      <c r="AF17" s="286" t="s">
        <v>281</v>
      </c>
      <c r="AG17" s="286"/>
      <c r="AJ17" s="286" t="s">
        <v>295</v>
      </c>
      <c r="AK17" s="286"/>
      <c r="AL17" s="17"/>
      <c r="AM17" s="17"/>
      <c r="AN17" s="286" t="s">
        <v>309</v>
      </c>
      <c r="AO17" s="286"/>
      <c r="AQ17" s="16"/>
    </row>
    <row r="18" spans="2:43" x14ac:dyDescent="0.3">
      <c r="B18" s="11"/>
      <c r="D18" s="286" t="s">
        <v>187</v>
      </c>
      <c r="E18" s="286"/>
      <c r="F18" s="17"/>
      <c r="G18" s="17"/>
      <c r="H18" s="286" t="s">
        <v>104</v>
      </c>
      <c r="I18" s="286"/>
      <c r="L18" s="286" t="s">
        <v>116</v>
      </c>
      <c r="M18" s="286"/>
      <c r="N18" s="17"/>
      <c r="O18" s="17"/>
      <c r="P18" s="286" t="s">
        <v>93</v>
      </c>
      <c r="Q18" s="286"/>
      <c r="T18" s="309" t="s">
        <v>134</v>
      </c>
      <c r="U18" s="310"/>
      <c r="V18" s="17"/>
      <c r="W18" s="17"/>
      <c r="X18" s="286" t="s">
        <v>148</v>
      </c>
      <c r="Y18" s="286"/>
      <c r="AB18" s="286" t="s">
        <v>164</v>
      </c>
      <c r="AC18" s="286"/>
      <c r="AD18" s="17"/>
      <c r="AE18" s="17"/>
      <c r="AF18" s="286" t="s">
        <v>282</v>
      </c>
      <c r="AG18" s="286"/>
      <c r="AJ18" s="286" t="s">
        <v>296</v>
      </c>
      <c r="AK18" s="286"/>
      <c r="AL18" s="17"/>
      <c r="AM18" s="17"/>
      <c r="AN18" s="286" t="s">
        <v>310</v>
      </c>
      <c r="AO18" s="286"/>
      <c r="AQ18" s="16"/>
    </row>
    <row r="19" spans="2:43" x14ac:dyDescent="0.3">
      <c r="B19" s="11"/>
      <c r="D19" s="288"/>
      <c r="E19" s="288"/>
      <c r="F19" s="17"/>
      <c r="G19" s="17"/>
      <c r="H19" s="286" t="s">
        <v>105</v>
      </c>
      <c r="I19" s="286"/>
      <c r="L19" s="288"/>
      <c r="M19" s="288"/>
      <c r="N19" s="17"/>
      <c r="O19" s="17"/>
      <c r="P19" s="286" t="s">
        <v>273</v>
      </c>
      <c r="Q19" s="286"/>
      <c r="T19" s="288"/>
      <c r="U19" s="288"/>
      <c r="V19" s="17"/>
      <c r="W19" s="17"/>
      <c r="X19" s="286" t="s">
        <v>149</v>
      </c>
      <c r="Y19" s="286"/>
      <c r="AB19" s="288"/>
      <c r="AC19" s="288"/>
      <c r="AD19" s="17"/>
      <c r="AE19" s="17"/>
      <c r="AF19" s="286" t="s">
        <v>283</v>
      </c>
      <c r="AG19" s="286"/>
      <c r="AJ19" s="288"/>
      <c r="AK19" s="288"/>
      <c r="AL19" s="17"/>
      <c r="AM19" s="17"/>
      <c r="AN19" s="286" t="s">
        <v>311</v>
      </c>
      <c r="AO19" s="286"/>
      <c r="AQ19" s="16"/>
    </row>
    <row r="20" spans="2:43" x14ac:dyDescent="0.3">
      <c r="B20" s="11"/>
      <c r="D20" s="288"/>
      <c r="E20" s="288"/>
      <c r="F20" s="17"/>
      <c r="G20" s="17"/>
      <c r="H20" s="286" t="s">
        <v>106</v>
      </c>
      <c r="I20" s="286"/>
      <c r="L20" s="288"/>
      <c r="M20" s="288"/>
      <c r="N20" s="17"/>
      <c r="O20" s="17"/>
      <c r="P20" s="286" t="s">
        <v>274</v>
      </c>
      <c r="Q20" s="286"/>
      <c r="T20" s="288"/>
      <c r="U20" s="288"/>
      <c r="V20" s="17"/>
      <c r="W20" s="17"/>
      <c r="X20" s="286" t="s">
        <v>150</v>
      </c>
      <c r="Y20" s="286"/>
      <c r="AB20" s="288"/>
      <c r="AC20" s="288"/>
      <c r="AD20" s="17"/>
      <c r="AE20" s="17"/>
      <c r="AF20" s="286" t="s">
        <v>284</v>
      </c>
      <c r="AG20" s="286"/>
      <c r="AJ20" s="288"/>
      <c r="AK20" s="288"/>
      <c r="AL20" s="17"/>
      <c r="AM20" s="17"/>
      <c r="AN20" s="286" t="s">
        <v>312</v>
      </c>
      <c r="AO20" s="286"/>
      <c r="AP20" s="19"/>
      <c r="AQ20" s="16"/>
    </row>
    <row r="21" spans="2:43" x14ac:dyDescent="0.3">
      <c r="B21" s="11"/>
      <c r="D21" s="286" t="s">
        <v>209</v>
      </c>
      <c r="E21" s="286"/>
      <c r="F21" s="17"/>
      <c r="G21" s="17"/>
      <c r="H21" s="286" t="s">
        <v>107</v>
      </c>
      <c r="I21" s="286"/>
      <c r="L21" s="286" t="s">
        <v>117</v>
      </c>
      <c r="M21" s="286"/>
      <c r="N21" s="17"/>
      <c r="O21" s="17"/>
      <c r="P21" s="308" t="s">
        <v>123</v>
      </c>
      <c r="Q21" s="308"/>
      <c r="T21" s="286" t="s">
        <v>135</v>
      </c>
      <c r="U21" s="286"/>
      <c r="V21" s="17"/>
      <c r="W21" s="17"/>
      <c r="X21" s="286" t="s">
        <v>151</v>
      </c>
      <c r="Y21" s="286"/>
      <c r="AB21" s="286" t="s">
        <v>165</v>
      </c>
      <c r="AC21" s="286"/>
      <c r="AD21" s="17"/>
      <c r="AE21" s="17"/>
      <c r="AF21" s="286" t="s">
        <v>285</v>
      </c>
      <c r="AG21" s="286"/>
      <c r="AJ21" s="286" t="s">
        <v>297</v>
      </c>
      <c r="AK21" s="286"/>
      <c r="AL21" s="17"/>
      <c r="AM21" s="17"/>
      <c r="AN21" s="286" t="s">
        <v>313</v>
      </c>
      <c r="AO21" s="286"/>
      <c r="AQ21" s="16"/>
    </row>
    <row r="22" spans="2:43" x14ac:dyDescent="0.3">
      <c r="B22" s="11"/>
      <c r="D22" s="311" t="s">
        <v>213</v>
      </c>
      <c r="E22" s="311"/>
      <c r="F22" s="17"/>
      <c r="G22" s="17"/>
      <c r="H22" s="312" t="s">
        <v>108</v>
      </c>
      <c r="I22" s="312"/>
      <c r="L22" s="286" t="s">
        <v>118</v>
      </c>
      <c r="M22" s="286"/>
      <c r="N22" s="17"/>
      <c r="O22" s="17"/>
      <c r="P22" s="309" t="s">
        <v>124</v>
      </c>
      <c r="Q22" s="310"/>
      <c r="T22" s="286" t="s">
        <v>136</v>
      </c>
      <c r="U22" s="286"/>
      <c r="V22" s="17"/>
      <c r="W22" s="17"/>
      <c r="X22" s="286" t="s">
        <v>152</v>
      </c>
      <c r="Y22" s="286"/>
      <c r="AB22" s="286" t="s">
        <v>166</v>
      </c>
      <c r="AC22" s="286"/>
      <c r="AD22" s="17"/>
      <c r="AE22" s="17"/>
      <c r="AF22" s="286" t="s">
        <v>286</v>
      </c>
      <c r="AG22" s="286"/>
      <c r="AJ22" s="286" t="s">
        <v>298</v>
      </c>
      <c r="AK22" s="286"/>
      <c r="AL22" s="17"/>
      <c r="AM22" s="17"/>
      <c r="AN22" s="286" t="s">
        <v>314</v>
      </c>
      <c r="AO22" s="286"/>
      <c r="AQ22" s="16"/>
    </row>
    <row r="23" spans="2:43" x14ac:dyDescent="0.3">
      <c r="B23" s="11"/>
      <c r="D23" s="307"/>
      <c r="E23" s="307"/>
      <c r="H23" s="307"/>
      <c r="I23" s="307"/>
      <c r="L23" s="307"/>
      <c r="M23" s="307"/>
      <c r="P23" s="307"/>
      <c r="Q23" s="307"/>
      <c r="T23" s="286" t="s">
        <v>137</v>
      </c>
      <c r="U23" s="286"/>
      <c r="V23" s="17"/>
      <c r="W23" s="17"/>
      <c r="X23" s="286" t="s">
        <v>153</v>
      </c>
      <c r="Y23" s="286"/>
      <c r="AB23" s="286" t="s">
        <v>167</v>
      </c>
      <c r="AC23" s="286"/>
      <c r="AD23" s="17"/>
      <c r="AE23" s="17"/>
      <c r="AF23" s="286" t="s">
        <v>287</v>
      </c>
      <c r="AG23" s="286"/>
      <c r="AJ23" s="286" t="s">
        <v>299</v>
      </c>
      <c r="AK23" s="286"/>
      <c r="AL23" s="17"/>
      <c r="AM23" s="17"/>
      <c r="AN23" s="286" t="s">
        <v>315</v>
      </c>
      <c r="AO23" s="286"/>
      <c r="AQ23" s="16"/>
    </row>
    <row r="24" spans="2:43" x14ac:dyDescent="0.3">
      <c r="B24" s="11"/>
      <c r="D24" s="307"/>
      <c r="E24" s="307"/>
      <c r="H24" s="307"/>
      <c r="I24" s="307"/>
      <c r="L24" s="307"/>
      <c r="M24" s="307"/>
      <c r="P24" s="307"/>
      <c r="Q24" s="307"/>
      <c r="T24" s="286" t="s">
        <v>138</v>
      </c>
      <c r="U24" s="286"/>
      <c r="V24" s="17"/>
      <c r="W24" s="17"/>
      <c r="X24" s="286" t="s">
        <v>154</v>
      </c>
      <c r="Y24" s="286"/>
      <c r="AB24" s="286" t="s">
        <v>168</v>
      </c>
      <c r="AC24" s="286"/>
      <c r="AD24" s="17"/>
      <c r="AE24" s="17"/>
      <c r="AF24" s="286" t="s">
        <v>288</v>
      </c>
      <c r="AG24" s="286"/>
      <c r="AJ24" s="286" t="s">
        <v>300</v>
      </c>
      <c r="AK24" s="286"/>
      <c r="AL24" s="17"/>
      <c r="AM24" s="17"/>
      <c r="AN24" s="286" t="s">
        <v>316</v>
      </c>
      <c r="AO24" s="286"/>
      <c r="AQ24" s="16"/>
    </row>
    <row r="25" spans="2:43" x14ac:dyDescent="0.3">
      <c r="B25" s="11"/>
      <c r="D25" s="307"/>
      <c r="E25" s="307"/>
      <c r="H25" s="307"/>
      <c r="I25" s="307"/>
      <c r="L25" s="307"/>
      <c r="M25" s="307"/>
      <c r="P25" s="307"/>
      <c r="Q25" s="307"/>
      <c r="T25" s="286" t="s">
        <v>139</v>
      </c>
      <c r="U25" s="286"/>
      <c r="V25" s="17"/>
      <c r="W25" s="17"/>
      <c r="X25" s="286" t="s">
        <v>155</v>
      </c>
      <c r="Y25" s="286"/>
      <c r="AB25" s="286" t="s">
        <v>169</v>
      </c>
      <c r="AC25" s="286"/>
      <c r="AD25" s="17"/>
      <c r="AE25" s="17"/>
      <c r="AF25" s="286" t="s">
        <v>289</v>
      </c>
      <c r="AG25" s="286"/>
      <c r="AJ25" s="286" t="s">
        <v>301</v>
      </c>
      <c r="AK25" s="286"/>
      <c r="AL25" s="17"/>
      <c r="AM25" s="17"/>
      <c r="AN25" s="286" t="s">
        <v>317</v>
      </c>
      <c r="AO25" s="286"/>
      <c r="AQ25" s="16"/>
    </row>
    <row r="26" spans="2:43" x14ac:dyDescent="0.3">
      <c r="B26" s="11"/>
      <c r="D26" s="307"/>
      <c r="E26" s="307"/>
      <c r="H26" s="307"/>
      <c r="I26" s="307"/>
      <c r="L26" s="307"/>
      <c r="M26" s="307"/>
      <c r="P26" s="307"/>
      <c r="Q26" s="307"/>
      <c r="T26" s="286" t="s">
        <v>140</v>
      </c>
      <c r="U26" s="286"/>
      <c r="V26" s="17"/>
      <c r="W26" s="17"/>
      <c r="X26" s="286" t="s">
        <v>156</v>
      </c>
      <c r="Y26" s="286"/>
      <c r="AB26" s="286" t="s">
        <v>170</v>
      </c>
      <c r="AC26" s="286"/>
      <c r="AD26" s="17"/>
      <c r="AE26" s="17"/>
      <c r="AF26" s="286" t="s">
        <v>290</v>
      </c>
      <c r="AG26" s="286"/>
      <c r="AJ26" s="286" t="s">
        <v>302</v>
      </c>
      <c r="AK26" s="286"/>
      <c r="AL26" s="17"/>
      <c r="AM26" s="17"/>
      <c r="AN26" s="286" t="s">
        <v>318</v>
      </c>
      <c r="AO26" s="286"/>
      <c r="AQ26" s="16"/>
    </row>
    <row r="27" spans="2:43" x14ac:dyDescent="0.3">
      <c r="B27" s="7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9"/>
    </row>
    <row r="28" spans="2:43" x14ac:dyDescent="0.3">
      <c r="B28" s="2"/>
      <c r="C28" s="3"/>
      <c r="D28" s="3"/>
      <c r="E28" s="3"/>
      <c r="F28" s="3"/>
      <c r="G28" s="284" t="s">
        <v>558</v>
      </c>
      <c r="H28" s="285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284" t="s">
        <v>559</v>
      </c>
      <c r="X28" s="285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284" t="s">
        <v>560</v>
      </c>
      <c r="AN28" s="285"/>
      <c r="AO28" s="3"/>
      <c r="AP28" s="3"/>
      <c r="AQ28" s="4"/>
    </row>
    <row r="29" spans="2:43" x14ac:dyDescent="0.3">
      <c r="B29" s="11"/>
      <c r="AQ29" s="9"/>
    </row>
    <row r="30" spans="2:43" x14ac:dyDescent="0.3">
      <c r="B30" s="281" t="s">
        <v>654</v>
      </c>
      <c r="C30" s="282"/>
      <c r="I30" s="281" t="s">
        <v>655</v>
      </c>
      <c r="J30" s="282"/>
      <c r="K30" s="281" t="s">
        <v>656</v>
      </c>
      <c r="L30" s="282"/>
      <c r="P30" s="281" t="s">
        <v>657</v>
      </c>
      <c r="Q30" s="282"/>
      <c r="T30" s="281" t="s">
        <v>658</v>
      </c>
      <c r="U30" s="282"/>
      <c r="Y30" s="281" t="s">
        <v>659</v>
      </c>
      <c r="Z30" s="282"/>
      <c r="AA30" s="281" t="s">
        <v>660</v>
      </c>
      <c r="AB30" s="282"/>
      <c r="AG30" s="281" t="s">
        <v>661</v>
      </c>
      <c r="AH30" s="282"/>
      <c r="AK30" s="281" t="s">
        <v>662</v>
      </c>
      <c r="AL30" s="282"/>
      <c r="AP30" s="281" t="s">
        <v>663</v>
      </c>
      <c r="AQ30" s="282"/>
    </row>
    <row r="31" spans="2:43" x14ac:dyDescent="0.3"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9"/>
    </row>
    <row r="33" spans="2:11" ht="14.15" customHeight="1" x14ac:dyDescent="0.3">
      <c r="B33" s="306" t="s">
        <v>642</v>
      </c>
      <c r="C33" s="279"/>
      <c r="D33" s="279"/>
      <c r="E33" s="279"/>
      <c r="F33" s="279"/>
      <c r="G33" s="27"/>
    </row>
    <row r="34" spans="2:11" x14ac:dyDescent="0.3">
      <c r="B34" s="279"/>
      <c r="C34" s="279"/>
      <c r="D34" s="279"/>
      <c r="E34" s="279"/>
      <c r="F34" s="279"/>
      <c r="G34" s="27"/>
    </row>
    <row r="35" spans="2:11" x14ac:dyDescent="0.3">
      <c r="B35" s="279"/>
      <c r="C35" s="279"/>
      <c r="D35" s="279"/>
      <c r="E35" s="279"/>
      <c r="F35" s="279"/>
      <c r="G35" s="27"/>
    </row>
    <row r="36" spans="2:11" x14ac:dyDescent="0.3">
      <c r="B36" s="279"/>
      <c r="C36" s="279"/>
      <c r="D36" s="279"/>
      <c r="E36" s="279"/>
      <c r="F36" s="279"/>
      <c r="G36" s="27"/>
      <c r="K36" s="10"/>
    </row>
    <row r="37" spans="2:11" x14ac:dyDescent="0.3">
      <c r="B37" s="280"/>
      <c r="C37" s="280"/>
      <c r="D37" s="280"/>
      <c r="E37" s="280"/>
      <c r="F37" s="280"/>
      <c r="G37" s="27"/>
      <c r="J37" s="18"/>
      <c r="K37" s="10"/>
    </row>
    <row r="38" spans="2:11" x14ac:dyDescent="0.3">
      <c r="B38" s="283" t="s">
        <v>585</v>
      </c>
      <c r="C38" s="283"/>
      <c r="D38" s="283"/>
      <c r="E38" s="283"/>
      <c r="F38" s="20">
        <v>154</v>
      </c>
    </row>
    <row r="39" spans="2:11" x14ac:dyDescent="0.3">
      <c r="B39" s="283" t="s">
        <v>586</v>
      </c>
      <c r="C39" s="283"/>
      <c r="D39" s="283"/>
      <c r="E39" s="283"/>
      <c r="F39" s="21">
        <f>getcolorcount($D$9:$AO$31,G39)/2</f>
        <v>0</v>
      </c>
      <c r="G39" s="22"/>
    </row>
    <row r="40" spans="2:11" x14ac:dyDescent="0.3">
      <c r="B40" s="283" t="s">
        <v>587</v>
      </c>
      <c r="C40" s="283"/>
      <c r="D40" s="283"/>
      <c r="E40" s="283"/>
      <c r="F40" s="21">
        <f>getcolorcount($D$9:$AO$31,G40)/2</f>
        <v>151</v>
      </c>
      <c r="G40" s="23"/>
    </row>
    <row r="41" spans="2:11" x14ac:dyDescent="0.3">
      <c r="B41" s="283" t="s">
        <v>588</v>
      </c>
      <c r="C41" s="283"/>
      <c r="D41" s="283"/>
      <c r="E41" s="283"/>
      <c r="F41" s="21">
        <f>getcolorcount($D$9:$AO$31,G41)/2</f>
        <v>3</v>
      </c>
      <c r="G41" s="24"/>
    </row>
    <row r="42" spans="2:11" x14ac:dyDescent="0.3">
      <c r="B42" s="283" t="s">
        <v>589</v>
      </c>
      <c r="C42" s="283"/>
      <c r="D42" s="283"/>
      <c r="E42" s="283"/>
      <c r="F42" s="21">
        <f>F39+F40</f>
        <v>151</v>
      </c>
    </row>
  </sheetData>
  <mergeCells count="233"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P26:Q26"/>
    <mergeCell ref="T26:U26"/>
    <mergeCell ref="X26:Y26"/>
    <mergeCell ref="AB26:AC26"/>
    <mergeCell ref="AF26:AG26"/>
    <mergeCell ref="AJ26:AK26"/>
    <mergeCell ref="AN26:AO26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P30:AQ30"/>
    <mergeCell ref="B38:E38"/>
    <mergeCell ref="B39:E39"/>
    <mergeCell ref="B40:E40"/>
    <mergeCell ref="B41:E41"/>
    <mergeCell ref="B42:E42"/>
    <mergeCell ref="AS1:AS5"/>
    <mergeCell ref="B33:F37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N25:AO25"/>
    <mergeCell ref="D26:E26"/>
    <mergeCell ref="H26:I26"/>
    <mergeCell ref="L26:M26"/>
  </mergeCells>
  <phoneticPr fontId="31" type="noConversion"/>
  <pageMargins left="0.7" right="0.7" top="0.75" bottom="0.75" header="0.3" footer="0.3"/>
  <pageSetup paperSize="9" scale="76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pageSetUpPr fitToPage="1"/>
  </sheetPr>
  <dimension ref="B1:AW43"/>
  <sheetViews>
    <sheetView showGridLines="0" topLeftCell="A19" zoomScale="85" zoomScaleNormal="85" workbookViewId="0">
      <selection activeCell="L39" sqref="L39"/>
    </sheetView>
  </sheetViews>
  <sheetFormatPr defaultColWidth="9" defaultRowHeight="14.15" x14ac:dyDescent="0.3"/>
  <cols>
    <col min="1" max="3" width="3.61328125" customWidth="1"/>
    <col min="4" max="5" width="5.4609375" customWidth="1"/>
    <col min="6" max="6" width="7.4609375" customWidth="1"/>
    <col min="7" max="7" width="3.61328125" customWidth="1"/>
    <col min="8" max="8" width="7.4609375" customWidth="1"/>
    <col min="9" max="9" width="5.4609375" customWidth="1"/>
    <col min="10" max="11" width="3.61328125" customWidth="1"/>
    <col min="12" max="13" width="5.4609375" customWidth="1"/>
    <col min="14" max="15" width="3.61328125" customWidth="1"/>
    <col min="16" max="17" width="5.4609375" customWidth="1"/>
    <col min="18" max="19" width="3.61328125" customWidth="1"/>
    <col min="20" max="20" width="4.4609375" customWidth="1"/>
    <col min="21" max="21" width="5" customWidth="1"/>
    <col min="22" max="23" width="3.61328125" customWidth="1"/>
    <col min="24" max="25" width="5.4609375" customWidth="1"/>
    <col min="26" max="27" width="3.61328125" customWidth="1"/>
    <col min="28" max="29" width="5.4609375" customWidth="1"/>
    <col min="30" max="31" width="3.61328125" customWidth="1"/>
    <col min="32" max="33" width="5.4609375" customWidth="1"/>
    <col min="34" max="35" width="3.61328125" customWidth="1"/>
    <col min="36" max="37" width="5.4609375" customWidth="1"/>
    <col min="38" max="39" width="3.61328125" customWidth="1"/>
    <col min="40" max="41" width="5.4609375" customWidth="1"/>
    <col min="42" max="44" width="3.61328125" customWidth="1"/>
    <col min="45" max="45" width="16.07421875" customWidth="1"/>
    <col min="46" max="47" width="16.07421875" style="1" customWidth="1"/>
    <col min="48" max="48" width="4.4609375" style="1" customWidth="1"/>
    <col min="49" max="49" width="5.07421875" customWidth="1"/>
  </cols>
  <sheetData>
    <row r="1" spans="2:49" x14ac:dyDescent="0.3">
      <c r="AS1" s="278"/>
      <c r="AW1" s="5"/>
    </row>
    <row r="2" spans="2:49" ht="14.15" customHeight="1" x14ac:dyDescent="0.3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4"/>
      <c r="AS2" s="278"/>
    </row>
    <row r="3" spans="2:49" ht="25" customHeight="1" x14ac:dyDescent="0.3">
      <c r="B3" s="281" t="s">
        <v>664</v>
      </c>
      <c r="C3" s="282"/>
      <c r="I3" s="281" t="s">
        <v>665</v>
      </c>
      <c r="J3" s="282"/>
      <c r="K3" s="281" t="s">
        <v>666</v>
      </c>
      <c r="L3" s="282"/>
      <c r="P3" s="281" t="s">
        <v>667</v>
      </c>
      <c r="Q3" s="282"/>
      <c r="T3" s="281" t="s">
        <v>668</v>
      </c>
      <c r="U3" s="282"/>
      <c r="Y3" s="281" t="s">
        <v>669</v>
      </c>
      <c r="Z3" s="282"/>
      <c r="AA3" s="281" t="s">
        <v>670</v>
      </c>
      <c r="AB3" s="282"/>
      <c r="AG3" s="281" t="s">
        <v>671</v>
      </c>
      <c r="AH3" s="282"/>
      <c r="AK3" s="281" t="s">
        <v>672</v>
      </c>
      <c r="AL3" s="282"/>
      <c r="AP3" s="281" t="s">
        <v>673</v>
      </c>
      <c r="AQ3" s="282"/>
      <c r="AR3" s="6"/>
      <c r="AS3" s="278"/>
    </row>
    <row r="4" spans="2:49" ht="25" customHeight="1" x14ac:dyDescent="0.3">
      <c r="B4" s="290"/>
      <c r="C4" s="291"/>
      <c r="I4" s="292"/>
      <c r="J4" s="291"/>
      <c r="K4" s="292"/>
      <c r="L4" s="291"/>
      <c r="P4" s="292"/>
      <c r="Q4" s="291"/>
      <c r="T4" s="292"/>
      <c r="U4" s="291"/>
      <c r="Y4" s="292"/>
      <c r="Z4" s="291"/>
      <c r="AA4" s="292"/>
      <c r="AB4" s="291"/>
      <c r="AG4" s="292"/>
      <c r="AH4" s="291"/>
      <c r="AK4" s="292"/>
      <c r="AL4" s="291"/>
      <c r="AP4" s="292"/>
      <c r="AQ4" s="293"/>
      <c r="AR4" s="6"/>
      <c r="AS4" s="278"/>
      <c r="AW4" s="10"/>
    </row>
    <row r="5" spans="2:49" x14ac:dyDescent="0.3">
      <c r="B5" s="7"/>
      <c r="C5" s="8"/>
      <c r="F5" s="8"/>
      <c r="G5" s="8"/>
      <c r="H5" s="284" t="s">
        <v>558</v>
      </c>
      <c r="I5" s="285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284" t="s">
        <v>559</v>
      </c>
      <c r="W5" s="285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284" t="s">
        <v>560</v>
      </c>
      <c r="AN5" s="285"/>
      <c r="AO5" s="8"/>
      <c r="AP5" s="8"/>
      <c r="AQ5" s="9"/>
      <c r="AS5" s="278"/>
    </row>
    <row r="6" spans="2:49" x14ac:dyDescent="0.3">
      <c r="B6" s="11"/>
      <c r="D6" s="3"/>
      <c r="E6" s="3"/>
      <c r="H6" s="3"/>
      <c r="I6" s="3"/>
      <c r="L6" s="3"/>
      <c r="M6" s="3"/>
      <c r="P6" s="3"/>
      <c r="Q6" s="3"/>
      <c r="T6" s="3"/>
      <c r="U6" s="3" t="s">
        <v>674</v>
      </c>
      <c r="V6" s="1"/>
      <c r="W6" s="1"/>
      <c r="X6" s="3"/>
      <c r="Y6" s="3"/>
      <c r="AB6" s="3"/>
      <c r="AC6" s="3"/>
      <c r="AF6" s="3"/>
      <c r="AG6" s="3"/>
      <c r="AJ6" s="3"/>
      <c r="AK6" s="3"/>
      <c r="AM6" s="1"/>
      <c r="AN6" s="3"/>
      <c r="AO6" s="3"/>
      <c r="AP6" s="3"/>
      <c r="AQ6" s="4"/>
    </row>
    <row r="7" spans="2:49" x14ac:dyDescent="0.3">
      <c r="B7" s="12"/>
      <c r="C7" s="13"/>
      <c r="D7" s="289" t="s">
        <v>562</v>
      </c>
      <c r="E7" s="289"/>
      <c r="F7" s="13"/>
      <c r="G7" s="13"/>
      <c r="H7" s="289" t="s">
        <v>563</v>
      </c>
      <c r="I7" s="289"/>
      <c r="J7" s="13"/>
      <c r="K7" s="13"/>
      <c r="L7" s="289" t="s">
        <v>564</v>
      </c>
      <c r="M7" s="289"/>
      <c r="N7" s="13"/>
      <c r="O7" s="13"/>
      <c r="P7" s="289" t="s">
        <v>565</v>
      </c>
      <c r="Q7" s="289"/>
      <c r="R7" s="13"/>
      <c r="S7" s="13"/>
      <c r="T7" s="289" t="s">
        <v>566</v>
      </c>
      <c r="U7" s="289"/>
      <c r="V7" s="13"/>
      <c r="W7" s="13"/>
      <c r="X7" s="289" t="s">
        <v>567</v>
      </c>
      <c r="Y7" s="289"/>
      <c r="Z7" s="13"/>
      <c r="AA7" s="13"/>
      <c r="AB7" s="289" t="s">
        <v>568</v>
      </c>
      <c r="AC7" s="289"/>
      <c r="AD7" s="13"/>
      <c r="AE7" s="13"/>
      <c r="AF7" s="289" t="s">
        <v>569</v>
      </c>
      <c r="AG7" s="289"/>
      <c r="AH7" s="13"/>
      <c r="AI7" s="13"/>
      <c r="AJ7" s="289" t="s">
        <v>570</v>
      </c>
      <c r="AK7" s="289"/>
      <c r="AL7" s="13"/>
      <c r="AM7" s="13"/>
      <c r="AN7" s="289" t="s">
        <v>571</v>
      </c>
      <c r="AO7" s="289"/>
      <c r="AP7" s="13"/>
      <c r="AQ7" s="14"/>
      <c r="AR7" s="13"/>
    </row>
    <row r="8" spans="2:49" ht="14.25" customHeight="1" x14ac:dyDescent="0.3">
      <c r="B8" s="11"/>
      <c r="D8" s="15" t="s">
        <v>572</v>
      </c>
      <c r="E8" s="15" t="s">
        <v>573</v>
      </c>
      <c r="F8" s="1"/>
      <c r="G8" s="1"/>
      <c r="H8" s="15" t="s">
        <v>573</v>
      </c>
      <c r="I8" s="15" t="s">
        <v>572</v>
      </c>
      <c r="J8" s="1"/>
      <c r="K8" s="1"/>
      <c r="L8" s="15" t="s">
        <v>572</v>
      </c>
      <c r="M8" s="15" t="s">
        <v>573</v>
      </c>
      <c r="N8" s="1"/>
      <c r="O8" s="1"/>
      <c r="P8" s="15" t="s">
        <v>573</v>
      </c>
      <c r="Q8" s="15" t="s">
        <v>572</v>
      </c>
      <c r="R8" s="1"/>
      <c r="S8" s="1"/>
      <c r="T8" s="15" t="s">
        <v>572</v>
      </c>
      <c r="U8" s="15" t="s">
        <v>573</v>
      </c>
      <c r="V8" s="1"/>
      <c r="W8" s="1"/>
      <c r="X8" s="15" t="s">
        <v>573</v>
      </c>
      <c r="Y8" s="15" t="s">
        <v>572</v>
      </c>
      <c r="Z8" s="1"/>
      <c r="AA8" s="1"/>
      <c r="AB8" s="15" t="s">
        <v>572</v>
      </c>
      <c r="AC8" s="15" t="s">
        <v>573</v>
      </c>
      <c r="AD8" s="1"/>
      <c r="AE8" s="1"/>
      <c r="AF8" s="15" t="s">
        <v>573</v>
      </c>
      <c r="AG8" s="15" t="s">
        <v>572</v>
      </c>
      <c r="AH8" s="1"/>
      <c r="AI8" s="1"/>
      <c r="AJ8" s="15" t="s">
        <v>572</v>
      </c>
      <c r="AK8" s="15" t="s">
        <v>573</v>
      </c>
      <c r="AL8" s="1"/>
      <c r="AM8" s="1"/>
      <c r="AN8" s="15" t="s">
        <v>573</v>
      </c>
      <c r="AO8" s="15" t="s">
        <v>572</v>
      </c>
      <c r="AQ8" s="16"/>
    </row>
    <row r="9" spans="2:49" x14ac:dyDescent="0.3">
      <c r="B9" s="11"/>
      <c r="D9" s="286" t="s">
        <v>262</v>
      </c>
      <c r="E9" s="286"/>
      <c r="F9" s="17"/>
      <c r="G9" s="17"/>
      <c r="H9" s="286" t="s">
        <v>261</v>
      </c>
      <c r="I9" s="286"/>
      <c r="L9" s="286" t="s">
        <v>264</v>
      </c>
      <c r="M9" s="286"/>
      <c r="N9" s="17"/>
      <c r="O9" s="17"/>
      <c r="P9" s="308" t="s">
        <v>206</v>
      </c>
      <c r="Q9" s="308"/>
      <c r="T9" s="286" t="s">
        <v>260</v>
      </c>
      <c r="U9" s="286"/>
      <c r="V9" s="17"/>
      <c r="W9" s="17"/>
      <c r="X9" s="286" t="s">
        <v>259</v>
      </c>
      <c r="Y9" s="286"/>
      <c r="AB9" s="286" t="s">
        <v>263</v>
      </c>
      <c r="AC9" s="286"/>
      <c r="AD9" s="17"/>
      <c r="AE9" s="17"/>
      <c r="AF9" s="286" t="s">
        <v>258</v>
      </c>
      <c r="AG9" s="286"/>
      <c r="AJ9" s="286" t="s">
        <v>256</v>
      </c>
      <c r="AK9" s="286"/>
      <c r="AL9" s="17"/>
      <c r="AM9" s="17"/>
      <c r="AN9" s="286" t="s">
        <v>265</v>
      </c>
      <c r="AO9" s="286"/>
      <c r="AQ9" s="16"/>
    </row>
    <row r="10" spans="2:49" x14ac:dyDescent="0.3">
      <c r="B10" s="11"/>
      <c r="D10" s="286" t="s">
        <v>477</v>
      </c>
      <c r="E10" s="286"/>
      <c r="F10" s="17"/>
      <c r="G10" s="17"/>
      <c r="H10" s="286" t="s">
        <v>368</v>
      </c>
      <c r="I10" s="286"/>
      <c r="L10" s="286" t="s">
        <v>365</v>
      </c>
      <c r="M10" s="286"/>
      <c r="N10" s="17"/>
      <c r="O10" s="17"/>
      <c r="P10" s="308" t="s">
        <v>203</v>
      </c>
      <c r="Q10" s="308"/>
      <c r="T10" s="308" t="s">
        <v>179</v>
      </c>
      <c r="U10" s="308"/>
      <c r="V10" s="17"/>
      <c r="W10" s="17"/>
      <c r="X10" s="313" t="s">
        <v>172</v>
      </c>
      <c r="Y10" s="314"/>
      <c r="AB10" s="286" t="s">
        <v>181</v>
      </c>
      <c r="AC10" s="286"/>
      <c r="AD10" s="17"/>
      <c r="AE10" s="17"/>
      <c r="AF10" s="286" t="s">
        <v>320</v>
      </c>
      <c r="AG10" s="286"/>
      <c r="AJ10" s="286" t="s">
        <v>449</v>
      </c>
      <c r="AK10" s="286"/>
      <c r="AL10" s="17"/>
      <c r="AM10" s="17"/>
      <c r="AN10" s="286" t="s">
        <v>246</v>
      </c>
      <c r="AO10" s="286"/>
      <c r="AQ10" s="16"/>
      <c r="AR10" s="18"/>
    </row>
    <row r="11" spans="2:49" x14ac:dyDescent="0.3">
      <c r="B11" s="11"/>
      <c r="D11" s="286" t="s">
        <v>303</v>
      </c>
      <c r="E11" s="286"/>
      <c r="F11" s="17"/>
      <c r="G11" s="17"/>
      <c r="H11" s="286" t="s">
        <v>371</v>
      </c>
      <c r="I11" s="286"/>
      <c r="L11" s="286" t="s">
        <v>275</v>
      </c>
      <c r="M11" s="286"/>
      <c r="N11" s="17"/>
      <c r="O11" s="17"/>
      <c r="P11" s="286" t="s">
        <v>157</v>
      </c>
      <c r="Q11" s="286"/>
      <c r="T11" s="286" t="s">
        <v>141</v>
      </c>
      <c r="U11" s="286"/>
      <c r="V11" s="17"/>
      <c r="W11" s="17"/>
      <c r="X11" s="308" t="s">
        <v>177</v>
      </c>
      <c r="Y11" s="308"/>
      <c r="AB11" s="286" t="s">
        <v>82</v>
      </c>
      <c r="AC11" s="286"/>
      <c r="AD11" s="17"/>
      <c r="AE11" s="17"/>
      <c r="AF11" s="286" t="s">
        <v>215</v>
      </c>
      <c r="AG11" s="286"/>
      <c r="AJ11" s="286" t="s">
        <v>271</v>
      </c>
      <c r="AK11" s="286"/>
      <c r="AL11" s="17"/>
      <c r="AM11" s="17"/>
      <c r="AN11" s="286" t="s">
        <v>185</v>
      </c>
      <c r="AO11" s="286"/>
      <c r="AQ11" s="16"/>
    </row>
    <row r="12" spans="2:49" x14ac:dyDescent="0.3">
      <c r="B12" s="11"/>
      <c r="D12" s="286" t="s">
        <v>304</v>
      </c>
      <c r="E12" s="286"/>
      <c r="F12" s="17"/>
      <c r="G12" s="17"/>
      <c r="H12" s="286" t="s">
        <v>374</v>
      </c>
      <c r="I12" s="286"/>
      <c r="L12" s="286" t="s">
        <v>276</v>
      </c>
      <c r="M12" s="286"/>
      <c r="N12" s="17"/>
      <c r="O12" s="17"/>
      <c r="P12" s="286" t="s">
        <v>158</v>
      </c>
      <c r="Q12" s="286"/>
      <c r="T12" s="286" t="s">
        <v>142</v>
      </c>
      <c r="U12" s="286"/>
      <c r="V12" s="17"/>
      <c r="W12" s="17"/>
      <c r="X12" s="308" t="s">
        <v>178</v>
      </c>
      <c r="Y12" s="308"/>
      <c r="AB12" s="286" t="s">
        <v>87</v>
      </c>
      <c r="AC12" s="286"/>
      <c r="AD12" s="17"/>
      <c r="AE12" s="17"/>
      <c r="AF12" s="286" t="s">
        <v>222</v>
      </c>
      <c r="AG12" s="286"/>
      <c r="AJ12" s="286" t="s">
        <v>272</v>
      </c>
      <c r="AK12" s="286"/>
      <c r="AL12" s="17"/>
      <c r="AM12" s="17"/>
      <c r="AN12" s="286" t="s">
        <v>193</v>
      </c>
      <c r="AO12" s="286"/>
      <c r="AQ12" s="16"/>
    </row>
    <row r="13" spans="2:49" x14ac:dyDescent="0.3">
      <c r="B13" s="11"/>
      <c r="D13" s="286" t="s">
        <v>305</v>
      </c>
      <c r="E13" s="286"/>
      <c r="F13" s="17"/>
      <c r="G13" s="17"/>
      <c r="H13" s="286" t="s">
        <v>291</v>
      </c>
      <c r="I13" s="286"/>
      <c r="L13" s="286" t="s">
        <v>277</v>
      </c>
      <c r="M13" s="286"/>
      <c r="N13" s="17"/>
      <c r="O13" s="17"/>
      <c r="P13" s="286" t="s">
        <v>159</v>
      </c>
      <c r="Q13" s="286"/>
      <c r="T13" s="286" t="s">
        <v>143</v>
      </c>
      <c r="U13" s="286"/>
      <c r="V13" s="17"/>
      <c r="W13" s="17"/>
      <c r="X13" s="286" t="s">
        <v>129</v>
      </c>
      <c r="Y13" s="286"/>
      <c r="AB13" s="286" t="s">
        <v>88</v>
      </c>
      <c r="AC13" s="286"/>
      <c r="AD13" s="17"/>
      <c r="AE13" s="17"/>
      <c r="AF13" s="286" t="s">
        <v>225</v>
      </c>
      <c r="AG13" s="286"/>
      <c r="AJ13" s="286" t="s">
        <v>99</v>
      </c>
      <c r="AK13" s="286"/>
      <c r="AL13" s="17"/>
      <c r="AM13" s="17"/>
      <c r="AN13" s="286" t="s">
        <v>268</v>
      </c>
      <c r="AO13" s="286"/>
      <c r="AQ13" s="16"/>
    </row>
    <row r="14" spans="2:49" x14ac:dyDescent="0.3">
      <c r="B14" s="11"/>
      <c r="D14" s="286" t="s">
        <v>306</v>
      </c>
      <c r="E14" s="286"/>
      <c r="F14" s="17"/>
      <c r="G14" s="17"/>
      <c r="H14" s="286" t="s">
        <v>292</v>
      </c>
      <c r="I14" s="286"/>
      <c r="L14" s="286" t="s">
        <v>278</v>
      </c>
      <c r="M14" s="286"/>
      <c r="N14" s="17"/>
      <c r="O14" s="17"/>
      <c r="P14" s="286" t="s">
        <v>160</v>
      </c>
      <c r="Q14" s="286"/>
      <c r="T14" s="286" t="s">
        <v>144</v>
      </c>
      <c r="U14" s="286"/>
      <c r="V14" s="17"/>
      <c r="W14" s="17"/>
      <c r="X14" s="286" t="s">
        <v>130</v>
      </c>
      <c r="Y14" s="286"/>
      <c r="AB14" s="286" t="s">
        <v>89</v>
      </c>
      <c r="AC14" s="286"/>
      <c r="AD14" s="17"/>
      <c r="AE14" s="17"/>
      <c r="AF14" s="286" t="s">
        <v>228</v>
      </c>
      <c r="AG14" s="286"/>
      <c r="AJ14" s="286" t="s">
        <v>100</v>
      </c>
      <c r="AK14" s="286"/>
      <c r="AL14" s="17"/>
      <c r="AM14" s="17"/>
      <c r="AN14" s="286" t="s">
        <v>192</v>
      </c>
      <c r="AO14" s="286"/>
      <c r="AQ14" s="16"/>
    </row>
    <row r="15" spans="2:49" x14ac:dyDescent="0.3">
      <c r="B15" s="11"/>
      <c r="D15" s="286" t="s">
        <v>307</v>
      </c>
      <c r="E15" s="286"/>
      <c r="F15" s="17"/>
      <c r="G15" s="17"/>
      <c r="H15" s="286" t="s">
        <v>293</v>
      </c>
      <c r="I15" s="286"/>
      <c r="L15" s="286" t="s">
        <v>279</v>
      </c>
      <c r="M15" s="286"/>
      <c r="N15" s="17"/>
      <c r="O15" s="17"/>
      <c r="P15" s="286" t="s">
        <v>161</v>
      </c>
      <c r="Q15" s="286"/>
      <c r="T15" s="286" t="s">
        <v>145</v>
      </c>
      <c r="U15" s="286"/>
      <c r="V15" s="17"/>
      <c r="W15" s="17"/>
      <c r="X15" s="286" t="s">
        <v>131</v>
      </c>
      <c r="Y15" s="286"/>
      <c r="AB15" s="286" t="s">
        <v>90</v>
      </c>
      <c r="AC15" s="286"/>
      <c r="AD15" s="17"/>
      <c r="AE15" s="17"/>
      <c r="AF15" s="286" t="s">
        <v>113</v>
      </c>
      <c r="AG15" s="286"/>
      <c r="AJ15" s="286" t="s">
        <v>101</v>
      </c>
      <c r="AK15" s="286"/>
      <c r="AL15" s="17"/>
      <c r="AM15" s="17"/>
      <c r="AN15" s="286" t="s">
        <v>186</v>
      </c>
      <c r="AO15" s="286"/>
      <c r="AQ15" s="16"/>
    </row>
    <row r="16" spans="2:49" x14ac:dyDescent="0.3">
      <c r="B16" s="11"/>
      <c r="D16" s="286" t="s">
        <v>308</v>
      </c>
      <c r="E16" s="286"/>
      <c r="F16" s="17"/>
      <c r="G16" s="17"/>
      <c r="H16" s="286" t="s">
        <v>294</v>
      </c>
      <c r="I16" s="286"/>
      <c r="L16" s="286" t="s">
        <v>280</v>
      </c>
      <c r="M16" s="286"/>
      <c r="N16" s="17"/>
      <c r="O16" s="17"/>
      <c r="P16" s="286" t="s">
        <v>162</v>
      </c>
      <c r="Q16" s="286"/>
      <c r="T16" s="286" t="s">
        <v>146</v>
      </c>
      <c r="U16" s="286"/>
      <c r="V16" s="17"/>
      <c r="W16" s="17"/>
      <c r="X16" s="286" t="s">
        <v>132</v>
      </c>
      <c r="Y16" s="286"/>
      <c r="AB16" s="286" t="s">
        <v>91</v>
      </c>
      <c r="AC16" s="286"/>
      <c r="AD16" s="17"/>
      <c r="AE16" s="17"/>
      <c r="AF16" s="286" t="s">
        <v>114</v>
      </c>
      <c r="AG16" s="286"/>
      <c r="AJ16" s="286" t="s">
        <v>102</v>
      </c>
      <c r="AK16" s="286"/>
      <c r="AL16" s="17"/>
      <c r="AM16" s="17"/>
      <c r="AN16" s="286" t="s">
        <v>319</v>
      </c>
      <c r="AO16" s="286"/>
      <c r="AQ16" s="16"/>
    </row>
    <row r="17" spans="2:43" x14ac:dyDescent="0.3">
      <c r="B17" s="11"/>
      <c r="D17" s="286" t="s">
        <v>309</v>
      </c>
      <c r="E17" s="286"/>
      <c r="F17" s="17"/>
      <c r="G17" s="17"/>
      <c r="H17" s="286" t="s">
        <v>295</v>
      </c>
      <c r="I17" s="286"/>
      <c r="L17" s="286" t="s">
        <v>281</v>
      </c>
      <c r="M17" s="286"/>
      <c r="N17" s="17"/>
      <c r="O17" s="17"/>
      <c r="P17" s="286" t="s">
        <v>163</v>
      </c>
      <c r="Q17" s="286"/>
      <c r="T17" s="286" t="s">
        <v>147</v>
      </c>
      <c r="U17" s="286"/>
      <c r="V17" s="17"/>
      <c r="W17" s="17"/>
      <c r="X17" s="286" t="s">
        <v>133</v>
      </c>
      <c r="Y17" s="286"/>
      <c r="AB17" s="286" t="s">
        <v>92</v>
      </c>
      <c r="AC17" s="286"/>
      <c r="AD17" s="17"/>
      <c r="AE17" s="17"/>
      <c r="AF17" s="286" t="s">
        <v>115</v>
      </c>
      <c r="AG17" s="286"/>
      <c r="AJ17" s="286" t="s">
        <v>103</v>
      </c>
      <c r="AK17" s="286"/>
      <c r="AL17" s="17"/>
      <c r="AM17" s="17"/>
      <c r="AN17" s="286" t="s">
        <v>191</v>
      </c>
      <c r="AO17" s="286"/>
      <c r="AQ17" s="16"/>
    </row>
    <row r="18" spans="2:43" x14ac:dyDescent="0.3">
      <c r="B18" s="11"/>
      <c r="D18" s="286" t="s">
        <v>310</v>
      </c>
      <c r="E18" s="286"/>
      <c r="F18" s="17"/>
      <c r="G18" s="17"/>
      <c r="H18" s="286" t="s">
        <v>296</v>
      </c>
      <c r="I18" s="286"/>
      <c r="L18" s="286" t="s">
        <v>282</v>
      </c>
      <c r="M18" s="286"/>
      <c r="N18" s="17"/>
      <c r="O18" s="17"/>
      <c r="P18" s="286" t="s">
        <v>164</v>
      </c>
      <c r="Q18" s="286"/>
      <c r="T18" s="286" t="s">
        <v>148</v>
      </c>
      <c r="U18" s="286"/>
      <c r="V18" s="17"/>
      <c r="W18" s="17"/>
      <c r="X18" s="286" t="s">
        <v>134</v>
      </c>
      <c r="Y18" s="286"/>
      <c r="AB18" s="286" t="s">
        <v>93</v>
      </c>
      <c r="AC18" s="286"/>
      <c r="AD18" s="17"/>
      <c r="AE18" s="17"/>
      <c r="AF18" s="286" t="s">
        <v>116</v>
      </c>
      <c r="AG18" s="286"/>
      <c r="AJ18" s="286" t="s">
        <v>104</v>
      </c>
      <c r="AK18" s="286"/>
      <c r="AL18" s="17"/>
      <c r="AM18" s="17"/>
      <c r="AN18" s="286" t="s">
        <v>187</v>
      </c>
      <c r="AO18" s="286"/>
      <c r="AQ18" s="16"/>
    </row>
    <row r="19" spans="2:43" x14ac:dyDescent="0.3">
      <c r="B19" s="11"/>
      <c r="D19" s="286" t="s">
        <v>311</v>
      </c>
      <c r="E19" s="286"/>
      <c r="F19" s="17"/>
      <c r="G19" s="17"/>
      <c r="H19" s="288"/>
      <c r="I19" s="288"/>
      <c r="L19" s="286" t="s">
        <v>283</v>
      </c>
      <c r="M19" s="286"/>
      <c r="N19" s="17"/>
      <c r="O19" s="17"/>
      <c r="P19" s="288"/>
      <c r="Q19" s="288"/>
      <c r="T19" s="286" t="s">
        <v>149</v>
      </c>
      <c r="U19" s="286"/>
      <c r="V19" s="17"/>
      <c r="W19" s="17"/>
      <c r="X19" s="288"/>
      <c r="Y19" s="288"/>
      <c r="AB19" s="286" t="s">
        <v>273</v>
      </c>
      <c r="AC19" s="286"/>
      <c r="AD19" s="17"/>
      <c r="AE19" s="17"/>
      <c r="AF19" s="288"/>
      <c r="AG19" s="288"/>
      <c r="AJ19" s="286" t="s">
        <v>105</v>
      </c>
      <c r="AK19" s="286"/>
      <c r="AL19" s="17"/>
      <c r="AM19" s="17"/>
      <c r="AN19" s="288"/>
      <c r="AO19" s="288"/>
      <c r="AQ19" s="16"/>
    </row>
    <row r="20" spans="2:43" x14ac:dyDescent="0.3">
      <c r="B20" s="11"/>
      <c r="D20" s="286" t="s">
        <v>312</v>
      </c>
      <c r="E20" s="286"/>
      <c r="F20" s="17"/>
      <c r="G20" s="17"/>
      <c r="H20" s="288"/>
      <c r="I20" s="288"/>
      <c r="L20" s="286" t="s">
        <v>284</v>
      </c>
      <c r="M20" s="286"/>
      <c r="N20" s="17"/>
      <c r="O20" s="17"/>
      <c r="P20" s="288"/>
      <c r="Q20" s="288"/>
      <c r="T20" s="286" t="s">
        <v>150</v>
      </c>
      <c r="U20" s="286"/>
      <c r="V20" s="17"/>
      <c r="W20" s="17"/>
      <c r="X20" s="288"/>
      <c r="Y20" s="288"/>
      <c r="AB20" s="286" t="s">
        <v>274</v>
      </c>
      <c r="AC20" s="286"/>
      <c r="AD20" s="17"/>
      <c r="AE20" s="17"/>
      <c r="AF20" s="288"/>
      <c r="AG20" s="288"/>
      <c r="AJ20" s="286" t="s">
        <v>106</v>
      </c>
      <c r="AK20" s="286"/>
      <c r="AL20" s="17"/>
      <c r="AM20" s="17"/>
      <c r="AN20" s="288"/>
      <c r="AO20" s="288"/>
      <c r="AP20" s="19"/>
      <c r="AQ20" s="16"/>
    </row>
    <row r="21" spans="2:43" x14ac:dyDescent="0.3">
      <c r="B21" s="11"/>
      <c r="D21" s="286" t="s">
        <v>313</v>
      </c>
      <c r="E21" s="286"/>
      <c r="F21" s="17"/>
      <c r="G21" s="17"/>
      <c r="H21" s="286" t="s">
        <v>297</v>
      </c>
      <c r="I21" s="286"/>
      <c r="L21" s="286" t="s">
        <v>285</v>
      </c>
      <c r="M21" s="286"/>
      <c r="N21" s="17"/>
      <c r="O21" s="17"/>
      <c r="P21" s="286" t="s">
        <v>165</v>
      </c>
      <c r="Q21" s="286"/>
      <c r="T21" s="286" t="s">
        <v>151</v>
      </c>
      <c r="U21" s="286"/>
      <c r="V21" s="17"/>
      <c r="W21" s="17"/>
      <c r="X21" s="286" t="s">
        <v>135</v>
      </c>
      <c r="Y21" s="286"/>
      <c r="AB21" s="286" t="s">
        <v>123</v>
      </c>
      <c r="AC21" s="286"/>
      <c r="AD21" s="17"/>
      <c r="AE21" s="17"/>
      <c r="AF21" s="286" t="s">
        <v>117</v>
      </c>
      <c r="AG21" s="286"/>
      <c r="AJ21" s="286" t="s">
        <v>107</v>
      </c>
      <c r="AK21" s="286"/>
      <c r="AL21" s="17"/>
      <c r="AM21" s="17"/>
      <c r="AN21" s="286" t="s">
        <v>209</v>
      </c>
      <c r="AO21" s="286"/>
      <c r="AQ21" s="16"/>
    </row>
    <row r="22" spans="2:43" x14ac:dyDescent="0.3">
      <c r="B22" s="11"/>
      <c r="D22" s="286" t="s">
        <v>314</v>
      </c>
      <c r="E22" s="286"/>
      <c r="F22" s="17"/>
      <c r="G22" s="17"/>
      <c r="H22" s="286" t="s">
        <v>298</v>
      </c>
      <c r="I22" s="286"/>
      <c r="L22" s="286" t="s">
        <v>286</v>
      </c>
      <c r="M22" s="286"/>
      <c r="N22" s="17"/>
      <c r="O22" s="17"/>
      <c r="P22" s="286" t="s">
        <v>166</v>
      </c>
      <c r="Q22" s="286"/>
      <c r="T22" s="286" t="s">
        <v>152</v>
      </c>
      <c r="U22" s="286"/>
      <c r="V22" s="17"/>
      <c r="W22" s="17"/>
      <c r="X22" s="286" t="s">
        <v>136</v>
      </c>
      <c r="Y22" s="286"/>
      <c r="AB22" s="286" t="s">
        <v>124</v>
      </c>
      <c r="AC22" s="286"/>
      <c r="AD22" s="17"/>
      <c r="AE22" s="17"/>
      <c r="AF22" s="286" t="s">
        <v>118</v>
      </c>
      <c r="AG22" s="286"/>
      <c r="AJ22" s="286" t="s">
        <v>108</v>
      </c>
      <c r="AK22" s="286"/>
      <c r="AL22" s="17"/>
      <c r="AM22" s="17"/>
      <c r="AN22" s="286" t="s">
        <v>213</v>
      </c>
      <c r="AO22" s="286"/>
      <c r="AQ22" s="16"/>
    </row>
    <row r="23" spans="2:43" x14ac:dyDescent="0.3">
      <c r="B23" s="11"/>
      <c r="D23" s="286" t="s">
        <v>315</v>
      </c>
      <c r="E23" s="286"/>
      <c r="F23" s="17"/>
      <c r="G23" s="17"/>
      <c r="H23" s="286" t="s">
        <v>299</v>
      </c>
      <c r="I23" s="286"/>
      <c r="L23" s="286" t="s">
        <v>287</v>
      </c>
      <c r="M23" s="286"/>
      <c r="N23" s="17"/>
      <c r="O23" s="17"/>
      <c r="P23" s="286" t="s">
        <v>167</v>
      </c>
      <c r="Q23" s="286"/>
      <c r="T23" s="286" t="s">
        <v>153</v>
      </c>
      <c r="U23" s="286"/>
      <c r="V23" s="17"/>
      <c r="W23" s="17"/>
      <c r="X23" s="286" t="s">
        <v>137</v>
      </c>
      <c r="Y23" s="286"/>
      <c r="AB23" s="286" t="s">
        <v>125</v>
      </c>
      <c r="AC23" s="286"/>
      <c r="AD23" s="17"/>
      <c r="AE23" s="17"/>
      <c r="AF23" s="286" t="s">
        <v>119</v>
      </c>
      <c r="AG23" s="286"/>
      <c r="AJ23" s="286" t="s">
        <v>109</v>
      </c>
      <c r="AK23" s="286"/>
      <c r="AL23" s="17"/>
      <c r="AM23" s="17"/>
      <c r="AN23" s="286" t="s">
        <v>270</v>
      </c>
      <c r="AO23" s="286"/>
      <c r="AQ23" s="16"/>
    </row>
    <row r="24" spans="2:43" x14ac:dyDescent="0.3">
      <c r="B24" s="11"/>
      <c r="D24" s="286" t="s">
        <v>316</v>
      </c>
      <c r="E24" s="286"/>
      <c r="F24" s="17"/>
      <c r="G24" s="17"/>
      <c r="H24" s="286" t="s">
        <v>300</v>
      </c>
      <c r="I24" s="286"/>
      <c r="L24" s="286" t="s">
        <v>288</v>
      </c>
      <c r="M24" s="286"/>
      <c r="N24" s="17"/>
      <c r="O24" s="17"/>
      <c r="P24" s="286" t="s">
        <v>168</v>
      </c>
      <c r="Q24" s="286"/>
      <c r="T24" s="286" t="s">
        <v>154</v>
      </c>
      <c r="U24" s="286"/>
      <c r="V24" s="17"/>
      <c r="W24" s="17"/>
      <c r="X24" s="286" t="s">
        <v>138</v>
      </c>
      <c r="Y24" s="286"/>
      <c r="AB24" s="286" t="s">
        <v>126</v>
      </c>
      <c r="AC24" s="286"/>
      <c r="AD24" s="17"/>
      <c r="AE24" s="17"/>
      <c r="AF24" s="286" t="s">
        <v>120</v>
      </c>
      <c r="AG24" s="286"/>
      <c r="AJ24" s="286" t="s">
        <v>110</v>
      </c>
      <c r="AK24" s="286"/>
      <c r="AL24" s="17"/>
      <c r="AM24" s="17"/>
      <c r="AN24" s="286" t="s">
        <v>95</v>
      </c>
      <c r="AO24" s="286"/>
      <c r="AQ24" s="16"/>
    </row>
    <row r="25" spans="2:43" x14ac:dyDescent="0.3">
      <c r="B25" s="11"/>
      <c r="D25" s="286" t="s">
        <v>317</v>
      </c>
      <c r="E25" s="286"/>
      <c r="F25" s="17"/>
      <c r="G25" s="17"/>
      <c r="H25" s="286" t="s">
        <v>301</v>
      </c>
      <c r="I25" s="286"/>
      <c r="L25" s="286" t="s">
        <v>289</v>
      </c>
      <c r="M25" s="286"/>
      <c r="N25" s="17"/>
      <c r="O25" s="17"/>
      <c r="P25" s="286" t="s">
        <v>169</v>
      </c>
      <c r="Q25" s="286"/>
      <c r="T25" s="286" t="s">
        <v>155</v>
      </c>
      <c r="U25" s="286"/>
      <c r="V25" s="17"/>
      <c r="W25" s="17"/>
      <c r="X25" s="286" t="s">
        <v>139</v>
      </c>
      <c r="Y25" s="286"/>
      <c r="AB25" s="286" t="s">
        <v>127</v>
      </c>
      <c r="AC25" s="286"/>
      <c r="AD25" s="17"/>
      <c r="AE25" s="17"/>
      <c r="AF25" s="286" t="s">
        <v>121</v>
      </c>
      <c r="AG25" s="286"/>
      <c r="AJ25" s="286" t="s">
        <v>111</v>
      </c>
      <c r="AK25" s="286"/>
      <c r="AL25" s="17"/>
      <c r="AM25" s="17"/>
      <c r="AN25" s="286" t="s">
        <v>97</v>
      </c>
      <c r="AO25" s="286"/>
      <c r="AQ25" s="16"/>
    </row>
    <row r="26" spans="2:43" x14ac:dyDescent="0.3">
      <c r="B26" s="11"/>
      <c r="D26" s="286" t="s">
        <v>318</v>
      </c>
      <c r="E26" s="286"/>
      <c r="F26" s="17"/>
      <c r="G26" s="17"/>
      <c r="H26" s="286" t="s">
        <v>302</v>
      </c>
      <c r="I26" s="286"/>
      <c r="L26" s="286" t="s">
        <v>290</v>
      </c>
      <c r="M26" s="286"/>
      <c r="N26" s="17"/>
      <c r="O26" s="17"/>
      <c r="P26" s="286" t="s">
        <v>170</v>
      </c>
      <c r="Q26" s="286"/>
      <c r="T26" s="286" t="s">
        <v>156</v>
      </c>
      <c r="U26" s="286"/>
      <c r="V26" s="17"/>
      <c r="W26" s="17"/>
      <c r="X26" s="286" t="s">
        <v>140</v>
      </c>
      <c r="Y26" s="286"/>
      <c r="AB26" s="286" t="s">
        <v>128</v>
      </c>
      <c r="AC26" s="286"/>
      <c r="AD26" s="17"/>
      <c r="AE26" s="17"/>
      <c r="AF26" s="286" t="s">
        <v>122</v>
      </c>
      <c r="AG26" s="286"/>
      <c r="AJ26" s="286" t="s">
        <v>112</v>
      </c>
      <c r="AK26" s="286"/>
      <c r="AL26" s="17"/>
      <c r="AM26" s="17"/>
      <c r="AN26" s="286" t="s">
        <v>98</v>
      </c>
      <c r="AO26" s="286"/>
      <c r="AQ26" s="16"/>
    </row>
    <row r="27" spans="2:43" x14ac:dyDescent="0.3">
      <c r="B27" s="7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9"/>
    </row>
    <row r="28" spans="2:43" x14ac:dyDescent="0.3">
      <c r="B28" s="2"/>
      <c r="C28" s="3"/>
      <c r="D28" s="3"/>
      <c r="E28" s="3"/>
      <c r="F28" s="3"/>
      <c r="G28" s="284" t="s">
        <v>558</v>
      </c>
      <c r="H28" s="285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284" t="s">
        <v>559</v>
      </c>
      <c r="X28" s="285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284" t="s">
        <v>560</v>
      </c>
      <c r="AN28" s="285"/>
      <c r="AO28" s="3"/>
      <c r="AP28" s="3"/>
      <c r="AQ28" s="4"/>
    </row>
    <row r="29" spans="2:43" x14ac:dyDescent="0.3">
      <c r="B29" s="11"/>
      <c r="AQ29" s="9"/>
    </row>
    <row r="30" spans="2:43" x14ac:dyDescent="0.3">
      <c r="B30" s="281" t="s">
        <v>675</v>
      </c>
      <c r="C30" s="282"/>
      <c r="I30" s="281" t="s">
        <v>676</v>
      </c>
      <c r="J30" s="282"/>
      <c r="K30" s="281" t="s">
        <v>677</v>
      </c>
      <c r="L30" s="282"/>
      <c r="P30" s="281" t="s">
        <v>678</v>
      </c>
      <c r="Q30" s="282"/>
      <c r="T30" s="281" t="s">
        <v>679</v>
      </c>
      <c r="U30" s="282"/>
      <c r="Y30" s="281" t="s">
        <v>680</v>
      </c>
      <c r="Z30" s="282"/>
      <c r="AA30" s="281" t="s">
        <v>681</v>
      </c>
      <c r="AB30" s="282"/>
      <c r="AG30" s="281" t="s">
        <v>682</v>
      </c>
      <c r="AH30" s="282"/>
      <c r="AK30" s="281" t="s">
        <v>683</v>
      </c>
      <c r="AL30" s="282"/>
      <c r="AP30" s="281" t="s">
        <v>684</v>
      </c>
      <c r="AQ30" s="282"/>
    </row>
    <row r="31" spans="2:43" x14ac:dyDescent="0.3"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9"/>
    </row>
    <row r="33" spans="2:11" ht="14.15" customHeight="1" x14ac:dyDescent="0.3">
      <c r="B33" s="306" t="s">
        <v>584</v>
      </c>
      <c r="C33" s="279"/>
      <c r="D33" s="279"/>
      <c r="E33" s="279"/>
      <c r="F33" s="279"/>
      <c r="G33" s="25"/>
      <c r="H33" s="21">
        <f>getcolorcount($D$9:$AO$27,G33)</f>
        <v>12</v>
      </c>
    </row>
    <row r="34" spans="2:11" x14ac:dyDescent="0.3">
      <c r="B34" s="279"/>
      <c r="C34" s="279"/>
      <c r="D34" s="279"/>
      <c r="E34" s="279"/>
      <c r="F34" s="279"/>
      <c r="G34" s="23"/>
      <c r="H34" s="21">
        <f>getcolorcount($D$9:$AO$27,G34)</f>
        <v>328</v>
      </c>
    </row>
    <row r="35" spans="2:11" x14ac:dyDescent="0.3">
      <c r="B35" s="279"/>
      <c r="C35" s="279"/>
      <c r="D35" s="279"/>
      <c r="E35" s="279"/>
      <c r="F35" s="279"/>
      <c r="G35" s="24"/>
      <c r="H35" s="21">
        <f>getcolorcount($D$9:$AO$27,G35)</f>
        <v>12</v>
      </c>
    </row>
    <row r="36" spans="2:11" x14ac:dyDescent="0.3">
      <c r="B36" s="279"/>
      <c r="C36" s="279"/>
      <c r="D36" s="279"/>
      <c r="E36" s="279"/>
      <c r="F36" s="279"/>
      <c r="G36" s="26"/>
      <c r="H36" s="21">
        <f>getcolorcount($D$9:$AO$27,G36)</f>
        <v>328</v>
      </c>
      <c r="K36" s="10"/>
    </row>
    <row r="37" spans="2:11" x14ac:dyDescent="0.3">
      <c r="B37" s="280"/>
      <c r="C37" s="280"/>
      <c r="D37" s="280"/>
      <c r="E37" s="280"/>
      <c r="F37" s="280"/>
      <c r="G37" s="27"/>
      <c r="J37" s="18"/>
      <c r="K37" s="10"/>
    </row>
    <row r="38" spans="2:11" x14ac:dyDescent="0.3">
      <c r="B38" s="283" t="s">
        <v>585</v>
      </c>
      <c r="C38" s="283"/>
      <c r="D38" s="283"/>
      <c r="E38" s="283"/>
      <c r="F38" s="21">
        <v>170</v>
      </c>
    </row>
    <row r="39" spans="2:11" x14ac:dyDescent="0.3">
      <c r="B39" s="283" t="s">
        <v>585</v>
      </c>
      <c r="C39" s="283"/>
      <c r="D39" s="283"/>
      <c r="E39" s="283"/>
      <c r="F39" s="20">
        <v>154</v>
      </c>
    </row>
    <row r="40" spans="2:11" x14ac:dyDescent="0.3">
      <c r="B40" s="283" t="s">
        <v>586</v>
      </c>
      <c r="C40" s="283"/>
      <c r="D40" s="283"/>
      <c r="E40" s="283"/>
      <c r="F40" s="21">
        <f>getcolorcount($D$9:$AO$31,G40)/2</f>
        <v>0</v>
      </c>
      <c r="G40" s="22"/>
    </row>
    <row r="41" spans="2:11" x14ac:dyDescent="0.3">
      <c r="B41" s="283" t="s">
        <v>587</v>
      </c>
      <c r="C41" s="283"/>
      <c r="D41" s="283"/>
      <c r="E41" s="283"/>
      <c r="F41" s="21">
        <f>getcolorcount($D$9:$AO$31,G41)/2</f>
        <v>164</v>
      </c>
      <c r="G41" s="23"/>
    </row>
    <row r="42" spans="2:11" x14ac:dyDescent="0.3">
      <c r="B42" s="283" t="s">
        <v>588</v>
      </c>
      <c r="C42" s="283"/>
      <c r="D42" s="283"/>
      <c r="E42" s="283"/>
      <c r="F42" s="21">
        <f>getcolorcount($D$9:$AO$31,G42)/2</f>
        <v>6</v>
      </c>
      <c r="G42" s="24"/>
    </row>
    <row r="43" spans="2:11" x14ac:dyDescent="0.3">
      <c r="B43" s="283" t="s">
        <v>589</v>
      </c>
      <c r="C43" s="283"/>
      <c r="D43" s="283"/>
      <c r="E43" s="283"/>
      <c r="F43" s="21">
        <f>F40+F41</f>
        <v>164</v>
      </c>
    </row>
  </sheetData>
  <mergeCells count="234"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P30:AQ30"/>
    <mergeCell ref="B38:E38"/>
    <mergeCell ref="B39:E39"/>
    <mergeCell ref="B40:E40"/>
    <mergeCell ref="B41:E41"/>
    <mergeCell ref="B42:E42"/>
    <mergeCell ref="B43:E43"/>
    <mergeCell ref="AS1:AS5"/>
    <mergeCell ref="B33:F37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N25:AO25"/>
    <mergeCell ref="D26:E26"/>
    <mergeCell ref="H26:I26"/>
  </mergeCells>
  <phoneticPr fontId="31" type="noConversion"/>
  <pageMargins left="0.7" right="0.7" top="0.75" bottom="0.75" header="0.3" footer="0.3"/>
  <pageSetup paperSize="9" scale="76"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pageSetUpPr fitToPage="1"/>
  </sheetPr>
  <dimension ref="B1:AW43"/>
  <sheetViews>
    <sheetView showGridLines="0" topLeftCell="A19" zoomScale="85" zoomScaleNormal="85" workbookViewId="0">
      <selection activeCell="B33" sqref="B33:F37"/>
    </sheetView>
  </sheetViews>
  <sheetFormatPr defaultColWidth="9" defaultRowHeight="14.15" x14ac:dyDescent="0.3"/>
  <cols>
    <col min="1" max="3" width="3.61328125" customWidth="1"/>
    <col min="4" max="5" width="5.4609375" customWidth="1"/>
    <col min="6" max="6" width="6.84375" customWidth="1"/>
    <col min="7" max="7" width="3.61328125" customWidth="1"/>
    <col min="8" max="8" width="7.4609375" customWidth="1"/>
    <col min="9" max="9" width="5.4609375" customWidth="1"/>
    <col min="10" max="11" width="3.61328125" customWidth="1"/>
    <col min="12" max="13" width="5.4609375" customWidth="1"/>
    <col min="14" max="15" width="3.61328125" customWidth="1"/>
    <col min="16" max="17" width="5.4609375" customWidth="1"/>
    <col min="18" max="19" width="3.61328125" customWidth="1"/>
    <col min="20" max="20" width="5.4609375" customWidth="1"/>
    <col min="21" max="21" width="5.07421875" customWidth="1"/>
    <col min="22" max="23" width="3.61328125" customWidth="1"/>
    <col min="24" max="25" width="5.4609375" customWidth="1"/>
    <col min="26" max="27" width="3.61328125" customWidth="1"/>
    <col min="28" max="29" width="5.4609375" customWidth="1"/>
    <col min="30" max="31" width="3.61328125" customWidth="1"/>
    <col min="32" max="33" width="5.4609375" customWidth="1"/>
    <col min="34" max="35" width="3.61328125" customWidth="1"/>
    <col min="36" max="37" width="5.4609375" customWidth="1"/>
    <col min="38" max="39" width="3.61328125" customWidth="1"/>
    <col min="40" max="41" width="5.4609375" customWidth="1"/>
    <col min="42" max="44" width="3.61328125" customWidth="1"/>
    <col min="45" max="45" width="16.07421875" customWidth="1"/>
    <col min="46" max="47" width="16.07421875" style="1" customWidth="1"/>
    <col min="48" max="48" width="4.4609375" style="1" customWidth="1"/>
    <col min="49" max="49" width="5.07421875" customWidth="1"/>
  </cols>
  <sheetData>
    <row r="1" spans="2:49" x14ac:dyDescent="0.3">
      <c r="AS1" s="278"/>
    </row>
    <row r="2" spans="2:49" ht="14.15" customHeight="1" x14ac:dyDescent="0.3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4"/>
      <c r="AS2" s="278"/>
      <c r="AW2" s="5"/>
    </row>
    <row r="3" spans="2:49" ht="25" customHeight="1" x14ac:dyDescent="0.3">
      <c r="B3" s="281" t="s">
        <v>685</v>
      </c>
      <c r="C3" s="282"/>
      <c r="I3" s="281" t="s">
        <v>686</v>
      </c>
      <c r="J3" s="282"/>
      <c r="K3" s="281" t="s">
        <v>687</v>
      </c>
      <c r="L3" s="282"/>
      <c r="P3" s="281" t="s">
        <v>688</v>
      </c>
      <c r="Q3" s="282"/>
      <c r="T3" s="281" t="s">
        <v>689</v>
      </c>
      <c r="U3" s="282"/>
      <c r="Y3" s="281" t="s">
        <v>690</v>
      </c>
      <c r="Z3" s="282"/>
      <c r="AA3" s="281" t="s">
        <v>691</v>
      </c>
      <c r="AB3" s="282"/>
      <c r="AG3" s="281" t="s">
        <v>692</v>
      </c>
      <c r="AH3" s="282"/>
      <c r="AK3" s="281" t="s">
        <v>693</v>
      </c>
      <c r="AL3" s="282"/>
      <c r="AP3" s="281" t="s">
        <v>694</v>
      </c>
      <c r="AQ3" s="282"/>
      <c r="AR3" s="6"/>
      <c r="AS3" s="278"/>
    </row>
    <row r="4" spans="2:49" ht="25" customHeight="1" x14ac:dyDescent="0.3">
      <c r="B4" s="290"/>
      <c r="C4" s="291"/>
      <c r="I4" s="292"/>
      <c r="J4" s="291"/>
      <c r="K4" s="292"/>
      <c r="L4" s="291"/>
      <c r="P4" s="292"/>
      <c r="Q4" s="291"/>
      <c r="T4" s="292"/>
      <c r="U4" s="291"/>
      <c r="Y4" s="292"/>
      <c r="Z4" s="291"/>
      <c r="AA4" s="292"/>
      <c r="AB4" s="291"/>
      <c r="AG4" s="292"/>
      <c r="AH4" s="291"/>
      <c r="AK4" s="292"/>
      <c r="AL4" s="291"/>
      <c r="AP4" s="292"/>
      <c r="AQ4" s="293"/>
      <c r="AR4" s="6"/>
      <c r="AS4" s="278"/>
      <c r="AV4"/>
    </row>
    <row r="5" spans="2:49" x14ac:dyDescent="0.3">
      <c r="B5" s="7"/>
      <c r="C5" s="8"/>
      <c r="F5" s="8"/>
      <c r="G5" s="8"/>
      <c r="H5" s="284" t="s">
        <v>558</v>
      </c>
      <c r="I5" s="285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284" t="s">
        <v>559</v>
      </c>
      <c r="W5" s="285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284" t="s">
        <v>560</v>
      </c>
      <c r="AN5" s="285"/>
      <c r="AO5" s="8"/>
      <c r="AP5" s="8"/>
      <c r="AQ5" s="9"/>
      <c r="AS5" s="278"/>
      <c r="AW5" s="10"/>
    </row>
    <row r="6" spans="2:49" x14ac:dyDescent="0.3">
      <c r="B6" s="11"/>
      <c r="D6" s="3"/>
      <c r="E6" s="3"/>
      <c r="H6" s="3"/>
      <c r="I6" s="3"/>
      <c r="L6" s="3"/>
      <c r="M6" s="3"/>
      <c r="P6" s="3"/>
      <c r="Q6" s="3"/>
      <c r="T6" s="3"/>
      <c r="U6" s="3" t="s">
        <v>695</v>
      </c>
      <c r="V6" s="1"/>
      <c r="W6" s="1"/>
      <c r="X6" s="3"/>
      <c r="Y6" s="3"/>
      <c r="AB6" s="3"/>
      <c r="AC6" s="3"/>
      <c r="AF6" s="3"/>
      <c r="AG6" s="3"/>
      <c r="AJ6" s="3"/>
      <c r="AK6" s="3"/>
      <c r="AM6" s="1"/>
      <c r="AN6" s="3"/>
      <c r="AO6" s="3"/>
      <c r="AP6" s="3"/>
      <c r="AQ6" s="4"/>
    </row>
    <row r="7" spans="2:49" x14ac:dyDescent="0.3">
      <c r="B7" s="12"/>
      <c r="C7" s="13"/>
      <c r="D7" s="289" t="s">
        <v>571</v>
      </c>
      <c r="E7" s="289"/>
      <c r="F7" s="13"/>
      <c r="G7" s="13"/>
      <c r="H7" s="289" t="s">
        <v>570</v>
      </c>
      <c r="I7" s="289"/>
      <c r="J7" s="13"/>
      <c r="K7" s="13"/>
      <c r="L7" s="289" t="s">
        <v>569</v>
      </c>
      <c r="M7" s="289"/>
      <c r="N7" s="13"/>
      <c r="O7" s="13"/>
      <c r="P7" s="289" t="s">
        <v>568</v>
      </c>
      <c r="Q7" s="289"/>
      <c r="R7" s="13"/>
      <c r="S7" s="13"/>
      <c r="T7" s="289" t="s">
        <v>567</v>
      </c>
      <c r="U7" s="289"/>
      <c r="V7" s="13"/>
      <c r="W7" s="13"/>
      <c r="X7" s="289" t="s">
        <v>566</v>
      </c>
      <c r="Y7" s="289"/>
      <c r="Z7" s="13"/>
      <c r="AA7" s="13"/>
      <c r="AB7" s="289" t="s">
        <v>565</v>
      </c>
      <c r="AC7" s="289"/>
      <c r="AD7" s="13"/>
      <c r="AE7" s="13"/>
      <c r="AF7" s="289" t="s">
        <v>564</v>
      </c>
      <c r="AG7" s="289"/>
      <c r="AH7" s="13"/>
      <c r="AI7" s="13"/>
      <c r="AJ7" s="289" t="s">
        <v>563</v>
      </c>
      <c r="AK7" s="289"/>
      <c r="AL7" s="13"/>
      <c r="AM7" s="13"/>
      <c r="AN7" s="289" t="s">
        <v>562</v>
      </c>
      <c r="AO7" s="289"/>
      <c r="AP7" s="13"/>
      <c r="AQ7" s="14"/>
      <c r="AR7" s="13"/>
    </row>
    <row r="8" spans="2:49" x14ac:dyDescent="0.3">
      <c r="B8" s="11"/>
      <c r="D8" s="15" t="s">
        <v>572</v>
      </c>
      <c r="E8" s="15" t="s">
        <v>573</v>
      </c>
      <c r="F8" s="1"/>
      <c r="G8" s="1"/>
      <c r="H8" s="15" t="s">
        <v>573</v>
      </c>
      <c r="I8" s="15" t="s">
        <v>572</v>
      </c>
      <c r="J8" s="1"/>
      <c r="K8" s="1"/>
      <c r="L8" s="15" t="s">
        <v>572</v>
      </c>
      <c r="M8" s="15" t="s">
        <v>573</v>
      </c>
      <c r="N8" s="1"/>
      <c r="O8" s="1"/>
      <c r="P8" s="15" t="s">
        <v>573</v>
      </c>
      <c r="Q8" s="15" t="s">
        <v>572</v>
      </c>
      <c r="R8" s="1"/>
      <c r="S8" s="1"/>
      <c r="T8" s="15" t="s">
        <v>572</v>
      </c>
      <c r="U8" s="15" t="s">
        <v>573</v>
      </c>
      <c r="V8" s="1"/>
      <c r="W8" s="1"/>
      <c r="X8" s="15" t="s">
        <v>573</v>
      </c>
      <c r="Y8" s="15" t="s">
        <v>572</v>
      </c>
      <c r="Z8" s="1"/>
      <c r="AA8" s="1"/>
      <c r="AB8" s="15" t="s">
        <v>572</v>
      </c>
      <c r="AC8" s="15" t="s">
        <v>573</v>
      </c>
      <c r="AD8" s="1"/>
      <c r="AE8" s="1"/>
      <c r="AF8" s="15" t="s">
        <v>573</v>
      </c>
      <c r="AG8" s="15" t="s">
        <v>572</v>
      </c>
      <c r="AH8" s="1"/>
      <c r="AI8" s="1"/>
      <c r="AJ8" s="15" t="s">
        <v>572</v>
      </c>
      <c r="AK8" s="15" t="s">
        <v>573</v>
      </c>
      <c r="AL8" s="1"/>
      <c r="AM8" s="1"/>
      <c r="AN8" s="15" t="s">
        <v>573</v>
      </c>
      <c r="AO8" s="15" t="s">
        <v>572</v>
      </c>
      <c r="AQ8" s="16"/>
    </row>
    <row r="9" spans="2:49" x14ac:dyDescent="0.3">
      <c r="B9" s="11"/>
      <c r="D9" s="286" t="s">
        <v>265</v>
      </c>
      <c r="E9" s="286"/>
      <c r="F9" s="17"/>
      <c r="G9" s="17"/>
      <c r="H9" s="286" t="s">
        <v>256</v>
      </c>
      <c r="I9" s="286"/>
      <c r="L9" s="286" t="s">
        <v>258</v>
      </c>
      <c r="M9" s="286"/>
      <c r="N9" s="17"/>
      <c r="O9" s="17"/>
      <c r="P9" s="286" t="s">
        <v>263</v>
      </c>
      <c r="Q9" s="286"/>
      <c r="T9" s="286" t="s">
        <v>259</v>
      </c>
      <c r="U9" s="286"/>
      <c r="V9" s="17"/>
      <c r="W9" s="17"/>
      <c r="X9" s="286" t="s">
        <v>260</v>
      </c>
      <c r="Y9" s="286"/>
      <c r="AB9" s="286" t="s">
        <v>206</v>
      </c>
      <c r="AC9" s="286"/>
      <c r="AD9" s="17"/>
      <c r="AE9" s="17"/>
      <c r="AF9" s="286" t="s">
        <v>264</v>
      </c>
      <c r="AG9" s="286"/>
      <c r="AJ9" s="286" t="s">
        <v>261</v>
      </c>
      <c r="AK9" s="286"/>
      <c r="AL9" s="17"/>
      <c r="AM9" s="17"/>
      <c r="AN9" s="286" t="s">
        <v>262</v>
      </c>
      <c r="AO9" s="286"/>
      <c r="AQ9" s="16"/>
    </row>
    <row r="10" spans="2:49" x14ac:dyDescent="0.3">
      <c r="B10" s="11"/>
      <c r="D10" s="286" t="s">
        <v>246</v>
      </c>
      <c r="E10" s="286"/>
      <c r="F10" s="17"/>
      <c r="G10" s="17"/>
      <c r="H10" s="286" t="s">
        <v>449</v>
      </c>
      <c r="I10" s="286"/>
      <c r="L10" s="286" t="s">
        <v>320</v>
      </c>
      <c r="M10" s="286"/>
      <c r="N10" s="17"/>
      <c r="O10" s="17"/>
      <c r="P10" s="308" t="s">
        <v>181</v>
      </c>
      <c r="Q10" s="308"/>
      <c r="T10" s="286" t="s">
        <v>172</v>
      </c>
      <c r="U10" s="286"/>
      <c r="V10" s="17"/>
      <c r="W10" s="17"/>
      <c r="X10" s="286" t="s">
        <v>179</v>
      </c>
      <c r="Y10" s="286"/>
      <c r="AB10" s="286" t="s">
        <v>203</v>
      </c>
      <c r="AC10" s="286"/>
      <c r="AD10" s="17"/>
      <c r="AE10" s="17"/>
      <c r="AF10" s="286" t="s">
        <v>365</v>
      </c>
      <c r="AG10" s="286"/>
      <c r="AJ10" s="286" t="s">
        <v>368</v>
      </c>
      <c r="AK10" s="286"/>
      <c r="AL10" s="17"/>
      <c r="AM10" s="17"/>
      <c r="AN10" s="286" t="s">
        <v>477</v>
      </c>
      <c r="AO10" s="286"/>
      <c r="AQ10" s="16"/>
      <c r="AR10" s="18"/>
    </row>
    <row r="11" spans="2:49" x14ac:dyDescent="0.3">
      <c r="B11" s="11"/>
      <c r="D11" s="286" t="s">
        <v>185</v>
      </c>
      <c r="E11" s="286"/>
      <c r="F11" s="17"/>
      <c r="G11" s="17"/>
      <c r="H11" s="286" t="s">
        <v>271</v>
      </c>
      <c r="I11" s="286"/>
      <c r="L11" s="287" t="s">
        <v>215</v>
      </c>
      <c r="M11" s="287"/>
      <c r="N11" s="17"/>
      <c r="O11" s="17"/>
      <c r="P11" s="286" t="s">
        <v>82</v>
      </c>
      <c r="Q11" s="286"/>
      <c r="T11" s="286" t="s">
        <v>177</v>
      </c>
      <c r="U11" s="286"/>
      <c r="V11" s="17"/>
      <c r="W11" s="17"/>
      <c r="X11" s="286" t="s">
        <v>141</v>
      </c>
      <c r="Y11" s="286"/>
      <c r="AB11" s="286" t="s">
        <v>157</v>
      </c>
      <c r="AC11" s="286"/>
      <c r="AD11" s="17"/>
      <c r="AE11" s="17"/>
      <c r="AF11" s="286" t="s">
        <v>275</v>
      </c>
      <c r="AG11" s="286"/>
      <c r="AJ11" s="286" t="s">
        <v>371</v>
      </c>
      <c r="AK11" s="286"/>
      <c r="AL11" s="17"/>
      <c r="AM11" s="17"/>
      <c r="AN11" s="286" t="s">
        <v>303</v>
      </c>
      <c r="AO11" s="286"/>
      <c r="AQ11" s="16"/>
    </row>
    <row r="12" spans="2:49" x14ac:dyDescent="0.3">
      <c r="B12" s="11"/>
      <c r="D12" s="286" t="s">
        <v>193</v>
      </c>
      <c r="E12" s="286"/>
      <c r="F12" s="17"/>
      <c r="G12" s="17"/>
      <c r="H12" s="308" t="s">
        <v>272</v>
      </c>
      <c r="I12" s="308"/>
      <c r="L12" s="287" t="s">
        <v>222</v>
      </c>
      <c r="M12" s="287"/>
      <c r="N12" s="17"/>
      <c r="O12" s="17"/>
      <c r="P12" s="286" t="s">
        <v>87</v>
      </c>
      <c r="Q12" s="286"/>
      <c r="T12" s="286" t="s">
        <v>178</v>
      </c>
      <c r="U12" s="286"/>
      <c r="V12" s="17"/>
      <c r="W12" s="17"/>
      <c r="X12" s="286" t="s">
        <v>142</v>
      </c>
      <c r="Y12" s="286"/>
      <c r="AB12" s="286" t="s">
        <v>158</v>
      </c>
      <c r="AC12" s="286"/>
      <c r="AD12" s="17"/>
      <c r="AE12" s="17"/>
      <c r="AF12" s="286" t="s">
        <v>276</v>
      </c>
      <c r="AG12" s="286"/>
      <c r="AJ12" s="286" t="s">
        <v>374</v>
      </c>
      <c r="AK12" s="286"/>
      <c r="AL12" s="17"/>
      <c r="AM12" s="17"/>
      <c r="AN12" s="286" t="s">
        <v>304</v>
      </c>
      <c r="AO12" s="286"/>
      <c r="AQ12" s="16"/>
    </row>
    <row r="13" spans="2:49" x14ac:dyDescent="0.3">
      <c r="B13" s="11"/>
      <c r="D13" s="286" t="s">
        <v>268</v>
      </c>
      <c r="E13" s="286"/>
      <c r="F13" s="17"/>
      <c r="G13" s="17"/>
      <c r="H13" s="308" t="s">
        <v>99</v>
      </c>
      <c r="I13" s="308"/>
      <c r="L13" s="287" t="s">
        <v>225</v>
      </c>
      <c r="M13" s="287"/>
      <c r="N13" s="17"/>
      <c r="O13" s="17"/>
      <c r="P13" s="286" t="s">
        <v>88</v>
      </c>
      <c r="Q13" s="286"/>
      <c r="T13" s="286" t="s">
        <v>129</v>
      </c>
      <c r="U13" s="286"/>
      <c r="V13" s="17"/>
      <c r="W13" s="17"/>
      <c r="X13" s="286" t="s">
        <v>143</v>
      </c>
      <c r="Y13" s="286"/>
      <c r="AB13" s="286" t="s">
        <v>159</v>
      </c>
      <c r="AC13" s="286"/>
      <c r="AD13" s="17"/>
      <c r="AE13" s="17"/>
      <c r="AF13" s="286" t="s">
        <v>277</v>
      </c>
      <c r="AG13" s="286"/>
      <c r="AJ13" s="286" t="s">
        <v>291</v>
      </c>
      <c r="AK13" s="286"/>
      <c r="AL13" s="17"/>
      <c r="AM13" s="17"/>
      <c r="AN13" s="286" t="s">
        <v>305</v>
      </c>
      <c r="AO13" s="286"/>
      <c r="AQ13" s="16"/>
    </row>
    <row r="14" spans="2:49" x14ac:dyDescent="0.3">
      <c r="B14" s="11"/>
      <c r="D14" s="286" t="s">
        <v>192</v>
      </c>
      <c r="E14" s="286"/>
      <c r="F14" s="17"/>
      <c r="G14" s="17"/>
      <c r="H14" s="308" t="s">
        <v>100</v>
      </c>
      <c r="I14" s="308"/>
      <c r="L14" s="287" t="s">
        <v>228</v>
      </c>
      <c r="M14" s="287"/>
      <c r="N14" s="17"/>
      <c r="O14" s="17"/>
      <c r="P14" s="286" t="s">
        <v>89</v>
      </c>
      <c r="Q14" s="286"/>
      <c r="T14" s="286" t="s">
        <v>130</v>
      </c>
      <c r="U14" s="286"/>
      <c r="V14" s="17"/>
      <c r="W14" s="17"/>
      <c r="X14" s="286" t="s">
        <v>144</v>
      </c>
      <c r="Y14" s="286"/>
      <c r="AB14" s="286" t="s">
        <v>160</v>
      </c>
      <c r="AC14" s="286"/>
      <c r="AD14" s="17"/>
      <c r="AE14" s="17"/>
      <c r="AF14" s="286" t="s">
        <v>278</v>
      </c>
      <c r="AG14" s="286"/>
      <c r="AJ14" s="286" t="s">
        <v>292</v>
      </c>
      <c r="AK14" s="286"/>
      <c r="AL14" s="17"/>
      <c r="AM14" s="17"/>
      <c r="AN14" s="286" t="s">
        <v>306</v>
      </c>
      <c r="AO14" s="286"/>
      <c r="AQ14" s="16"/>
    </row>
    <row r="15" spans="2:49" x14ac:dyDescent="0.3">
      <c r="B15" s="11"/>
      <c r="D15" s="286" t="s">
        <v>186</v>
      </c>
      <c r="E15" s="286"/>
      <c r="F15" s="17"/>
      <c r="G15" s="17"/>
      <c r="H15" s="308" t="s">
        <v>101</v>
      </c>
      <c r="I15" s="308"/>
      <c r="L15" s="287" t="s">
        <v>113</v>
      </c>
      <c r="M15" s="287"/>
      <c r="N15" s="17"/>
      <c r="O15" s="17"/>
      <c r="P15" s="286" t="s">
        <v>90</v>
      </c>
      <c r="Q15" s="286"/>
      <c r="T15" s="286" t="s">
        <v>131</v>
      </c>
      <c r="U15" s="286"/>
      <c r="V15" s="17"/>
      <c r="W15" s="17"/>
      <c r="X15" s="286" t="s">
        <v>145</v>
      </c>
      <c r="Y15" s="286"/>
      <c r="AB15" s="286" t="s">
        <v>161</v>
      </c>
      <c r="AC15" s="286"/>
      <c r="AD15" s="17"/>
      <c r="AE15" s="17"/>
      <c r="AF15" s="286" t="s">
        <v>279</v>
      </c>
      <c r="AG15" s="286"/>
      <c r="AJ15" s="286" t="s">
        <v>293</v>
      </c>
      <c r="AK15" s="286"/>
      <c r="AL15" s="17"/>
      <c r="AM15" s="17"/>
      <c r="AN15" s="286" t="s">
        <v>307</v>
      </c>
      <c r="AO15" s="286"/>
      <c r="AQ15" s="16"/>
    </row>
    <row r="16" spans="2:49" x14ac:dyDescent="0.3">
      <c r="B16" s="11"/>
      <c r="D16" s="286" t="s">
        <v>319</v>
      </c>
      <c r="E16" s="286"/>
      <c r="F16" s="17"/>
      <c r="G16" s="17"/>
      <c r="H16" s="308" t="s">
        <v>102</v>
      </c>
      <c r="I16" s="308"/>
      <c r="L16" s="287" t="s">
        <v>114</v>
      </c>
      <c r="M16" s="287"/>
      <c r="N16" s="17"/>
      <c r="O16" s="17"/>
      <c r="P16" s="286" t="s">
        <v>91</v>
      </c>
      <c r="Q16" s="286"/>
      <c r="T16" s="286" t="s">
        <v>132</v>
      </c>
      <c r="U16" s="286"/>
      <c r="V16" s="17"/>
      <c r="W16" s="17"/>
      <c r="X16" s="286" t="s">
        <v>146</v>
      </c>
      <c r="Y16" s="286"/>
      <c r="AB16" s="286" t="s">
        <v>162</v>
      </c>
      <c r="AC16" s="286"/>
      <c r="AD16" s="17"/>
      <c r="AE16" s="17"/>
      <c r="AF16" s="286" t="s">
        <v>280</v>
      </c>
      <c r="AG16" s="286"/>
      <c r="AJ16" s="286" t="s">
        <v>294</v>
      </c>
      <c r="AK16" s="286"/>
      <c r="AL16" s="17"/>
      <c r="AM16" s="17"/>
      <c r="AN16" s="286" t="s">
        <v>308</v>
      </c>
      <c r="AO16" s="286"/>
      <c r="AQ16" s="16"/>
    </row>
    <row r="17" spans="2:43" x14ac:dyDescent="0.3">
      <c r="B17" s="11"/>
      <c r="D17" s="286" t="s">
        <v>191</v>
      </c>
      <c r="E17" s="286"/>
      <c r="F17" s="17"/>
      <c r="G17" s="17"/>
      <c r="H17" s="308" t="s">
        <v>103</v>
      </c>
      <c r="I17" s="308"/>
      <c r="L17" s="287" t="s">
        <v>115</v>
      </c>
      <c r="M17" s="287"/>
      <c r="N17" s="17"/>
      <c r="O17" s="17"/>
      <c r="P17" s="286" t="s">
        <v>92</v>
      </c>
      <c r="Q17" s="286"/>
      <c r="T17" s="286" t="s">
        <v>133</v>
      </c>
      <c r="U17" s="286"/>
      <c r="V17" s="17"/>
      <c r="W17" s="17"/>
      <c r="X17" s="287" t="s">
        <v>147</v>
      </c>
      <c r="Y17" s="287"/>
      <c r="AB17" s="286" t="s">
        <v>163</v>
      </c>
      <c r="AC17" s="286"/>
      <c r="AD17" s="17"/>
      <c r="AE17" s="17"/>
      <c r="AF17" s="286" t="s">
        <v>281</v>
      </c>
      <c r="AG17" s="286"/>
      <c r="AJ17" s="286" t="s">
        <v>295</v>
      </c>
      <c r="AK17" s="286"/>
      <c r="AL17" s="17"/>
      <c r="AM17" s="17"/>
      <c r="AN17" s="286" t="s">
        <v>309</v>
      </c>
      <c r="AO17" s="286"/>
      <c r="AQ17" s="16"/>
    </row>
    <row r="18" spans="2:43" x14ac:dyDescent="0.3">
      <c r="B18" s="11"/>
      <c r="D18" s="286" t="s">
        <v>187</v>
      </c>
      <c r="E18" s="286"/>
      <c r="F18" s="17"/>
      <c r="G18" s="17"/>
      <c r="H18" s="308" t="s">
        <v>104</v>
      </c>
      <c r="I18" s="308"/>
      <c r="L18" s="287" t="s">
        <v>116</v>
      </c>
      <c r="M18" s="287"/>
      <c r="N18" s="17"/>
      <c r="O18" s="17"/>
      <c r="P18" s="286" t="s">
        <v>93</v>
      </c>
      <c r="Q18" s="286"/>
      <c r="T18" s="286" t="s">
        <v>134</v>
      </c>
      <c r="U18" s="286"/>
      <c r="V18" s="17"/>
      <c r="W18" s="17"/>
      <c r="X18" s="287" t="s">
        <v>148</v>
      </c>
      <c r="Y18" s="287"/>
      <c r="AB18" s="286" t="s">
        <v>164</v>
      </c>
      <c r="AC18" s="286"/>
      <c r="AD18" s="17"/>
      <c r="AE18" s="17"/>
      <c r="AF18" s="286" t="s">
        <v>282</v>
      </c>
      <c r="AG18" s="286"/>
      <c r="AJ18" s="286" t="s">
        <v>296</v>
      </c>
      <c r="AK18" s="286"/>
      <c r="AL18" s="17"/>
      <c r="AM18" s="17"/>
      <c r="AN18" s="286" t="s">
        <v>310</v>
      </c>
      <c r="AO18" s="286"/>
      <c r="AQ18" s="16"/>
    </row>
    <row r="19" spans="2:43" x14ac:dyDescent="0.3">
      <c r="B19" s="11"/>
      <c r="D19" s="288"/>
      <c r="E19" s="288"/>
      <c r="F19" s="17"/>
      <c r="G19" s="17"/>
      <c r="H19" s="308" t="s">
        <v>105</v>
      </c>
      <c r="I19" s="308"/>
      <c r="L19" s="288"/>
      <c r="M19" s="288"/>
      <c r="N19" s="17"/>
      <c r="O19" s="17"/>
      <c r="P19" s="286" t="s">
        <v>273</v>
      </c>
      <c r="Q19" s="286"/>
      <c r="T19" s="288"/>
      <c r="U19" s="288"/>
      <c r="V19" s="17"/>
      <c r="W19" s="17"/>
      <c r="X19" s="287" t="s">
        <v>149</v>
      </c>
      <c r="Y19" s="287"/>
      <c r="AB19" s="288"/>
      <c r="AC19" s="288"/>
      <c r="AD19" s="17"/>
      <c r="AE19" s="17"/>
      <c r="AF19" s="286" t="s">
        <v>283</v>
      </c>
      <c r="AG19" s="286"/>
      <c r="AJ19" s="288"/>
      <c r="AK19" s="288"/>
      <c r="AL19" s="17"/>
      <c r="AM19" s="17"/>
      <c r="AN19" s="286" t="s">
        <v>311</v>
      </c>
      <c r="AO19" s="286"/>
      <c r="AQ19" s="16"/>
    </row>
    <row r="20" spans="2:43" x14ac:dyDescent="0.3">
      <c r="B20" s="11"/>
      <c r="D20" s="288"/>
      <c r="E20" s="288"/>
      <c r="F20" s="17"/>
      <c r="G20" s="17"/>
      <c r="H20" s="308" t="s">
        <v>106</v>
      </c>
      <c r="I20" s="308"/>
      <c r="L20" s="288"/>
      <c r="M20" s="288"/>
      <c r="N20" s="17"/>
      <c r="O20" s="17"/>
      <c r="P20" s="286" t="s">
        <v>274</v>
      </c>
      <c r="Q20" s="286"/>
      <c r="T20" s="288"/>
      <c r="U20" s="288"/>
      <c r="V20" s="17"/>
      <c r="W20" s="17"/>
      <c r="X20" s="287" t="s">
        <v>150</v>
      </c>
      <c r="Y20" s="287"/>
      <c r="AB20" s="288"/>
      <c r="AC20" s="288"/>
      <c r="AD20" s="17"/>
      <c r="AE20" s="17"/>
      <c r="AF20" s="286" t="s">
        <v>284</v>
      </c>
      <c r="AG20" s="286"/>
      <c r="AJ20" s="288"/>
      <c r="AK20" s="288"/>
      <c r="AL20" s="17"/>
      <c r="AM20" s="17"/>
      <c r="AN20" s="286" t="s">
        <v>312</v>
      </c>
      <c r="AO20" s="286"/>
      <c r="AP20" s="19"/>
      <c r="AQ20" s="16"/>
    </row>
    <row r="21" spans="2:43" x14ac:dyDescent="0.3">
      <c r="B21" s="11"/>
      <c r="D21" s="286" t="s">
        <v>209</v>
      </c>
      <c r="E21" s="286"/>
      <c r="F21" s="17"/>
      <c r="G21" s="17"/>
      <c r="H21" s="308" t="s">
        <v>107</v>
      </c>
      <c r="I21" s="308"/>
      <c r="L21" s="287" t="s">
        <v>117</v>
      </c>
      <c r="M21" s="287"/>
      <c r="N21" s="17"/>
      <c r="O21" s="17"/>
      <c r="P21" s="286" t="s">
        <v>123</v>
      </c>
      <c r="Q21" s="286"/>
      <c r="T21" s="286" t="s">
        <v>135</v>
      </c>
      <c r="U21" s="286"/>
      <c r="V21" s="17"/>
      <c r="W21" s="17"/>
      <c r="X21" s="286" t="s">
        <v>151</v>
      </c>
      <c r="Y21" s="286"/>
      <c r="AB21" s="286" t="s">
        <v>165</v>
      </c>
      <c r="AC21" s="286"/>
      <c r="AD21" s="17"/>
      <c r="AE21" s="17"/>
      <c r="AF21" s="286" t="s">
        <v>285</v>
      </c>
      <c r="AG21" s="286"/>
      <c r="AJ21" s="286" t="s">
        <v>297</v>
      </c>
      <c r="AK21" s="286"/>
      <c r="AL21" s="17"/>
      <c r="AM21" s="17"/>
      <c r="AN21" s="286" t="s">
        <v>313</v>
      </c>
      <c r="AO21" s="286"/>
      <c r="AQ21" s="16"/>
    </row>
    <row r="22" spans="2:43" x14ac:dyDescent="0.3">
      <c r="B22" s="11"/>
      <c r="D22" s="286" t="s">
        <v>213</v>
      </c>
      <c r="E22" s="286"/>
      <c r="F22" s="17"/>
      <c r="G22" s="17"/>
      <c r="H22" s="308" t="s">
        <v>108</v>
      </c>
      <c r="I22" s="308"/>
      <c r="L22" s="287" t="s">
        <v>118</v>
      </c>
      <c r="M22" s="287"/>
      <c r="N22" s="17"/>
      <c r="O22" s="17"/>
      <c r="P22" s="286" t="s">
        <v>124</v>
      </c>
      <c r="Q22" s="286"/>
      <c r="T22" s="286" t="s">
        <v>136</v>
      </c>
      <c r="U22" s="286"/>
      <c r="V22" s="17"/>
      <c r="W22" s="17"/>
      <c r="X22" s="286" t="s">
        <v>152</v>
      </c>
      <c r="Y22" s="286"/>
      <c r="AB22" s="286" t="s">
        <v>166</v>
      </c>
      <c r="AC22" s="286"/>
      <c r="AD22" s="17"/>
      <c r="AE22" s="17"/>
      <c r="AF22" s="286" t="s">
        <v>286</v>
      </c>
      <c r="AG22" s="286"/>
      <c r="AJ22" s="286" t="s">
        <v>298</v>
      </c>
      <c r="AK22" s="286"/>
      <c r="AL22" s="17"/>
      <c r="AM22" s="17"/>
      <c r="AN22" s="286" t="s">
        <v>314</v>
      </c>
      <c r="AO22" s="286"/>
      <c r="AQ22" s="16"/>
    </row>
    <row r="23" spans="2:43" x14ac:dyDescent="0.3">
      <c r="B23" s="11"/>
      <c r="D23" s="286" t="s">
        <v>270</v>
      </c>
      <c r="E23" s="286"/>
      <c r="F23" s="17"/>
      <c r="G23" s="17"/>
      <c r="H23" s="308" t="s">
        <v>109</v>
      </c>
      <c r="I23" s="308"/>
      <c r="L23" s="287" t="s">
        <v>119</v>
      </c>
      <c r="M23" s="287"/>
      <c r="N23" s="17"/>
      <c r="O23" s="17"/>
      <c r="P23" s="286" t="s">
        <v>125</v>
      </c>
      <c r="Q23" s="286"/>
      <c r="T23" s="286" t="s">
        <v>137</v>
      </c>
      <c r="U23" s="286"/>
      <c r="V23" s="17"/>
      <c r="W23" s="17"/>
      <c r="X23" s="286" t="s">
        <v>153</v>
      </c>
      <c r="Y23" s="286"/>
      <c r="AB23" s="286" t="s">
        <v>167</v>
      </c>
      <c r="AC23" s="286"/>
      <c r="AD23" s="17"/>
      <c r="AE23" s="17"/>
      <c r="AF23" s="286" t="s">
        <v>287</v>
      </c>
      <c r="AG23" s="286"/>
      <c r="AJ23" s="286" t="s">
        <v>299</v>
      </c>
      <c r="AK23" s="286"/>
      <c r="AL23" s="17"/>
      <c r="AM23" s="17"/>
      <c r="AN23" s="286" t="s">
        <v>315</v>
      </c>
      <c r="AO23" s="286"/>
      <c r="AQ23" s="16"/>
    </row>
    <row r="24" spans="2:43" x14ac:dyDescent="0.3">
      <c r="B24" s="11"/>
      <c r="D24" s="286" t="s">
        <v>95</v>
      </c>
      <c r="E24" s="286"/>
      <c r="F24" s="17"/>
      <c r="G24" s="17"/>
      <c r="H24" s="286" t="s">
        <v>110</v>
      </c>
      <c r="I24" s="286"/>
      <c r="L24" s="287" t="s">
        <v>120</v>
      </c>
      <c r="M24" s="287"/>
      <c r="N24" s="17"/>
      <c r="O24" s="17"/>
      <c r="P24" s="286" t="s">
        <v>126</v>
      </c>
      <c r="Q24" s="286"/>
      <c r="T24" s="286" t="s">
        <v>138</v>
      </c>
      <c r="U24" s="286"/>
      <c r="V24" s="17"/>
      <c r="W24" s="17"/>
      <c r="X24" s="286" t="s">
        <v>154</v>
      </c>
      <c r="Y24" s="286"/>
      <c r="AB24" s="286" t="s">
        <v>168</v>
      </c>
      <c r="AC24" s="286"/>
      <c r="AD24" s="17"/>
      <c r="AE24" s="17"/>
      <c r="AF24" s="286" t="s">
        <v>288</v>
      </c>
      <c r="AG24" s="286"/>
      <c r="AJ24" s="286" t="s">
        <v>300</v>
      </c>
      <c r="AK24" s="286"/>
      <c r="AL24" s="17"/>
      <c r="AM24" s="17"/>
      <c r="AN24" s="286" t="s">
        <v>316</v>
      </c>
      <c r="AO24" s="286"/>
      <c r="AQ24" s="16"/>
    </row>
    <row r="25" spans="2:43" x14ac:dyDescent="0.3">
      <c r="B25" s="11"/>
      <c r="D25" s="286" t="s">
        <v>97</v>
      </c>
      <c r="E25" s="286"/>
      <c r="F25" s="17"/>
      <c r="G25" s="17"/>
      <c r="H25" s="286" t="s">
        <v>111</v>
      </c>
      <c r="I25" s="286"/>
      <c r="L25" s="286" t="s">
        <v>121</v>
      </c>
      <c r="M25" s="286"/>
      <c r="N25" s="17"/>
      <c r="O25" s="17"/>
      <c r="P25" s="308" t="s">
        <v>127</v>
      </c>
      <c r="Q25" s="308"/>
      <c r="T25" s="287" t="s">
        <v>139</v>
      </c>
      <c r="U25" s="287"/>
      <c r="V25" s="17"/>
      <c r="W25" s="17"/>
      <c r="X25" s="286" t="s">
        <v>155</v>
      </c>
      <c r="Y25" s="286"/>
      <c r="AB25" s="286" t="s">
        <v>169</v>
      </c>
      <c r="AC25" s="286"/>
      <c r="AD25" s="17"/>
      <c r="AE25" s="17"/>
      <c r="AF25" s="286" t="s">
        <v>289</v>
      </c>
      <c r="AG25" s="286"/>
      <c r="AJ25" s="286" t="s">
        <v>301</v>
      </c>
      <c r="AK25" s="286"/>
      <c r="AL25" s="17"/>
      <c r="AM25" s="17"/>
      <c r="AN25" s="286" t="s">
        <v>317</v>
      </c>
      <c r="AO25" s="286"/>
      <c r="AQ25" s="16"/>
    </row>
    <row r="26" spans="2:43" x14ac:dyDescent="0.3">
      <c r="B26" s="11"/>
      <c r="D26" s="286" t="s">
        <v>98</v>
      </c>
      <c r="E26" s="286"/>
      <c r="F26" s="17"/>
      <c r="G26" s="17"/>
      <c r="H26" s="286" t="s">
        <v>112</v>
      </c>
      <c r="I26" s="286"/>
      <c r="L26" s="286" t="s">
        <v>122</v>
      </c>
      <c r="M26" s="286"/>
      <c r="N26" s="17"/>
      <c r="O26" s="17"/>
      <c r="P26" s="308" t="s">
        <v>128</v>
      </c>
      <c r="Q26" s="308"/>
      <c r="T26" s="287" t="s">
        <v>140</v>
      </c>
      <c r="U26" s="287"/>
      <c r="V26" s="17"/>
      <c r="W26" s="17"/>
      <c r="X26" s="286" t="s">
        <v>156</v>
      </c>
      <c r="Y26" s="286"/>
      <c r="AB26" s="286" t="s">
        <v>170</v>
      </c>
      <c r="AC26" s="286"/>
      <c r="AD26" s="17"/>
      <c r="AE26" s="17"/>
      <c r="AF26" s="286" t="s">
        <v>290</v>
      </c>
      <c r="AG26" s="286"/>
      <c r="AJ26" s="286" t="s">
        <v>302</v>
      </c>
      <c r="AK26" s="286"/>
      <c r="AL26" s="17"/>
      <c r="AM26" s="17"/>
      <c r="AN26" s="286" t="s">
        <v>318</v>
      </c>
      <c r="AO26" s="286"/>
      <c r="AQ26" s="16"/>
    </row>
    <row r="27" spans="2:43" x14ac:dyDescent="0.3">
      <c r="B27" s="7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9"/>
    </row>
    <row r="28" spans="2:43" x14ac:dyDescent="0.3">
      <c r="B28" s="2"/>
      <c r="C28" s="3"/>
      <c r="D28" s="3"/>
      <c r="E28" s="3"/>
      <c r="F28" s="3"/>
      <c r="G28" s="284" t="s">
        <v>558</v>
      </c>
      <c r="H28" s="285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284" t="s">
        <v>559</v>
      </c>
      <c r="X28" s="285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284" t="s">
        <v>560</v>
      </c>
      <c r="AN28" s="285"/>
      <c r="AO28" s="3"/>
      <c r="AP28" s="3"/>
      <c r="AQ28" s="4"/>
    </row>
    <row r="29" spans="2:43" x14ac:dyDescent="0.3">
      <c r="B29" s="11"/>
      <c r="AQ29" s="9"/>
    </row>
    <row r="30" spans="2:43" ht="13.5" customHeight="1" x14ac:dyDescent="0.3">
      <c r="B30" s="281" t="s">
        <v>675</v>
      </c>
      <c r="C30" s="282"/>
      <c r="I30" s="281" t="s">
        <v>676</v>
      </c>
      <c r="J30" s="282"/>
      <c r="K30" s="281" t="s">
        <v>677</v>
      </c>
      <c r="L30" s="282"/>
      <c r="P30" s="281" t="s">
        <v>678</v>
      </c>
      <c r="Q30" s="282"/>
      <c r="T30" s="281" t="s">
        <v>679</v>
      </c>
      <c r="U30" s="282"/>
      <c r="Y30" s="281" t="s">
        <v>680</v>
      </c>
      <c r="Z30" s="282"/>
      <c r="AA30" s="281" t="s">
        <v>681</v>
      </c>
      <c r="AB30" s="282"/>
      <c r="AG30" s="281" t="s">
        <v>682</v>
      </c>
      <c r="AH30" s="282"/>
      <c r="AK30" s="281" t="s">
        <v>683</v>
      </c>
      <c r="AL30" s="282"/>
      <c r="AP30" s="281" t="s">
        <v>684</v>
      </c>
      <c r="AQ30" s="282"/>
    </row>
    <row r="31" spans="2:43" x14ac:dyDescent="0.3"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9"/>
    </row>
    <row r="33" spans="2:11" ht="14.15" customHeight="1" x14ac:dyDescent="0.3">
      <c r="B33" s="306" t="s">
        <v>584</v>
      </c>
      <c r="C33" s="279"/>
      <c r="D33" s="279"/>
      <c r="E33" s="279"/>
      <c r="F33" s="279"/>
    </row>
    <row r="34" spans="2:11" x14ac:dyDescent="0.3">
      <c r="B34" s="279"/>
      <c r="C34" s="279"/>
      <c r="D34" s="279"/>
      <c r="E34" s="279"/>
      <c r="F34" s="279"/>
    </row>
    <row r="35" spans="2:11" x14ac:dyDescent="0.3">
      <c r="B35" s="279"/>
      <c r="C35" s="279"/>
      <c r="D35" s="279"/>
      <c r="E35" s="279"/>
      <c r="F35" s="279"/>
    </row>
    <row r="36" spans="2:11" x14ac:dyDescent="0.3">
      <c r="B36" s="279"/>
      <c r="C36" s="279"/>
      <c r="D36" s="279"/>
      <c r="E36" s="279"/>
      <c r="F36" s="279"/>
      <c r="K36" s="10"/>
    </row>
    <row r="37" spans="2:11" x14ac:dyDescent="0.3">
      <c r="B37" s="280"/>
      <c r="C37" s="280"/>
      <c r="D37" s="280"/>
      <c r="E37" s="280"/>
      <c r="F37" s="280"/>
      <c r="J37" s="18"/>
      <c r="K37" s="10"/>
    </row>
    <row r="38" spans="2:11" x14ac:dyDescent="0.3">
      <c r="B38" s="283" t="s">
        <v>585</v>
      </c>
      <c r="C38" s="283"/>
      <c r="D38" s="283"/>
      <c r="E38" s="283"/>
      <c r="F38" s="20">
        <v>170</v>
      </c>
    </row>
    <row r="39" spans="2:11" x14ac:dyDescent="0.3">
      <c r="B39" s="283" t="s">
        <v>585</v>
      </c>
      <c r="C39" s="283"/>
      <c r="D39" s="283"/>
      <c r="E39" s="283"/>
      <c r="F39" s="20">
        <v>154</v>
      </c>
    </row>
    <row r="40" spans="2:11" x14ac:dyDescent="0.3">
      <c r="B40" s="283" t="s">
        <v>586</v>
      </c>
      <c r="C40" s="283"/>
      <c r="D40" s="283"/>
      <c r="E40" s="283"/>
      <c r="F40" s="21">
        <f>getcolorcount($D$9:$AO$31,G40)/2</f>
        <v>18</v>
      </c>
      <c r="G40" s="22"/>
    </row>
    <row r="41" spans="2:11" x14ac:dyDescent="0.3">
      <c r="B41" s="283" t="s">
        <v>587</v>
      </c>
      <c r="C41" s="283"/>
      <c r="D41" s="283"/>
      <c r="E41" s="283"/>
      <c r="F41" s="21">
        <f>getcolorcount($D$9:$AO$31,G41)/2</f>
        <v>137</v>
      </c>
      <c r="G41" s="23"/>
    </row>
    <row r="42" spans="2:11" x14ac:dyDescent="0.3">
      <c r="B42" s="283" t="s">
        <v>588</v>
      </c>
      <c r="C42" s="283"/>
      <c r="D42" s="283"/>
      <c r="E42" s="283"/>
      <c r="F42" s="21">
        <f>getcolorcount($D$9:$AO$31,G42)/2</f>
        <v>15</v>
      </c>
      <c r="G42" s="24"/>
    </row>
    <row r="43" spans="2:11" x14ac:dyDescent="0.3">
      <c r="B43" s="283" t="s">
        <v>589</v>
      </c>
      <c r="C43" s="283"/>
      <c r="D43" s="283"/>
      <c r="E43" s="283"/>
      <c r="F43" s="21">
        <f>F40+F41</f>
        <v>155</v>
      </c>
    </row>
  </sheetData>
  <mergeCells count="234"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P30:AQ30"/>
    <mergeCell ref="B38:E38"/>
    <mergeCell ref="B39:E39"/>
    <mergeCell ref="B40:E40"/>
    <mergeCell ref="B41:E41"/>
    <mergeCell ref="B42:E42"/>
    <mergeCell ref="B43:E43"/>
    <mergeCell ref="AS1:AS5"/>
    <mergeCell ref="B33:F37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N25:AO25"/>
    <mergeCell ref="D26:E26"/>
    <mergeCell ref="H26:I26"/>
  </mergeCells>
  <phoneticPr fontId="31" type="noConversion"/>
  <pageMargins left="0.7" right="0.7" top="0.75" bottom="0.75" header="0.3" footer="0.3"/>
  <pageSetup paperSize="9" scale="76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6</vt:i4>
      </vt:variant>
    </vt:vector>
  </HeadingPairs>
  <TitlesOfParts>
    <vt:vector size="15" baseType="lpstr">
      <vt:lpstr>机柜上电汇总表</vt:lpstr>
      <vt:lpstr>机柜下电统计表</vt:lpstr>
      <vt:lpstr>机柜上下电时间统计</vt:lpstr>
      <vt:lpstr>202-M1机柜平面图</vt:lpstr>
      <vt:lpstr>201-M2机柜平面图 </vt:lpstr>
      <vt:lpstr>302-M3机柜平面图 </vt:lpstr>
      <vt:lpstr>301-M4机柜平面图</vt:lpstr>
      <vt:lpstr>402-M5机柜平面图</vt:lpstr>
      <vt:lpstr>401-M6机柜平面图</vt:lpstr>
      <vt:lpstr>'202-M1机柜平面图'!颜色</vt:lpstr>
      <vt:lpstr>'301-M4机柜平面图'!颜色</vt:lpstr>
      <vt:lpstr>'302-M3机柜平面图 '!颜色</vt:lpstr>
      <vt:lpstr>'401-M6机柜平面图'!颜色</vt:lpstr>
      <vt:lpstr>'402-M5机柜平面图'!颜色</vt:lpstr>
      <vt:lpstr>颜色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TT SUN</cp:lastModifiedBy>
  <dcterms:created xsi:type="dcterms:W3CDTF">2006-09-16T00:00:00Z</dcterms:created>
  <dcterms:modified xsi:type="dcterms:W3CDTF">2026-09-04T03:14:34Z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4F5B6F79C2B14B368BE584DF93C169A3_12</vt:lpwstr>
  </property>
  <property fmtid="{D5CDD505-2E9C-101B-9397-08002B2CF9AE}" pid="3" name="KSOProductBuildVer">
    <vt:lpwstr>2052-12.1.0.26375</vt:lpwstr>
  </property>
  <property fmtid="{D5CDD505-2E9C-101B-9397-08002B2CF9AE}" pid="4" name="CalculationRule">
    <vt:i4>0</vt:i4>
  </property>
</Properties>
</file>