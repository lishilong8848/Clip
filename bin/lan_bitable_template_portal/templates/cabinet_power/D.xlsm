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ShiJian_Code\pythonProject\上传维保变更设备调整\bin\lan_bitable_template_portal\templates\cabinet_power\"/>
    </mc:Choice>
  </mc:AlternateContent>
  <bookViews>
    <workbookView windowWidth="24750" windowHeight="10030" tabRatio="745"/>
  </bookViews>
  <sheets>
    <sheet name="机柜上电汇总表" sheetId="3" r:id="rId1"/>
    <sheet name="机柜上下电时间统计" sheetId="17" r:id="rId2"/>
    <sheet name="201-M2机柜平面图 " sheetId="4" r:id="rId3"/>
    <sheet name="202-M1机柜平面图" sheetId="10" r:id="rId4"/>
    <sheet name="301-M4机柜平面图" sheetId="16" r:id="rId5"/>
    <sheet name="302-M3机柜平面图 " sheetId="13" r:id="rId6"/>
    <sheet name="401-M6机柜平面图" sheetId="15" r:id="rId7"/>
    <sheet name="402-M5机柜平面图" sheetId="14" r:id="rId8"/>
  </sheets>
  <definedNames>
    <definedName name="_xlnm._FilterDatabase" localSheetId="1" hidden="1">机柜上下电时间统计!$A$1:$J$989</definedName>
    <definedName name="_xlnm._FilterDatabase" localSheetId="2" hidden="1">'201-M2机柜平面图 '!$D$8:$AO$8</definedName>
    <definedName name="_xlnm._FilterDatabase" localSheetId="3" hidden="1">'202-M1机柜平面图'!$D$8:$AO$8</definedName>
    <definedName name="_xlnm._FilterDatabase" localSheetId="4" hidden="1">'301-M4机柜平面图'!$D$8:$AO$8</definedName>
    <definedName name="_xlnm._FilterDatabase" localSheetId="5" hidden="1">'302-M3机柜平面图 '!$D$8:$AO$8</definedName>
    <definedName name="_xlnm._FilterDatabase" localSheetId="6" hidden="1">'401-M6机柜平面图'!$D$8:$AO$8</definedName>
    <definedName name="_xlnm._FilterDatabase" localSheetId="7" hidden="1">'402-M5机柜平面图'!$D$8:$AO$8</definedName>
    <definedName name="颜色" localSheetId="3">'202-M1机柜平面图'!$J$9</definedName>
    <definedName name="颜色" localSheetId="4">'301-M4机柜平面图'!$J$9</definedName>
    <definedName name="颜色" localSheetId="5">'302-M3机柜平面图 '!$J$9</definedName>
    <definedName name="颜色" localSheetId="6">'401-M6机柜平面图'!$J$9</definedName>
    <definedName name="颜色" localSheetId="7">'402-M5机柜平面图'!$J$9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F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此列需手动填写</t>
        </r>
      </text>
    </comment>
    <comment ref="I3" authorId="0">
      <text>
        <r>
          <rPr>
            <b/>
            <sz val="9"/>
            <rFont val="宋体"/>
            <charset val="134"/>
          </rPr>
          <t>汪建波:此列需手动填写</t>
        </r>
      </text>
    </comment>
  </commentList>
</comments>
</file>

<file path=xl/comments2.xml><?xml version="1.0" encoding="utf-8"?>
<comments xmlns="http://schemas.openxmlformats.org/spreadsheetml/2006/main">
  <authors>
    <author>陶必亮</author>
  </authors>
  <commentList>
    <comment ref="M482" author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因自服务安装问题5月17号上电失败，结单邮件于21日发送实际上电时间5月21日</t>
        </r>
      </text>
    </comment>
    <comment ref="S923" author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S940" author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S941" author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M956" author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  <comment ref="S957" authorId="0">
      <text>
        <r>
          <rPr>
            <b/>
            <sz val="9"/>
            <rFont val="宋体"/>
            <charset val="134"/>
          </rPr>
          <t>陶必亮:</t>
        </r>
        <r>
          <rPr>
            <sz val="9"/>
            <rFont val="宋体"/>
            <charset val="134"/>
          </rPr>
          <t xml:space="preserve">
实际3月13号完成，邮件时间错误</t>
        </r>
      </text>
    </comment>
  </commentList>
</comments>
</file>

<file path=xl/sharedStrings.xml><?xml version="1.0" encoding="utf-8"?>
<sst xmlns="http://schemas.openxmlformats.org/spreadsheetml/2006/main" count="8390" uniqueCount="420">
  <si>
    <t>D楼机柜上电情况汇总表</t>
  </si>
  <si>
    <t>机房名称</t>
  </si>
  <si>
    <t>机柜总数</t>
  </si>
  <si>
    <t>已上电</t>
  </si>
  <si>
    <t>未上电</t>
  </si>
  <si>
    <t>其中网络机柜</t>
  </si>
  <si>
    <t>其中服务器机柜</t>
  </si>
  <si>
    <t>网络机柜总数</t>
  </si>
  <si>
    <t>服务器机柜总数</t>
  </si>
  <si>
    <t>202-M1机房</t>
  </si>
  <si>
    <t>201-M2机房</t>
  </si>
  <si>
    <t>302-M3机房</t>
  </si>
  <si>
    <t>301-M4机房</t>
  </si>
  <si>
    <t>402-M5机房</t>
  </si>
  <si>
    <t>401-M6机房</t>
  </si>
  <si>
    <t>总计</t>
  </si>
  <si>
    <r>
      <rPr>
        <b/>
        <sz val="11"/>
        <color theme="1"/>
        <rFont val="宋体"/>
        <charset val="134"/>
        <scheme val="minor"/>
      </rPr>
      <t>D栋202</t>
    </r>
    <r>
      <rPr>
        <b/>
        <sz val="11"/>
        <color theme="1"/>
        <rFont val="宋体"/>
        <charset val="134"/>
        <scheme val="minor"/>
      </rPr>
      <t>4</t>
    </r>
    <r>
      <rPr>
        <b/>
        <sz val="11"/>
        <color theme="1"/>
        <rFont val="宋体"/>
        <charset val="134"/>
        <scheme val="minor"/>
      </rPr>
      <t>年上、下电总数量统计</t>
    </r>
  </si>
  <si>
    <t>序号</t>
  </si>
  <si>
    <t>日期</t>
  </si>
  <si>
    <t>上电数量（个）</t>
  </si>
  <si>
    <t>下电数量（个）</t>
  </si>
  <si>
    <t>现场上电总数量（个）</t>
  </si>
  <si>
    <t>月份</t>
  </si>
  <si>
    <r>
      <rPr>
        <sz val="11"/>
        <color theme="1"/>
        <rFont val="宋体"/>
        <charset val="134"/>
        <scheme val="minor"/>
      </rPr>
      <t>2024.5.1</t>
    </r>
    <r>
      <rPr>
        <sz val="11"/>
        <color theme="1"/>
        <rFont val="宋体"/>
        <charset val="134"/>
        <scheme val="minor"/>
      </rPr>
      <t>7</t>
    </r>
  </si>
  <si>
    <r>
      <rPr>
        <sz val="11"/>
        <color theme="1"/>
        <rFont val="宋体"/>
        <charset val="134"/>
        <scheme val="minor"/>
      </rPr>
      <t>2024.5.1</t>
    </r>
    <r>
      <rPr>
        <sz val="11"/>
        <color theme="1"/>
        <rFont val="宋体"/>
        <charset val="134"/>
        <scheme val="minor"/>
      </rPr>
      <t>8</t>
    </r>
  </si>
  <si>
    <r>
      <rPr>
        <sz val="11"/>
        <color theme="1"/>
        <rFont val="宋体"/>
        <charset val="134"/>
        <scheme val="minor"/>
      </rPr>
      <t>2024.5.</t>
    </r>
    <r>
      <rPr>
        <sz val="11"/>
        <color theme="1"/>
        <rFont val="宋体"/>
        <charset val="134"/>
        <scheme val="minor"/>
      </rPr>
      <t>21</t>
    </r>
  </si>
  <si>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024.6.7</t>
    </r>
  </si>
  <si>
    <t>2024.6.12</t>
  </si>
  <si>
    <t>2024.6.26</t>
  </si>
  <si>
    <t>2024.7.1</t>
  </si>
  <si>
    <t>2024.9.30</t>
  </si>
  <si>
    <t>2024.11.8</t>
  </si>
  <si>
    <t>2024.11.12</t>
  </si>
  <si>
    <t>2024.11.13</t>
  </si>
  <si>
    <t>2024.11.14</t>
  </si>
  <si>
    <t>2024.11.15</t>
  </si>
  <si>
    <t>2024.11.19</t>
  </si>
  <si>
    <t>2024.11.20</t>
  </si>
  <si>
    <t>2024.11.21</t>
  </si>
  <si>
    <t>2024.11.22</t>
  </si>
  <si>
    <t>2024.11.26</t>
  </si>
  <si>
    <t>2024.12.26</t>
  </si>
  <si>
    <t>2024.12.30</t>
  </si>
  <si>
    <r>
      <rPr>
        <sz val="11"/>
        <color theme="1"/>
        <rFont val="宋体"/>
        <charset val="134"/>
        <scheme val="minor"/>
      </rPr>
      <t>202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.2.</t>
    </r>
    <r>
      <rPr>
        <sz val="11"/>
        <color theme="1"/>
        <rFont val="宋体"/>
        <charset val="134"/>
        <scheme val="minor"/>
      </rPr>
      <t>11</t>
    </r>
  </si>
  <si>
    <t>2025.2.18</t>
  </si>
  <si>
    <t>2025.2.25</t>
  </si>
  <si>
    <t>2025.3.13</t>
  </si>
  <si>
    <t>2025.3.26</t>
  </si>
  <si>
    <t>2025.3.31</t>
  </si>
  <si>
    <t>2025.5.17</t>
  </si>
  <si>
    <t>2025.6.4</t>
  </si>
  <si>
    <t>2025.6.11</t>
  </si>
  <si>
    <t>2025.6.25</t>
  </si>
  <si>
    <t>2025.7.21</t>
  </si>
  <si>
    <t>2025.7.22</t>
  </si>
  <si>
    <t>2025.7.30</t>
  </si>
  <si>
    <t>2025.7.31</t>
  </si>
  <si>
    <t>2025.8.18</t>
  </si>
  <si>
    <r>
      <rPr>
        <sz val="11"/>
        <color theme="1"/>
        <rFont val="宋体"/>
        <charset val="134"/>
        <scheme val="minor"/>
      </rPr>
      <t>2025.</t>
    </r>
    <r>
      <rPr>
        <sz val="11"/>
        <color theme="1"/>
        <rFont val="宋体"/>
        <charset val="134"/>
        <scheme val="minor"/>
      </rPr>
      <t>9</t>
    </r>
    <r>
      <rPr>
        <sz val="11"/>
        <color theme="1"/>
        <rFont val="宋体"/>
        <charset val="134"/>
        <scheme val="minor"/>
      </rPr>
      <t>.1</t>
    </r>
    <r>
      <rPr>
        <sz val="11"/>
        <color theme="1"/>
        <rFont val="宋体"/>
        <charset val="134"/>
        <scheme val="minor"/>
      </rPr>
      <t>1</t>
    </r>
  </si>
  <si>
    <r>
      <rPr>
        <sz val="11"/>
        <color theme="1"/>
        <rFont val="宋体"/>
        <charset val="134"/>
        <scheme val="minor"/>
      </rPr>
      <t>2025.11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</si>
  <si>
    <r>
      <rPr>
        <sz val="11"/>
        <color theme="1"/>
        <rFont val="宋体"/>
        <charset val="134"/>
        <scheme val="minor"/>
      </rPr>
      <t>2025.11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28</t>
    </r>
  </si>
  <si>
    <r>
      <rPr>
        <sz val="11"/>
        <color theme="1"/>
        <rFont val="宋体"/>
        <charset val="134"/>
        <scheme val="minor"/>
      </rPr>
      <t>2026.1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14</t>
    </r>
  </si>
  <si>
    <r>
      <rPr>
        <sz val="11"/>
        <color theme="1"/>
        <rFont val="宋体"/>
        <charset val="134"/>
        <scheme val="minor"/>
      </rPr>
      <t>2026.1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22-26</t>
    </r>
  </si>
  <si>
    <r>
      <rPr>
        <sz val="11"/>
        <color theme="1"/>
        <rFont val="宋体"/>
        <charset val="134"/>
        <scheme val="minor"/>
      </rPr>
      <t>2026.1.2</t>
    </r>
    <r>
      <rPr>
        <sz val="11"/>
        <color theme="1"/>
        <rFont val="宋体"/>
        <charset val="134"/>
        <scheme val="minor"/>
      </rPr>
      <t>8</t>
    </r>
  </si>
  <si>
    <r>
      <rPr>
        <sz val="11"/>
        <color theme="1"/>
        <rFont val="宋体"/>
        <charset val="134"/>
        <scheme val="minor"/>
      </rPr>
      <t>2026.1.</t>
    </r>
    <r>
      <rPr>
        <sz val="11"/>
        <color theme="1"/>
        <rFont val="宋体"/>
        <charset val="134"/>
        <scheme val="minor"/>
      </rPr>
      <t>30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</si>
  <si>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6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</si>
  <si>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13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</si>
  <si>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17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</si>
  <si>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19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</si>
  <si>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23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</si>
  <si>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24</t>
    </r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</si>
  <si>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27</t>
    </r>
  </si>
  <si>
    <t>2026.3.30</t>
  </si>
  <si>
    <r>
      <rPr>
        <sz val="11"/>
        <color theme="1"/>
        <rFont val="宋体"/>
        <charset val="134"/>
        <scheme val="minor"/>
      </rPr>
      <t>2026.</t>
    </r>
    <r>
      <rPr>
        <sz val="11"/>
        <color theme="1"/>
        <rFont val="宋体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10</t>
    </r>
  </si>
  <si>
    <r>
      <rPr>
        <sz val="11"/>
        <color theme="1"/>
        <rFont val="宋体"/>
        <charset val="134"/>
        <scheme val="minor"/>
      </rPr>
      <t>2026.5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11</t>
    </r>
  </si>
  <si>
    <r>
      <rPr>
        <sz val="11"/>
        <color theme="1"/>
        <rFont val="宋体"/>
        <charset val="134"/>
        <scheme val="minor"/>
      </rPr>
      <t>2026.6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9</t>
    </r>
  </si>
  <si>
    <r>
      <rPr>
        <sz val="11"/>
        <color theme="1"/>
        <rFont val="宋体"/>
        <charset val="134"/>
        <scheme val="minor"/>
      </rPr>
      <t>2026.6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18</t>
    </r>
  </si>
  <si>
    <r>
      <rPr>
        <sz val="11"/>
        <color theme="1"/>
        <rFont val="宋体"/>
        <charset val="134"/>
        <scheme val="minor"/>
      </rPr>
      <t>2026.7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18</t>
    </r>
  </si>
  <si>
    <r>
      <rPr>
        <sz val="11"/>
        <color theme="1"/>
        <rFont val="宋体"/>
        <charset val="134"/>
        <scheme val="minor"/>
      </rPr>
      <t>2026.8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3</t>
    </r>
  </si>
  <si>
    <r>
      <rPr>
        <sz val="11"/>
        <color theme="1"/>
        <rFont val="宋体"/>
        <charset val="134"/>
        <scheme val="minor"/>
      </rPr>
      <t>2026.8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18</t>
    </r>
  </si>
  <si>
    <r>
      <rPr>
        <sz val="11"/>
        <color theme="1"/>
        <rFont val="宋体"/>
        <charset val="134"/>
        <scheme val="minor"/>
      </rPr>
      <t>2026.9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1</t>
    </r>
  </si>
  <si>
    <r>
      <rPr>
        <sz val="11"/>
        <color theme="1"/>
        <rFont val="宋体"/>
        <charset val="134"/>
        <scheme val="minor"/>
      </rPr>
      <t>2026.9</t>
    </r>
    <r>
      <rPr>
        <sz val="11"/>
        <color theme="1"/>
        <rFont val="宋体"/>
        <charset val="134"/>
        <scheme val="minor"/>
      </rPr>
      <t>.</t>
    </r>
    <r>
      <rPr>
        <sz val="11"/>
        <color theme="1"/>
        <rFont val="宋体"/>
        <charset val="134"/>
        <scheme val="minor"/>
      </rPr>
      <t>2</t>
    </r>
  </si>
  <si>
    <r>
      <rPr>
        <sz val="11"/>
        <color theme="1"/>
        <rFont val="宋体"/>
        <charset val="134"/>
      </rPr>
      <t>序号</t>
    </r>
  </si>
  <si>
    <r>
      <rPr>
        <sz val="11"/>
        <color theme="1"/>
        <rFont val="宋体"/>
        <charset val="134"/>
      </rPr>
      <t>机房</t>
    </r>
  </si>
  <si>
    <r>
      <rPr>
        <sz val="11"/>
        <color theme="1"/>
        <rFont val="宋体"/>
        <charset val="134"/>
      </rPr>
      <t>包间系统名称</t>
    </r>
  </si>
  <si>
    <t>机柜号</t>
  </si>
  <si>
    <r>
      <rPr>
        <sz val="11"/>
        <color theme="1"/>
        <rFont val="宋体"/>
        <charset val="134"/>
      </rPr>
      <t>操作类型</t>
    </r>
  </si>
  <si>
    <t>期望完成时间</t>
  </si>
  <si>
    <r>
      <rPr>
        <sz val="11"/>
        <color theme="1"/>
        <rFont val="宋体"/>
        <charset val="134"/>
      </rPr>
      <t>实际完成时间</t>
    </r>
  </si>
  <si>
    <r>
      <rPr>
        <sz val="11"/>
        <color theme="1"/>
        <rFont val="宋体"/>
        <charset val="134"/>
      </rPr>
      <t>机柜类型</t>
    </r>
  </si>
  <si>
    <r>
      <rPr>
        <sz val="11"/>
        <color theme="1"/>
        <rFont val="宋体"/>
        <charset val="134"/>
      </rPr>
      <t>机柜功率（</t>
    </r>
    <r>
      <rPr>
        <sz val="11"/>
        <color theme="1"/>
        <rFont val="Arial"/>
        <charset val="134"/>
      </rPr>
      <t>W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</si>
  <si>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结果</t>
    </r>
  </si>
  <si>
    <t>操作类型</t>
  </si>
  <si>
    <t>实际完成时间</t>
  </si>
  <si>
    <t>EA118</t>
  </si>
  <si>
    <t>EA118-D2-1</t>
  </si>
  <si>
    <t>A01</t>
  </si>
  <si>
    <r>
      <rPr>
        <sz val="11"/>
        <color theme="1"/>
        <rFont val="宋体"/>
        <charset val="134"/>
      </rPr>
      <t>网络机柜</t>
    </r>
  </si>
  <si>
    <t>A02</t>
  </si>
  <si>
    <t>服务器机柜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</si>
  <si>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</si>
  <si>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</si>
  <si>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</si>
  <si>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</si>
  <si>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</si>
  <si>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</si>
  <si>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</si>
  <si>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</si>
  <si>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</si>
  <si>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</si>
  <si>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</si>
  <si>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</si>
  <si>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</si>
  <si>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</si>
  <si>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B01</t>
  </si>
  <si>
    <t>测试电转正式电</t>
  </si>
  <si>
    <t>成功</t>
  </si>
  <si>
    <t>上测试电</t>
  </si>
  <si>
    <t>B02</t>
  </si>
  <si>
    <t>B03</t>
  </si>
  <si>
    <t>正式电转测试电</t>
  </si>
  <si>
    <t>上正式电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</si>
  <si>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</si>
  <si>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</si>
  <si>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</si>
  <si>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</si>
  <si>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</si>
  <si>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</si>
  <si>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</si>
  <si>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</si>
  <si>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</si>
  <si>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</si>
  <si>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</si>
  <si>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</si>
  <si>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</si>
  <si>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</si>
  <si>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</si>
  <si>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C01</t>
  </si>
  <si>
    <t>下测试电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</si>
  <si>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</si>
  <si>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</si>
  <si>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</si>
  <si>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</si>
  <si>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</si>
  <si>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</si>
  <si>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</si>
  <si>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</si>
  <si>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</si>
  <si>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</si>
  <si>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</si>
  <si>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</si>
  <si>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</si>
  <si>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</si>
  <si>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</si>
  <si>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</si>
  <si>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</si>
  <si>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</si>
  <si>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</si>
  <si>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</si>
  <si>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</si>
  <si>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</si>
  <si>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</si>
  <si>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</si>
  <si>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</si>
  <si>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</si>
  <si>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</si>
  <si>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</si>
  <si>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</si>
  <si>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</si>
  <si>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</si>
  <si>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</si>
  <si>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</si>
  <si>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</si>
  <si>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</si>
  <si>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</si>
  <si>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</si>
  <si>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</si>
  <si>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</si>
  <si>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</si>
  <si>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</si>
  <si>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</si>
  <si>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</si>
  <si>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</si>
  <si>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</si>
  <si>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</si>
  <si>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</si>
  <si>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</si>
  <si>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E16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</si>
  <si>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</si>
  <si>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</si>
  <si>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</si>
  <si>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</si>
  <si>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</si>
  <si>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</si>
  <si>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</si>
  <si>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</si>
  <si>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</si>
  <si>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</si>
  <si>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</si>
  <si>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</si>
  <si>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</si>
  <si>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</si>
  <si>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</si>
  <si>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</si>
  <si>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</si>
  <si>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</si>
  <si>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</si>
  <si>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</si>
  <si>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</si>
  <si>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</si>
  <si>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</si>
  <si>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</si>
  <si>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</si>
  <si>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</si>
  <si>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</si>
  <si>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</si>
  <si>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</si>
  <si>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</si>
  <si>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</si>
  <si>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</si>
  <si>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</si>
  <si>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</si>
  <si>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</si>
  <si>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</si>
  <si>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</si>
  <si>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</si>
  <si>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</si>
  <si>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</si>
  <si>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</si>
  <si>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</si>
  <si>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</si>
  <si>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</si>
  <si>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</si>
  <si>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</si>
  <si>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</si>
  <si>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</si>
  <si>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</si>
  <si>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</si>
  <si>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</si>
  <si>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</si>
  <si>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I01</t>
  </si>
  <si>
    <t>I02</t>
  </si>
  <si>
    <t>I03</t>
  </si>
  <si>
    <t>I04</t>
  </si>
  <si>
    <t>I05</t>
  </si>
  <si>
    <t>I06</t>
  </si>
  <si>
    <t>I07</t>
  </si>
  <si>
    <t>I08</t>
  </si>
  <si>
    <t>I09</t>
  </si>
  <si>
    <t>I10</t>
  </si>
  <si>
    <t>I11</t>
  </si>
  <si>
    <t>I12</t>
  </si>
  <si>
    <t>I13</t>
  </si>
  <si>
    <t>I14</t>
  </si>
  <si>
    <t>I15</t>
  </si>
  <si>
    <t>I16</t>
  </si>
  <si>
    <t>J01</t>
  </si>
  <si>
    <t>J02</t>
  </si>
  <si>
    <t>J03</t>
  </si>
  <si>
    <t>J04</t>
  </si>
  <si>
    <t>J05</t>
  </si>
  <si>
    <t>J06</t>
  </si>
  <si>
    <t>J07</t>
  </si>
  <si>
    <t>J08</t>
  </si>
  <si>
    <t>J09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</si>
  <si>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</si>
  <si>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</si>
  <si>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</si>
  <si>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</si>
  <si>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</si>
  <si>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</si>
  <si>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</si>
  <si>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</si>
  <si>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</si>
  <si>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EA118-D2-2</t>
  </si>
  <si>
    <t>下正式电</t>
  </si>
  <si>
    <t>EA118-D3-1</t>
  </si>
  <si>
    <t>EA118-D3-2</t>
  </si>
  <si>
    <t>EA118-D4-1</t>
  </si>
  <si>
    <t>EA118-D4-2</t>
  </si>
  <si>
    <t>D-212
CRAH-1</t>
  </si>
  <si>
    <t>D-212
CRAH-2</t>
  </si>
  <si>
    <t>D-212
CRAH-3</t>
  </si>
  <si>
    <t>D-212
CRAH-4</t>
  </si>
  <si>
    <t>D-212
CRAH-5</t>
  </si>
  <si>
    <t>D-212
CRAH-6</t>
  </si>
  <si>
    <t>D-212
CRAH-7</t>
  </si>
  <si>
    <t>D-212
CRAH-8</t>
  </si>
  <si>
    <t>D-212
CRAH-9</t>
  </si>
  <si>
    <t>D-212
CRAH-10</t>
  </si>
  <si>
    <t>恒湿机1</t>
  </si>
  <si>
    <t>恒湿机2</t>
  </si>
  <si>
    <t>恒湿机3</t>
  </si>
  <si>
    <t>D-201/M2包间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</si>
  <si>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</si>
  <si>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</si>
  <si>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</si>
  <si>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</si>
  <si>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</si>
  <si>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</si>
  <si>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</si>
  <si>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</si>
  <si>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</si>
  <si>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</si>
  <si>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AC</t>
  </si>
  <si>
    <t>DC</t>
  </si>
  <si>
    <t>GC</t>
  </si>
  <si>
    <t>DH</t>
  </si>
  <si>
    <t>AH</t>
  </si>
  <si>
    <t>JC</t>
  </si>
  <si>
    <t>D-211
CRAH-1</t>
  </si>
  <si>
    <t>D-211
CRAH-2</t>
  </si>
  <si>
    <t>D-211
CRAH-3</t>
  </si>
  <si>
    <t>D-211
CRAH-4</t>
  </si>
  <si>
    <t>D-211
CRAH-5</t>
  </si>
  <si>
    <t>D-211
CRAH-6</t>
  </si>
  <si>
    <t>D-211
CRAH-7</t>
  </si>
  <si>
    <t>D-211
CRAH-8</t>
  </si>
  <si>
    <t>D-211
CRAH-9</t>
  </si>
  <si>
    <t>D-211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</si>
  <si>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</si>
  <si>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</si>
  <si>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</si>
  <si>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</si>
  <si>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D-241
CRAH-1</t>
  </si>
  <si>
    <t>D-241
CRAH-2</t>
  </si>
  <si>
    <t>D-241
CRAH-3</t>
  </si>
  <si>
    <t>D-241
CRAH-4</t>
  </si>
  <si>
    <t>D-241
CRAH-5</t>
  </si>
  <si>
    <t>D-241
CRAH-6</t>
  </si>
  <si>
    <t>D-241
CRAH-7</t>
  </si>
  <si>
    <t>D-241
CRAH-8</t>
  </si>
  <si>
    <t>D-241
CRAH-9</t>
  </si>
  <si>
    <t>D-241
CRAH-10</t>
  </si>
  <si>
    <t>D-202/M1包间</t>
  </si>
  <si>
    <t>D-240
CRAH-1</t>
  </si>
  <si>
    <t>D-240
CRAH-2</t>
  </si>
  <si>
    <t>D-240
CRAH-3</t>
  </si>
  <si>
    <t>D-240
CRAH-4</t>
  </si>
  <si>
    <t>D-240
CRAH-5</t>
  </si>
  <si>
    <t>D-240
CRAH-6</t>
  </si>
  <si>
    <t>D-240
CRAH-7</t>
  </si>
  <si>
    <t>D-240
CRAH-8</t>
  </si>
  <si>
    <t>D-240
CRAH-9</t>
  </si>
  <si>
    <t>D-240
CRAH-10</t>
  </si>
  <si>
    <t>D-312
CRAH-1</t>
  </si>
  <si>
    <t>D-312
CRAH-2</t>
  </si>
  <si>
    <t>D-312
CRAH-3</t>
  </si>
  <si>
    <t>D-312
CRAH-4</t>
  </si>
  <si>
    <t>D-312
CRAH-5</t>
  </si>
  <si>
    <t>D-312
CRAH-6</t>
  </si>
  <si>
    <t>D-312
CRAH-7</t>
  </si>
  <si>
    <t>D-312
CRAH-8</t>
  </si>
  <si>
    <t>D-312
CRAH-9</t>
  </si>
  <si>
    <t>D-312
CRAH-10</t>
  </si>
  <si>
    <t>D-301/M4包间</t>
  </si>
  <si>
    <t>D-311
CRAH-1</t>
  </si>
  <si>
    <t>D-311
CRAH-2</t>
  </si>
  <si>
    <t>D-311
CRAH-3</t>
  </si>
  <si>
    <t>D-311
CRAH-4</t>
  </si>
  <si>
    <t>D-311
CRAH-5</t>
  </si>
  <si>
    <t>D-311
CRAH-6</t>
  </si>
  <si>
    <t>D-311
CRAH-7</t>
  </si>
  <si>
    <t>D-311
CRAH-8</t>
  </si>
  <si>
    <t>D-311
CRAH-9</t>
  </si>
  <si>
    <t>D-311
CRAH-10</t>
  </si>
  <si>
    <t>D-341
CRAH-1</t>
  </si>
  <si>
    <t>D-341
CRAH-2</t>
  </si>
  <si>
    <t>D-341
CRAH-3</t>
  </si>
  <si>
    <t>D-341
CRAH-4</t>
  </si>
  <si>
    <t>D-341
CRAH-5</t>
  </si>
  <si>
    <t>D-341
CRAH-6</t>
  </si>
  <si>
    <t>D-341
CRAH-7</t>
  </si>
  <si>
    <t>D-341
CRAH-8</t>
  </si>
  <si>
    <t>D-341
CRAH-9</t>
  </si>
  <si>
    <t>D-341
CRAH-10</t>
  </si>
  <si>
    <t>D-302/M3包间</t>
  </si>
  <si>
    <t>D-340
CRAH-1</t>
  </si>
  <si>
    <t>D-340
CRAH-2</t>
  </si>
  <si>
    <t>D-340
CRAH-3</t>
  </si>
  <si>
    <t>D-340
CRAH-4</t>
  </si>
  <si>
    <t>D-340
CRAH-5</t>
  </si>
  <si>
    <t>D-340
CRAH-6</t>
  </si>
  <si>
    <t>D-340
CRAH-7</t>
  </si>
  <si>
    <t>D-340
CRAH-8</t>
  </si>
  <si>
    <t>D-340
CRAH-9</t>
  </si>
  <si>
    <t>D-340
CRAH-10</t>
  </si>
  <si>
    <t>数据统计及备注：E楼机房为双DC列头柜</t>
  </si>
  <si>
    <t>D-412
CRAH-1</t>
  </si>
  <si>
    <t>D-412
CRAH-2</t>
  </si>
  <si>
    <t>D-412
CRAH-3</t>
  </si>
  <si>
    <t>D-412
CRAH-4</t>
  </si>
  <si>
    <t>D-412
CRAH-5</t>
  </si>
  <si>
    <t>D-412
CRAH-6</t>
  </si>
  <si>
    <t>D-412
CRAH-7</t>
  </si>
  <si>
    <t>D-412
CRAH-8</t>
  </si>
  <si>
    <t>D-412
CRAH-9</t>
  </si>
  <si>
    <t>D-412
CRAH-10</t>
  </si>
  <si>
    <t>D-401/M6包间</t>
  </si>
  <si>
    <t>D-411
CRAH-1</t>
  </si>
  <si>
    <t>D-411
CRAH-2</t>
  </si>
  <si>
    <t>D-411
CRAH-3</t>
  </si>
  <si>
    <t>D-411
CRAH-4</t>
  </si>
  <si>
    <t>D-411
CRAH-5</t>
  </si>
  <si>
    <t>D-411
CRAH-6</t>
  </si>
  <si>
    <t>D-411
CRAH-7</t>
  </si>
  <si>
    <t>D-411
CRAH-8</t>
  </si>
  <si>
    <t>D-411
CRAH-9</t>
  </si>
  <si>
    <t>D-411
CRAH-10</t>
  </si>
  <si>
    <t>D-441
CRAH-1</t>
  </si>
  <si>
    <t>D-441
CRAH-2</t>
  </si>
  <si>
    <t>D-441
CRAH-3</t>
  </si>
  <si>
    <t>D-441
CRAH-4</t>
  </si>
  <si>
    <t>D-441
CRAH-5</t>
  </si>
  <si>
    <t>D-441
CRAH-6</t>
  </si>
  <si>
    <t>D-441
CRAH-7</t>
  </si>
  <si>
    <t>D-441
CRAH-8</t>
  </si>
  <si>
    <t>D-441
CRAH-9</t>
  </si>
  <si>
    <t>D-441
CRAH-10</t>
  </si>
  <si>
    <t>D-402/M5包间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</si>
</sst>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4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Arial"/>
      <charset val="134"/>
    </font>
    <font>
      <b/>
      <sz val="11"/>
      <color theme="1"/>
      <name val="Arial"/>
      <charset val="134"/>
    </font>
    <font>
      <b/>
      <sz val="11"/>
      <color theme="1"/>
      <name val="宋体"/>
      <charset val="134"/>
      <scheme val="major"/>
    </font>
    <font>
      <sz val="11"/>
      <color theme="1"/>
      <name val="宋体"/>
      <charset val="134"/>
    </font>
    <font>
      <b/>
      <sz val="11"/>
      <color theme="1"/>
      <name val="宋体"/>
      <charset val="134"/>
    </font>
    <font>
      <sz val="11"/>
      <color rgb="FF000000"/>
      <name val="宋体"/>
      <charset val="134"/>
      <scheme val="minor"/>
    </font>
    <font>
      <sz val="11"/>
      <color rgb="FF000000"/>
      <name val="Arial"/>
      <charset val="134"/>
    </font>
    <font>
      <sz val="11"/>
      <color theme="1"/>
      <name val="宋体"/>
      <charset val="134"/>
    </font>
    <font>
      <sz val="11"/>
      <color rgb="FF000000"/>
      <name val="宋体"/>
      <charset val="134"/>
      <scheme val="minor"/>
    </font>
    <font>
      <sz val="11"/>
      <color rgb="FF000000"/>
      <name val="宋体"/>
      <charset val="134"/>
    </font>
    <font>
      <sz val="10"/>
      <color theme="1"/>
      <name val="Arial"/>
      <charset val="134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0" borderId="19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30" fillId="0" borderId="21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11" borderId="22" applyNumberFormat="0" applyAlignment="0" applyProtection="0">
      <alignment vertical="center"/>
    </xf>
    <xf numFmtId="0" fontId="32" fillId="12" borderId="23" applyNumberFormat="0" applyAlignment="0" applyProtection="0">
      <alignment vertical="center"/>
    </xf>
    <xf numFmtId="0" fontId="33" fillId="12" borderId="22" applyNumberFormat="0" applyAlignment="0" applyProtection="0">
      <alignment vertical="center"/>
    </xf>
    <xf numFmtId="0" fontId="34" fillId="13" borderId="24" applyNumberFormat="0" applyAlignment="0" applyProtection="0">
      <alignment vertical="center"/>
    </xf>
    <xf numFmtId="0" fontId="35" fillId="0" borderId="25" applyNumberFormat="0" applyFill="0" applyAlignment="0" applyProtection="0">
      <alignment vertical="center"/>
    </xf>
    <xf numFmtId="0" fontId="36" fillId="0" borderId="26" applyNumberFormat="0" applyFill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0" fillId="0" borderId="0"/>
  </cellStyleXfs>
  <cellXfs count="15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2" xfId="0" applyFont="1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0" fillId="3" borderId="0" xfId="0" applyFill="1"/>
    <xf numFmtId="0" fontId="0" fillId="2" borderId="4" xfId="0" applyFont="1" applyFill="1" applyBorder="1" applyAlignment="1">
      <alignment horizontal="center"/>
    </xf>
    <xf numFmtId="0" fontId="2" fillId="0" borderId="0" xfId="0" applyFont="1" applyFill="1" applyBorder="1"/>
    <xf numFmtId="0" fontId="0" fillId="4" borderId="4" xfId="0" applyFill="1" applyBorder="1" applyAlignment="1">
      <alignment horizontal="center"/>
    </xf>
    <xf numFmtId="0" fontId="0" fillId="5" borderId="0" xfId="0" applyFill="1" applyBorder="1" applyAlignment="1"/>
    <xf numFmtId="0" fontId="0" fillId="6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left" vertical="center" wrapText="1"/>
    </xf>
    <xf numFmtId="0" fontId="0" fillId="6" borderId="4" xfId="0" applyFill="1" applyBorder="1"/>
    <xf numFmtId="0" fontId="0" fillId="0" borderId="4" xfId="0" applyBorder="1" applyAlignment="1">
      <alignment horizontal="center"/>
    </xf>
    <xf numFmtId="0" fontId="2" fillId="2" borderId="4" xfId="0" applyFont="1" applyFill="1" applyBorder="1"/>
    <xf numFmtId="0" fontId="0" fillId="6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7" borderId="12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/>
    </xf>
    <xf numFmtId="0" fontId="0" fillId="2" borderId="0" xfId="0" applyFill="1" applyBorder="1"/>
    <xf numFmtId="0" fontId="6" fillId="2" borderId="4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0" xfId="0" applyFill="1"/>
    <xf numFmtId="0" fontId="0" fillId="0" borderId="4" xfId="0" applyBorder="1" applyAlignment="1"/>
    <xf numFmtId="0" fontId="0" fillId="2" borderId="12" xfId="0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8" fillId="5" borderId="0" xfId="49" applyFont="1" applyFill="1" applyBorder="1" applyAlignment="1">
      <alignment horizontal="center"/>
    </xf>
    <xf numFmtId="0" fontId="8" fillId="3" borderId="0" xfId="49" applyFont="1" applyFill="1" applyBorder="1" applyAlignment="1">
      <alignment horizontal="center"/>
    </xf>
    <xf numFmtId="0" fontId="8" fillId="2" borderId="0" xfId="49" applyFont="1" applyFill="1" applyBorder="1" applyAlignment="1">
      <alignment horizontal="center"/>
    </xf>
    <xf numFmtId="0" fontId="9" fillId="5" borderId="0" xfId="49" applyFont="1" applyFill="1" applyBorder="1" applyAlignment="1">
      <alignment horizontal="center"/>
    </xf>
    <xf numFmtId="0" fontId="10" fillId="5" borderId="0" xfId="49" applyFont="1" applyFill="1" applyBorder="1" applyAlignment="1">
      <alignment horizontal="center"/>
    </xf>
    <xf numFmtId="0" fontId="8" fillId="5" borderId="4" xfId="49" applyFont="1" applyFill="1" applyBorder="1" applyAlignment="1">
      <alignment horizontal="center" vertical="center"/>
    </xf>
    <xf numFmtId="22" fontId="8" fillId="8" borderId="4" xfId="49" applyNumberFormat="1" applyFont="1" applyFill="1" applyBorder="1" applyAlignment="1">
      <alignment horizontal="center" vertical="center" wrapText="1"/>
    </xf>
    <xf numFmtId="0" fontId="8" fillId="8" borderId="4" xfId="49" applyFont="1" applyFill="1" applyBorder="1" applyAlignment="1">
      <alignment horizontal="center" vertical="center" wrapText="1"/>
    </xf>
    <xf numFmtId="0" fontId="11" fillId="8" borderId="4" xfId="49" applyFont="1" applyFill="1" applyBorder="1" applyAlignment="1">
      <alignment horizontal="center" vertical="center" wrapText="1"/>
    </xf>
    <xf numFmtId="22" fontId="8" fillId="3" borderId="4" xfId="49" applyNumberFormat="1" applyFont="1" applyFill="1" applyBorder="1" applyAlignment="1">
      <alignment horizontal="center" vertical="center" wrapText="1"/>
    </xf>
    <xf numFmtId="22" fontId="11" fillId="8" borderId="4" xfId="49" applyNumberFormat="1" applyFont="1" applyFill="1" applyBorder="1" applyAlignment="1">
      <alignment horizontal="center" vertical="center" wrapText="1"/>
    </xf>
    <xf numFmtId="0" fontId="11" fillId="2" borderId="4" xfId="49" applyFont="1" applyFill="1" applyBorder="1" applyAlignment="1">
      <alignment horizontal="center" vertical="center" wrapText="1"/>
    </xf>
    <xf numFmtId="22" fontId="12" fillId="8" borderId="4" xfId="49" applyNumberFormat="1" applyFont="1" applyFill="1" applyBorder="1" applyAlignment="1">
      <alignment horizontal="center" vertical="center" wrapText="1"/>
    </xf>
    <xf numFmtId="22" fontId="10" fillId="8" borderId="4" xfId="49" applyNumberFormat="1" applyFont="1" applyFill="1" applyBorder="1" applyAlignment="1">
      <alignment horizontal="center" vertical="center" wrapText="1"/>
    </xf>
    <xf numFmtId="22" fontId="10" fillId="8" borderId="9" xfId="49" applyNumberFormat="1" applyFont="1" applyFill="1" applyBorder="1" applyAlignment="1">
      <alignment horizontal="center" vertical="center" wrapText="1"/>
    </xf>
    <xf numFmtId="22" fontId="11" fillId="3" borderId="4" xfId="49" applyNumberFormat="1" applyFont="1" applyFill="1" applyBorder="1" applyAlignment="1">
      <alignment horizontal="center" vertical="center" wrapText="1"/>
    </xf>
    <xf numFmtId="22" fontId="8" fillId="5" borderId="4" xfId="49" applyNumberFormat="1" applyFont="1" applyFill="1" applyBorder="1" applyAlignment="1">
      <alignment horizontal="center" vertical="center" wrapText="1"/>
    </xf>
    <xf numFmtId="0" fontId="8" fillId="5" borderId="4" xfId="49" applyFont="1" applyFill="1" applyBorder="1" applyAlignment="1">
      <alignment horizontal="center" vertical="center" wrapText="1"/>
    </xf>
    <xf numFmtId="0" fontId="9" fillId="8" borderId="4" xfId="49" applyFont="1" applyFill="1" applyBorder="1" applyAlignment="1">
      <alignment horizontal="center" vertical="center" wrapText="1"/>
    </xf>
    <xf numFmtId="0" fontId="10" fillId="5" borderId="4" xfId="49" applyFont="1" applyFill="1" applyBorder="1" applyAlignment="1">
      <alignment horizontal="center"/>
    </xf>
    <xf numFmtId="0" fontId="11" fillId="5" borderId="4" xfId="49" applyFont="1" applyFill="1" applyBorder="1" applyAlignment="1">
      <alignment horizontal="center"/>
    </xf>
    <xf numFmtId="0" fontId="8" fillId="5" borderId="4" xfId="49" applyFont="1" applyFill="1" applyBorder="1" applyAlignment="1">
      <alignment horizontal="center"/>
    </xf>
    <xf numFmtId="0" fontId="8" fillId="5" borderId="9" xfId="49" applyFont="1" applyFill="1" applyBorder="1" applyAlignment="1">
      <alignment horizontal="center"/>
    </xf>
    <xf numFmtId="22" fontId="13" fillId="8" borderId="13" xfId="0" applyNumberFormat="1" applyFont="1" applyFill="1" applyBorder="1" applyAlignment="1">
      <alignment horizontal="center" vertical="center" wrapText="1"/>
    </xf>
    <xf numFmtId="0" fontId="14" fillId="8" borderId="14" xfId="0" applyFont="1" applyFill="1" applyBorder="1" applyAlignment="1">
      <alignment horizontal="center" vertical="center" wrapText="1"/>
    </xf>
    <xf numFmtId="0" fontId="8" fillId="3" borderId="4" xfId="49" applyFont="1" applyFill="1" applyBorder="1" applyAlignment="1">
      <alignment horizontal="center"/>
    </xf>
    <xf numFmtId="0" fontId="8" fillId="2" borderId="4" xfId="49" applyFont="1" applyFill="1" applyBorder="1" applyAlignment="1">
      <alignment horizontal="center"/>
    </xf>
    <xf numFmtId="0" fontId="9" fillId="5" borderId="4" xfId="49" applyFont="1" applyFill="1" applyBorder="1" applyAlignment="1">
      <alignment horizontal="center"/>
    </xf>
    <xf numFmtId="22" fontId="8" fillId="5" borderId="4" xfId="49" applyNumberFormat="1" applyFont="1" applyFill="1" applyBorder="1" applyAlignment="1">
      <alignment horizontal="center"/>
    </xf>
    <xf numFmtId="0" fontId="14" fillId="8" borderId="15" xfId="0" applyFont="1" applyFill="1" applyBorder="1" applyAlignment="1">
      <alignment horizontal="center" vertical="center" wrapText="1"/>
    </xf>
    <xf numFmtId="0" fontId="13" fillId="8" borderId="15" xfId="0" applyFont="1" applyFill="1" applyBorder="1" applyAlignment="1">
      <alignment horizontal="center" vertical="center" wrapText="1"/>
    </xf>
    <xf numFmtId="22" fontId="14" fillId="8" borderId="15" xfId="0" applyNumberFormat="1" applyFont="1" applyFill="1" applyBorder="1" applyAlignment="1">
      <alignment horizontal="center" vertical="center" wrapText="1"/>
    </xf>
    <xf numFmtId="0" fontId="13" fillId="8" borderId="15" xfId="0" applyFont="1" applyFill="1" applyBorder="1" applyAlignment="1">
      <alignment horizontal="center" wrapText="1"/>
    </xf>
    <xf numFmtId="22" fontId="14" fillId="8" borderId="15" xfId="0" applyNumberFormat="1" applyFont="1" applyFill="1" applyBorder="1" applyAlignment="1">
      <alignment horizontal="center" wrapText="1"/>
    </xf>
    <xf numFmtId="0" fontId="14" fillId="8" borderId="15" xfId="0" applyFont="1" applyFill="1" applyBorder="1" applyAlignment="1">
      <alignment horizontal="center" wrapText="1"/>
    </xf>
    <xf numFmtId="0" fontId="15" fillId="5" borderId="4" xfId="49" applyFont="1" applyFill="1" applyBorder="1" applyAlignment="1">
      <alignment horizontal="center"/>
    </xf>
    <xf numFmtId="22" fontId="8" fillId="5" borderId="9" xfId="49" applyNumberFormat="1" applyFont="1" applyFill="1" applyBorder="1" applyAlignment="1">
      <alignment horizontal="center"/>
    </xf>
    <xf numFmtId="0" fontId="11" fillId="3" borderId="4" xfId="49" applyFont="1" applyFill="1" applyBorder="1" applyAlignment="1">
      <alignment horizontal="center"/>
    </xf>
    <xf numFmtId="0" fontId="16" fillId="8" borderId="15" xfId="0" applyFont="1" applyFill="1" applyBorder="1" applyAlignment="1">
      <alignment horizontal="center" vertical="center" wrapText="1"/>
    </xf>
    <xf numFmtId="0" fontId="8" fillId="8" borderId="15" xfId="0" applyFont="1" applyFill="1" applyBorder="1" applyAlignment="1">
      <alignment horizontal="center" vertical="center" wrapText="1"/>
    </xf>
    <xf numFmtId="0" fontId="11" fillId="8" borderId="15" xfId="0" applyFont="1" applyFill="1" applyBorder="1" applyAlignment="1">
      <alignment horizontal="center" vertical="center" wrapText="1"/>
    </xf>
    <xf numFmtId="22" fontId="8" fillId="8" borderId="15" xfId="0" applyNumberFormat="1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22" fontId="14" fillId="0" borderId="4" xfId="0" applyNumberFormat="1" applyFont="1" applyBorder="1" applyAlignment="1">
      <alignment horizontal="center" vertical="center"/>
    </xf>
    <xf numFmtId="0" fontId="13" fillId="8" borderId="16" xfId="0" applyFont="1" applyFill="1" applyBorder="1" applyAlignment="1">
      <alignment horizontal="center" vertical="center" wrapText="1"/>
    </xf>
    <xf numFmtId="22" fontId="14" fillId="8" borderId="16" xfId="0" applyNumberFormat="1" applyFont="1" applyFill="1" applyBorder="1" applyAlignment="1">
      <alignment horizontal="center" vertical="center" wrapText="1"/>
    </xf>
    <xf numFmtId="0" fontId="14" fillId="8" borderId="15" xfId="0" applyFont="1" applyFill="1" applyBorder="1" applyAlignment="1">
      <alignment horizontal="center"/>
    </xf>
    <xf numFmtId="22" fontId="14" fillId="8" borderId="15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7" fillId="0" borderId="4" xfId="0" applyFont="1" applyBorder="1" applyAlignment="1">
      <alignment horizontal="center" vertical="top"/>
    </xf>
    <xf numFmtId="22" fontId="14" fillId="0" borderId="4" xfId="0" applyNumberFormat="1" applyFont="1" applyBorder="1" applyAlignment="1">
      <alignment horizontal="center" vertical="top"/>
    </xf>
    <xf numFmtId="0" fontId="8" fillId="8" borderId="17" xfId="49" applyFont="1" applyFill="1" applyBorder="1" applyAlignment="1">
      <alignment horizontal="center" vertical="center" wrapText="1"/>
    </xf>
    <xf numFmtId="0" fontId="8" fillId="5" borderId="17" xfId="49" applyFont="1" applyFill="1" applyBorder="1" applyAlignment="1">
      <alignment horizontal="center"/>
    </xf>
    <xf numFmtId="0" fontId="8" fillId="3" borderId="17" xfId="49" applyFont="1" applyFill="1" applyBorder="1" applyAlignment="1">
      <alignment horizontal="center"/>
    </xf>
    <xf numFmtId="22" fontId="8" fillId="5" borderId="10" xfId="49" applyNumberFormat="1" applyFont="1" applyFill="1" applyBorder="1" applyAlignment="1">
      <alignment horizontal="center" vertical="center" wrapText="1"/>
    </xf>
    <xf numFmtId="22" fontId="8" fillId="5" borderId="17" xfId="49" applyNumberFormat="1" applyFont="1" applyFill="1" applyBorder="1" applyAlignment="1">
      <alignment horizontal="center"/>
    </xf>
    <xf numFmtId="0" fontId="16" fillId="8" borderId="15" xfId="0" applyFont="1" applyFill="1" applyBorder="1" applyAlignment="1">
      <alignment horizontal="center" wrapText="1"/>
    </xf>
    <xf numFmtId="0" fontId="18" fillId="5" borderId="4" xfId="49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20" fillId="9" borderId="9" xfId="0" applyFont="1" applyFill="1" applyBorder="1" applyAlignment="1">
      <alignment horizontal="center" vertical="center"/>
    </xf>
    <xf numFmtId="0" fontId="20" fillId="9" borderId="18" xfId="0" applyFont="1" applyFill="1" applyBorder="1" applyAlignment="1">
      <alignment horizontal="center" vertical="center"/>
    </xf>
    <xf numFmtId="0" fontId="20" fillId="9" borderId="10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/>
    </xf>
    <xf numFmtId="0" fontId="22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 wrapText="1"/>
    </xf>
    <xf numFmtId="14" fontId="0" fillId="0" borderId="4" xfId="0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57" fontId="0" fillId="0" borderId="4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O72"/>
  <sheetViews>
    <sheetView tabSelected="1" workbookViewId="0">
      <selection activeCell="H9" sqref="H9"/>
    </sheetView>
  </sheetViews>
  <sheetFormatPr defaultColWidth="9" defaultRowHeight="14"/>
  <cols>
    <col min="1" max="1" width="11.8909090909091" style="123" customWidth="1"/>
    <col min="2" max="3" width="10.6636363636364" style="123" customWidth="1"/>
    <col min="4" max="4" width="13.5545454545455" style="123" customWidth="1"/>
    <col min="5" max="5" width="14.1090909090909" style="123" customWidth="1"/>
    <col min="6" max="6" width="12.8909090909091" style="123" customWidth="1"/>
    <col min="7" max="7" width="13.7818181818182" style="123" customWidth="1"/>
    <col min="8" max="8" width="16.1090909090909" style="123" customWidth="1"/>
    <col min="9" max="10" width="12.8909090909091" style="123" customWidth="1"/>
    <col min="11" max="11" width="15.1090909090909" style="123" customWidth="1"/>
    <col min="12" max="17" width="13.7818181818182" style="123" customWidth="1"/>
    <col min="18" max="39" width="3.66363636363636" style="123" customWidth="1"/>
    <col min="40" max="16384" width="9" style="123"/>
  </cols>
  <sheetData>
    <row r="1" ht="25.5" spans="1:41">
      <c r="A1" s="124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</row>
    <row r="2" ht="18.6" customHeight="1" spans="1:41">
      <c r="A2" s="126" t="s">
        <v>1</v>
      </c>
      <c r="B2" s="126" t="s">
        <v>2</v>
      </c>
      <c r="C2" s="126" t="s">
        <v>3</v>
      </c>
      <c r="D2" s="126" t="s">
        <v>4</v>
      </c>
      <c r="E2" s="127" t="s">
        <v>5</v>
      </c>
      <c r="F2" s="128"/>
      <c r="G2" s="129"/>
      <c r="H2" s="126" t="s">
        <v>6</v>
      </c>
      <c r="I2" s="126"/>
      <c r="J2" s="126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</row>
    <row r="3" ht="17.1" customHeight="1" spans="1:41">
      <c r="A3" s="126"/>
      <c r="B3" s="126"/>
      <c r="C3" s="126"/>
      <c r="D3" s="126"/>
      <c r="E3" s="126" t="s">
        <v>7</v>
      </c>
      <c r="F3" s="126" t="s">
        <v>3</v>
      </c>
      <c r="G3" s="126" t="s">
        <v>4</v>
      </c>
      <c r="H3" s="129" t="s">
        <v>8</v>
      </c>
      <c r="I3" s="126" t="s">
        <v>3</v>
      </c>
      <c r="J3" s="126" t="s">
        <v>4</v>
      </c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</row>
    <row r="4" ht="21" customHeight="1" spans="1:41">
      <c r="A4" s="130" t="s">
        <v>9</v>
      </c>
      <c r="B4" s="131">
        <v>170</v>
      </c>
      <c r="C4" s="131" t="e">
        <f>'202-M1机柜平面图'!F40</f>
        <v>#NAME?</v>
      </c>
      <c r="D4" s="131" t="e">
        <f>'202-M1机柜平面图'!F41</f>
        <v>#NAME?</v>
      </c>
      <c r="E4" s="131">
        <v>10</v>
      </c>
      <c r="F4" s="132">
        <v>10</v>
      </c>
      <c r="G4" s="133">
        <f t="shared" ref="G4:G9" si="0">E4-F4</f>
        <v>0</v>
      </c>
      <c r="H4" s="134">
        <f>B4-E4</f>
        <v>160</v>
      </c>
      <c r="I4" s="132">
        <v>137</v>
      </c>
      <c r="J4" s="133">
        <f>H4-I4</f>
        <v>23</v>
      </c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</row>
    <row r="5" ht="21" customHeight="1" spans="1:41">
      <c r="A5" s="130" t="s">
        <v>10</v>
      </c>
      <c r="B5" s="131">
        <v>170</v>
      </c>
      <c r="C5" s="131" t="e">
        <f>'201-M2机柜平面图 '!F39</f>
        <v>#NAME?</v>
      </c>
      <c r="D5" s="131" t="e">
        <f>'201-M2机柜平面图 '!F40</f>
        <v>#NAME?</v>
      </c>
      <c r="E5" s="131">
        <v>10</v>
      </c>
      <c r="F5" s="132">
        <v>9</v>
      </c>
      <c r="G5" s="133">
        <f t="shared" si="0"/>
        <v>1</v>
      </c>
      <c r="H5" s="134">
        <f t="shared" ref="H5:H10" si="1">B5-E5</f>
        <v>160</v>
      </c>
      <c r="I5" s="132">
        <v>135</v>
      </c>
      <c r="J5" s="133">
        <f t="shared" ref="J5:J10" si="2">H5-I5</f>
        <v>25</v>
      </c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5"/>
    </row>
    <row r="6" ht="21" customHeight="1" spans="1:41">
      <c r="A6" s="130" t="s">
        <v>11</v>
      </c>
      <c r="B6" s="131">
        <v>154</v>
      </c>
      <c r="C6" s="131" t="e">
        <f>'302-M3机柜平面图 '!F39</f>
        <v>#NAME?</v>
      </c>
      <c r="D6" s="131" t="e">
        <f>'302-M3机柜平面图 '!F40</f>
        <v>#NAME?</v>
      </c>
      <c r="E6" s="131">
        <v>58</v>
      </c>
      <c r="F6" s="135">
        <v>27</v>
      </c>
      <c r="G6" s="133">
        <f t="shared" si="0"/>
        <v>31</v>
      </c>
      <c r="H6" s="134">
        <f t="shared" si="1"/>
        <v>96</v>
      </c>
      <c r="I6" s="135">
        <v>36</v>
      </c>
      <c r="J6" s="133">
        <f t="shared" si="2"/>
        <v>60</v>
      </c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  <c r="AE6" s="125"/>
      <c r="AF6" s="125"/>
      <c r="AG6" s="125"/>
      <c r="AH6" s="125"/>
      <c r="AI6" s="125"/>
      <c r="AJ6" s="125"/>
      <c r="AK6" s="125"/>
      <c r="AL6" s="125"/>
      <c r="AM6" s="125"/>
      <c r="AN6" s="125"/>
      <c r="AO6" s="125"/>
    </row>
    <row r="7" ht="21" customHeight="1" spans="1:41">
      <c r="A7" s="130" t="s">
        <v>12</v>
      </c>
      <c r="B7" s="131">
        <v>154</v>
      </c>
      <c r="C7" s="131" t="e">
        <f>'301-M4机柜平面图'!F39</f>
        <v>#NAME?</v>
      </c>
      <c r="D7" s="131" t="e">
        <f>'301-M4机柜平面图'!F40</f>
        <v>#NAME?</v>
      </c>
      <c r="E7" s="131">
        <v>58</v>
      </c>
      <c r="F7" s="132">
        <v>28</v>
      </c>
      <c r="G7" s="133">
        <f t="shared" si="0"/>
        <v>30</v>
      </c>
      <c r="H7" s="134">
        <f t="shared" si="1"/>
        <v>96</v>
      </c>
      <c r="I7" s="132">
        <v>88</v>
      </c>
      <c r="J7" s="133">
        <f t="shared" si="2"/>
        <v>8</v>
      </c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</row>
    <row r="8" ht="21" customHeight="1" spans="1:41">
      <c r="A8" s="130" t="s">
        <v>13</v>
      </c>
      <c r="B8" s="131">
        <v>170</v>
      </c>
      <c r="C8" s="131" t="e">
        <f>'402-M5机柜平面图'!F39</f>
        <v>#NAME?</v>
      </c>
      <c r="D8" s="131" t="e">
        <f>'402-M5机柜平面图'!F40</f>
        <v>#NAME?</v>
      </c>
      <c r="E8" s="131">
        <v>10</v>
      </c>
      <c r="F8" s="132">
        <v>10</v>
      </c>
      <c r="G8" s="133">
        <f t="shared" si="0"/>
        <v>0</v>
      </c>
      <c r="H8" s="134">
        <f t="shared" si="1"/>
        <v>160</v>
      </c>
      <c r="I8" s="132">
        <v>144</v>
      </c>
      <c r="J8" s="133">
        <f t="shared" si="2"/>
        <v>16</v>
      </c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</row>
    <row r="9" ht="21" customHeight="1" spans="1:41">
      <c r="A9" s="130" t="s">
        <v>14</v>
      </c>
      <c r="B9" s="131">
        <v>170</v>
      </c>
      <c r="C9" s="131" t="e">
        <f>'401-M6机柜平面图'!F39</f>
        <v>#NAME?</v>
      </c>
      <c r="D9" s="131" t="e">
        <f>'401-M6机柜平面图'!F40</f>
        <v>#NAME?</v>
      </c>
      <c r="E9" s="131">
        <v>10</v>
      </c>
      <c r="F9" s="132">
        <v>5</v>
      </c>
      <c r="G9" s="133">
        <f t="shared" si="0"/>
        <v>5</v>
      </c>
      <c r="H9" s="134">
        <f t="shared" si="1"/>
        <v>160</v>
      </c>
      <c r="I9" s="132">
        <v>44</v>
      </c>
      <c r="J9" s="133">
        <f t="shared" si="2"/>
        <v>116</v>
      </c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</row>
    <row r="10" ht="21" customHeight="1" spans="1:41">
      <c r="A10" s="130" t="s">
        <v>15</v>
      </c>
      <c r="B10" s="131">
        <f t="shared" ref="B10:G10" si="3">SUM(B4:B9)</f>
        <v>988</v>
      </c>
      <c r="C10" s="136" t="e">
        <f t="shared" si="3"/>
        <v>#NAME?</v>
      </c>
      <c r="D10" s="137" t="e">
        <f t="shared" si="3"/>
        <v>#NAME?</v>
      </c>
      <c r="E10" s="131">
        <f t="shared" si="3"/>
        <v>156</v>
      </c>
      <c r="F10" s="132">
        <f t="shared" si="3"/>
        <v>89</v>
      </c>
      <c r="G10" s="133">
        <f t="shared" si="3"/>
        <v>67</v>
      </c>
      <c r="H10" s="134">
        <f t="shared" si="1"/>
        <v>832</v>
      </c>
      <c r="I10" s="132">
        <f>SUM(I4:I9)</f>
        <v>584</v>
      </c>
      <c r="J10" s="133">
        <f t="shared" si="2"/>
        <v>248</v>
      </c>
      <c r="K10" s="125">
        <f>F10+I10</f>
        <v>673</v>
      </c>
      <c r="L10" s="125"/>
      <c r="M10" s="125"/>
      <c r="N10" s="125"/>
      <c r="O10" s="125"/>
      <c r="P10" s="125"/>
      <c r="Q10" s="125"/>
      <c r="R10" s="125"/>
      <c r="S10" s="125"/>
      <c r="T10" s="125"/>
      <c r="U10" s="125"/>
      <c r="V10" s="125"/>
      <c r="W10" s="125"/>
      <c r="X10" s="125"/>
      <c r="Y10" s="125"/>
      <c r="Z10" s="125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25"/>
      <c r="AO10" s="125"/>
    </row>
    <row r="11" s="122" customFormat="1" ht="16.2" customHeight="1" spans="1:41">
      <c r="A11" s="125"/>
      <c r="B11" s="125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</row>
    <row r="12" s="122" customFormat="1" ht="35.25" customHeight="1" spans="1:41">
      <c r="A12" s="138" t="s">
        <v>16</v>
      </c>
      <c r="B12" s="138"/>
      <c r="C12" s="138"/>
      <c r="D12" s="138"/>
      <c r="E12" s="138"/>
      <c r="F12" s="125"/>
      <c r="G12" s="139"/>
      <c r="H12" s="139"/>
      <c r="I12" s="139"/>
      <c r="J12" s="139"/>
      <c r="K12" s="125"/>
      <c r="L12" s="125"/>
      <c r="M12" s="139"/>
      <c r="N12" s="139"/>
      <c r="O12" s="139"/>
      <c r="P12" s="139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25"/>
      <c r="AO12" s="125"/>
    </row>
    <row r="13" s="122" customFormat="1" ht="29.1" customHeight="1" spans="1:41">
      <c r="A13" s="140" t="s">
        <v>17</v>
      </c>
      <c r="B13" s="140" t="s">
        <v>18</v>
      </c>
      <c r="C13" s="141" t="s">
        <v>19</v>
      </c>
      <c r="D13" s="141" t="s">
        <v>20</v>
      </c>
      <c r="E13" s="141" t="s">
        <v>21</v>
      </c>
      <c r="F13" s="125"/>
      <c r="G13" s="142" t="s">
        <v>17</v>
      </c>
      <c r="H13" s="142" t="s">
        <v>22</v>
      </c>
      <c r="I13" s="143" t="s">
        <v>19</v>
      </c>
      <c r="J13" s="143" t="s">
        <v>20</v>
      </c>
      <c r="K13" s="143" t="s">
        <v>21</v>
      </c>
      <c r="L13" s="125"/>
      <c r="M13" s="144"/>
      <c r="N13" s="144"/>
      <c r="O13" s="145"/>
      <c r="P13" s="145"/>
      <c r="Q13" s="14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</row>
    <row r="14" s="122" customFormat="1" ht="21" customHeight="1" spans="1:41">
      <c r="A14" s="138">
        <v>1</v>
      </c>
      <c r="B14" s="146" t="s">
        <v>23</v>
      </c>
      <c r="C14" s="133">
        <v>79</v>
      </c>
      <c r="D14" s="147"/>
      <c r="E14" s="133">
        <v>79</v>
      </c>
      <c r="F14" s="125"/>
      <c r="G14" s="148">
        <v>1</v>
      </c>
      <c r="H14" s="149">
        <v>45413</v>
      </c>
      <c r="I14" s="148">
        <f>SUM(C14:C16)</f>
        <v>100</v>
      </c>
      <c r="J14" s="148">
        <v>0</v>
      </c>
      <c r="K14" s="148">
        <f>I14</f>
        <v>100</v>
      </c>
      <c r="L14" s="125"/>
      <c r="M14" s="139"/>
      <c r="N14" s="150"/>
      <c r="O14" s="150"/>
      <c r="P14" s="150"/>
      <c r="Q14" s="150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</row>
    <row r="15" s="122" customFormat="1" ht="21" customHeight="1" spans="1:41">
      <c r="A15" s="138">
        <v>2</v>
      </c>
      <c r="B15" s="146" t="s">
        <v>24</v>
      </c>
      <c r="C15" s="133">
        <v>20</v>
      </c>
      <c r="D15" s="147"/>
      <c r="E15" s="151">
        <v>99</v>
      </c>
      <c r="F15" s="125"/>
      <c r="G15" s="148">
        <v>2</v>
      </c>
      <c r="H15" s="149">
        <v>45444</v>
      </c>
      <c r="I15" s="148">
        <f>SUM(C17:C19)</f>
        <v>81</v>
      </c>
      <c r="J15" s="148">
        <v>0</v>
      </c>
      <c r="K15" s="148">
        <f t="shared" ref="K15:K22" si="4">K14+I15-J15</f>
        <v>181</v>
      </c>
      <c r="L15" s="125"/>
      <c r="M15" s="139"/>
      <c r="N15" s="152"/>
      <c r="O15" s="150"/>
      <c r="P15" s="150"/>
      <c r="Q15" s="150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</row>
    <row r="16" s="122" customFormat="1" ht="21" customHeight="1" spans="1:41">
      <c r="A16" s="138">
        <v>3</v>
      </c>
      <c r="B16" s="146" t="s">
        <v>25</v>
      </c>
      <c r="C16" s="133">
        <v>1</v>
      </c>
      <c r="D16" s="133"/>
      <c r="E16" s="151">
        <v>100</v>
      </c>
      <c r="F16" s="125"/>
      <c r="G16" s="148">
        <v>3</v>
      </c>
      <c r="H16" s="149">
        <v>45474</v>
      </c>
      <c r="I16" s="153">
        <f>C20</f>
        <v>1</v>
      </c>
      <c r="J16" s="153">
        <v>0</v>
      </c>
      <c r="K16" s="148">
        <f t="shared" si="4"/>
        <v>182</v>
      </c>
      <c r="L16" s="125"/>
      <c r="M16" s="139"/>
      <c r="N16" s="152"/>
      <c r="O16" s="125"/>
      <c r="P16" s="125"/>
      <c r="Q16" s="150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</row>
    <row r="17" s="122" customFormat="1" ht="21" customHeight="1" spans="1:41">
      <c r="A17" s="138">
        <v>4</v>
      </c>
      <c r="B17" s="148" t="s">
        <v>26</v>
      </c>
      <c r="C17" s="133">
        <v>50</v>
      </c>
      <c r="D17" s="147"/>
      <c r="E17" s="151">
        <v>150</v>
      </c>
      <c r="F17" s="125"/>
      <c r="G17" s="148">
        <v>4</v>
      </c>
      <c r="H17" s="149">
        <v>45505</v>
      </c>
      <c r="I17" s="153">
        <v>0</v>
      </c>
      <c r="J17" s="153">
        <v>0</v>
      </c>
      <c r="K17" s="148">
        <f t="shared" si="4"/>
        <v>182</v>
      </c>
      <c r="L17" s="125"/>
      <c r="M17" s="139"/>
      <c r="N17" s="152"/>
      <c r="O17" s="125"/>
      <c r="P17" s="154"/>
      <c r="Q17" s="150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25"/>
      <c r="AO17" s="125"/>
    </row>
    <row r="18" s="122" customFormat="1" ht="21" customHeight="1" spans="1:41">
      <c r="A18" s="138">
        <v>5</v>
      </c>
      <c r="B18" s="148" t="s">
        <v>27</v>
      </c>
      <c r="C18" s="133">
        <v>30</v>
      </c>
      <c r="D18" s="147"/>
      <c r="E18" s="151">
        <v>180</v>
      </c>
      <c r="F18" s="125"/>
      <c r="G18" s="148">
        <v>5</v>
      </c>
      <c r="H18" s="149">
        <v>45536</v>
      </c>
      <c r="I18" s="153">
        <f>C21</f>
        <v>2</v>
      </c>
      <c r="J18" s="153">
        <v>0</v>
      </c>
      <c r="K18" s="148">
        <f t="shared" si="4"/>
        <v>184</v>
      </c>
      <c r="L18" s="125"/>
      <c r="M18" s="139"/>
      <c r="N18" s="125"/>
      <c r="O18" s="125"/>
      <c r="P18" s="154"/>
      <c r="Q18" s="150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</row>
    <row r="19" ht="21" customHeight="1" spans="1:41">
      <c r="A19" s="138">
        <v>6</v>
      </c>
      <c r="B19" s="148" t="s">
        <v>28</v>
      </c>
      <c r="C19" s="133">
        <v>1</v>
      </c>
      <c r="D19" s="151"/>
      <c r="E19" s="151">
        <v>181</v>
      </c>
      <c r="F19" s="125"/>
      <c r="G19" s="148">
        <v>6</v>
      </c>
      <c r="H19" s="149">
        <v>45566</v>
      </c>
      <c r="I19" s="153">
        <v>0</v>
      </c>
      <c r="J19" s="153">
        <v>0</v>
      </c>
      <c r="K19" s="148">
        <f t="shared" si="4"/>
        <v>184</v>
      </c>
      <c r="L19" s="125"/>
      <c r="M19" s="139"/>
      <c r="N19" s="125"/>
      <c r="O19" s="125"/>
      <c r="P19" s="150"/>
      <c r="Q19" s="150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</row>
    <row r="20" ht="21" customHeight="1" spans="1:41">
      <c r="A20" s="138">
        <v>7</v>
      </c>
      <c r="B20" s="148" t="s">
        <v>29</v>
      </c>
      <c r="C20" s="133">
        <v>1</v>
      </c>
      <c r="D20" s="151"/>
      <c r="E20" s="151">
        <v>182</v>
      </c>
      <c r="F20" s="125"/>
      <c r="G20" s="148">
        <v>7</v>
      </c>
      <c r="H20" s="149">
        <v>45597</v>
      </c>
      <c r="I20" s="153">
        <f>SUM(C22:C31)</f>
        <v>333</v>
      </c>
      <c r="J20" s="153">
        <f>SUM(D22:D31)</f>
        <v>31</v>
      </c>
      <c r="K20" s="148">
        <f t="shared" si="4"/>
        <v>486</v>
      </c>
      <c r="L20" s="125"/>
      <c r="M20" s="139"/>
      <c r="N20" s="125"/>
      <c r="O20" s="125"/>
      <c r="P20" s="150"/>
      <c r="Q20" s="150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</row>
    <row r="21" ht="21" customHeight="1" spans="1:41">
      <c r="A21" s="138">
        <v>8</v>
      </c>
      <c r="B21" s="148" t="s">
        <v>30</v>
      </c>
      <c r="C21" s="133">
        <v>2</v>
      </c>
      <c r="D21" s="151"/>
      <c r="E21" s="151">
        <v>184</v>
      </c>
      <c r="F21" s="125"/>
      <c r="G21" s="148">
        <v>8</v>
      </c>
      <c r="H21" s="149">
        <v>45627</v>
      </c>
      <c r="I21" s="153">
        <f>SUM(C32:C33)</f>
        <v>0</v>
      </c>
      <c r="J21" s="153">
        <f>SUM(D32:D33)</f>
        <v>245</v>
      </c>
      <c r="K21" s="148">
        <f t="shared" si="4"/>
        <v>241</v>
      </c>
      <c r="L21" s="125"/>
      <c r="M21" s="139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</row>
    <row r="22" ht="21" customHeight="1" spans="1:41">
      <c r="A22" s="138">
        <v>9</v>
      </c>
      <c r="B22" s="148" t="s">
        <v>31</v>
      </c>
      <c r="C22" s="133">
        <v>86</v>
      </c>
      <c r="D22" s="151"/>
      <c r="E22" s="151">
        <f>E21+C22</f>
        <v>270</v>
      </c>
      <c r="F22" s="125"/>
      <c r="G22" s="148">
        <v>9</v>
      </c>
      <c r="H22" s="149">
        <v>45688</v>
      </c>
      <c r="I22" s="151">
        <v>0</v>
      </c>
      <c r="J22" s="151">
        <v>0</v>
      </c>
      <c r="K22" s="148">
        <f t="shared" si="4"/>
        <v>241</v>
      </c>
      <c r="L22" s="125"/>
      <c r="M22" s="139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</row>
    <row r="23" ht="21" customHeight="1" spans="1:41">
      <c r="A23" s="138">
        <v>10</v>
      </c>
      <c r="B23" s="148" t="s">
        <v>32</v>
      </c>
      <c r="C23" s="133">
        <v>52</v>
      </c>
      <c r="D23" s="151"/>
      <c r="E23" s="151">
        <f>E22+C23</f>
        <v>322</v>
      </c>
      <c r="F23" s="125"/>
      <c r="G23" s="148">
        <v>10</v>
      </c>
      <c r="H23" s="149">
        <v>45689</v>
      </c>
      <c r="I23" s="153">
        <f>SUM(C34:C36)</f>
        <v>21</v>
      </c>
      <c r="J23" s="153">
        <f>SUM(D34:D36)</f>
        <v>6</v>
      </c>
      <c r="K23" s="148">
        <f>K21+I23-J23</f>
        <v>256</v>
      </c>
      <c r="L23" s="125"/>
      <c r="M23" s="139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</row>
    <row r="24" ht="21" customHeight="1" spans="1:41">
      <c r="A24" s="138">
        <v>11</v>
      </c>
      <c r="B24" s="148" t="s">
        <v>33</v>
      </c>
      <c r="C24" s="133">
        <v>2</v>
      </c>
      <c r="D24" s="151">
        <v>4</v>
      </c>
      <c r="E24" s="151">
        <f t="shared" ref="E24:E29" si="5">E23+C24-D24</f>
        <v>320</v>
      </c>
      <c r="G24" s="148">
        <v>11</v>
      </c>
      <c r="H24" s="149">
        <v>45717</v>
      </c>
      <c r="I24" s="153">
        <f>SUM(C37:C39)</f>
        <v>10</v>
      </c>
      <c r="J24" s="153">
        <f>SUM(D37:D39)</f>
        <v>4</v>
      </c>
      <c r="K24" s="148">
        <f>K23+I24-J24</f>
        <v>262</v>
      </c>
      <c r="M24" s="139"/>
      <c r="N24" s="125"/>
      <c r="O24" s="150"/>
      <c r="P24" s="150"/>
      <c r="Q24" s="150"/>
    </row>
    <row r="25" ht="21" customHeight="1" spans="1:41">
      <c r="A25" s="138">
        <v>12</v>
      </c>
      <c r="B25" s="148" t="s">
        <v>34</v>
      </c>
      <c r="C25" s="133">
        <v>150</v>
      </c>
      <c r="D25" s="151"/>
      <c r="E25" s="151">
        <f t="shared" si="5"/>
        <v>470</v>
      </c>
      <c r="G25" s="148">
        <v>12</v>
      </c>
      <c r="H25" s="149">
        <v>45749</v>
      </c>
      <c r="I25" s="151">
        <v>0</v>
      </c>
      <c r="J25" s="151">
        <v>0</v>
      </c>
      <c r="K25" s="148">
        <f>K24+I25-J25</f>
        <v>262</v>
      </c>
      <c r="M25" s="139"/>
      <c r="N25" s="125"/>
      <c r="O25" s="150"/>
      <c r="P25" s="150"/>
      <c r="Q25" s="150"/>
    </row>
    <row r="26" ht="21" customHeight="1" spans="1:41">
      <c r="A26" s="138">
        <v>13</v>
      </c>
      <c r="B26" s="148" t="s">
        <v>35</v>
      </c>
      <c r="C26" s="133">
        <v>4</v>
      </c>
      <c r="D26" s="151"/>
      <c r="E26" s="151">
        <f t="shared" si="5"/>
        <v>474</v>
      </c>
      <c r="G26" s="148">
        <v>13</v>
      </c>
      <c r="H26" s="149">
        <v>45808</v>
      </c>
      <c r="I26" s="153">
        <f>SUM(C40:C40)</f>
        <v>9</v>
      </c>
      <c r="J26" s="153">
        <f>SUM(D40:D40)</f>
        <v>0</v>
      </c>
      <c r="K26" s="148">
        <f>K24+I26-J26</f>
        <v>271</v>
      </c>
      <c r="M26" s="139"/>
      <c r="N26" s="152"/>
      <c r="O26" s="150"/>
      <c r="P26" s="150"/>
      <c r="Q26" s="150"/>
    </row>
    <row r="27" ht="21" customHeight="1" spans="1:41">
      <c r="A27" s="138">
        <v>14</v>
      </c>
      <c r="B27" s="148" t="s">
        <v>36</v>
      </c>
      <c r="C27" s="133">
        <v>1</v>
      </c>
      <c r="D27" s="151">
        <v>6</v>
      </c>
      <c r="E27" s="151">
        <f t="shared" si="5"/>
        <v>469</v>
      </c>
      <c r="G27" s="148">
        <v>14</v>
      </c>
      <c r="H27" s="149">
        <v>45838</v>
      </c>
      <c r="I27" s="153">
        <f>SUM(C41:C43)</f>
        <v>12</v>
      </c>
      <c r="J27" s="153">
        <f>SUM(D41:D43)</f>
        <v>2</v>
      </c>
      <c r="K27" s="148">
        <f t="shared" ref="K27:K32" si="6">K26+I27-J27</f>
        <v>281</v>
      </c>
      <c r="M27" s="139"/>
      <c r="N27" s="150"/>
      <c r="O27" s="150"/>
      <c r="P27" s="150"/>
      <c r="Q27" s="150"/>
    </row>
    <row r="28" ht="18.6" customHeight="1" spans="1:41">
      <c r="A28" s="138">
        <v>15</v>
      </c>
      <c r="B28" s="148" t="s">
        <v>37</v>
      </c>
      <c r="C28" s="133">
        <v>26</v>
      </c>
      <c r="D28" s="151">
        <v>1</v>
      </c>
      <c r="E28" s="151">
        <f t="shared" si="5"/>
        <v>494</v>
      </c>
      <c r="G28" s="148">
        <v>15</v>
      </c>
      <c r="H28" s="149">
        <v>45839</v>
      </c>
      <c r="I28" s="153">
        <f>SUM(C44:C47)</f>
        <v>47</v>
      </c>
      <c r="J28" s="153">
        <f>SUM(D44:D47)</f>
        <v>3</v>
      </c>
      <c r="K28" s="148">
        <f t="shared" si="6"/>
        <v>325</v>
      </c>
    </row>
    <row r="29" ht="20.4" customHeight="1" spans="1:41">
      <c r="A29" s="138">
        <v>16</v>
      </c>
      <c r="B29" s="148" t="s">
        <v>38</v>
      </c>
      <c r="C29" s="133">
        <v>5</v>
      </c>
      <c r="D29" s="151"/>
      <c r="E29" s="151">
        <f t="shared" si="5"/>
        <v>499</v>
      </c>
      <c r="G29" s="148">
        <v>16</v>
      </c>
      <c r="H29" s="149">
        <v>45887</v>
      </c>
      <c r="I29" s="153">
        <f t="shared" ref="I29:J31" si="7">SUM(C48:C48)</f>
        <v>2</v>
      </c>
      <c r="J29" s="153">
        <f t="shared" si="7"/>
        <v>0</v>
      </c>
      <c r="K29" s="148">
        <f t="shared" si="6"/>
        <v>327</v>
      </c>
    </row>
    <row r="30" ht="21.6" customHeight="1" spans="1:41">
      <c r="A30" s="138">
        <v>17</v>
      </c>
      <c r="B30" s="148" t="s">
        <v>39</v>
      </c>
      <c r="C30" s="133">
        <v>7</v>
      </c>
      <c r="D30" s="151"/>
      <c r="E30" s="151">
        <f t="shared" ref="E30" si="8">E29+C30-D30</f>
        <v>506</v>
      </c>
      <c r="G30" s="148">
        <v>17</v>
      </c>
      <c r="H30" s="149">
        <v>45901</v>
      </c>
      <c r="I30" s="153">
        <f t="shared" si="7"/>
        <v>8</v>
      </c>
      <c r="J30" s="153">
        <f t="shared" si="7"/>
        <v>0</v>
      </c>
      <c r="K30" s="148">
        <f t="shared" si="6"/>
        <v>335</v>
      </c>
    </row>
    <row r="31" ht="22.2" customHeight="1" spans="1:41">
      <c r="A31" s="138">
        <v>18</v>
      </c>
      <c r="B31" s="148" t="s">
        <v>40</v>
      </c>
      <c r="C31" s="133"/>
      <c r="D31" s="151">
        <v>20</v>
      </c>
      <c r="E31" s="151">
        <f t="shared" ref="E31" si="9">E30+C31-D31</f>
        <v>486</v>
      </c>
      <c r="G31" s="148">
        <v>18</v>
      </c>
      <c r="H31" s="149">
        <v>45962</v>
      </c>
      <c r="I31" s="153">
        <f>SUM(C50:C51)</f>
        <v>4</v>
      </c>
      <c r="J31" s="153">
        <f t="shared" si="7"/>
        <v>2</v>
      </c>
      <c r="K31" s="148">
        <f t="shared" si="6"/>
        <v>337</v>
      </c>
    </row>
    <row r="32" ht="22.2" customHeight="1" spans="1:41">
      <c r="A32" s="138">
        <v>19</v>
      </c>
      <c r="B32" s="148" t="s">
        <v>41</v>
      </c>
      <c r="C32" s="133"/>
      <c r="D32" s="151">
        <v>218</v>
      </c>
      <c r="E32" s="151">
        <f t="shared" ref="E32" si="10">E31+C32-D32</f>
        <v>268</v>
      </c>
      <c r="G32" s="148">
        <v>19</v>
      </c>
      <c r="H32" s="149">
        <v>46053</v>
      </c>
      <c r="I32" s="153">
        <f>SUM(C52:C55)</f>
        <v>114</v>
      </c>
      <c r="J32" s="153">
        <f t="shared" ref="J32:J37" si="11">SUM(D52:D52)</f>
        <v>0</v>
      </c>
      <c r="K32" s="148">
        <f t="shared" si="6"/>
        <v>451</v>
      </c>
    </row>
    <row r="33" ht="22.8" customHeight="1" spans="1:11">
      <c r="A33" s="138">
        <v>20</v>
      </c>
      <c r="B33" s="148" t="s">
        <v>42</v>
      </c>
      <c r="C33" s="133"/>
      <c r="D33" s="151">
        <v>27</v>
      </c>
      <c r="E33" s="151">
        <f t="shared" ref="E33:E38" si="12">E32+C33-D33</f>
        <v>241</v>
      </c>
      <c r="G33" s="148">
        <v>20</v>
      </c>
      <c r="H33" s="149">
        <v>46081</v>
      </c>
      <c r="I33" s="153">
        <f>SUM(C56:C56)</f>
        <v>1</v>
      </c>
      <c r="J33" s="153">
        <f t="shared" si="11"/>
        <v>0</v>
      </c>
      <c r="K33" s="148">
        <f t="shared" ref="K33" si="13">K32+I33-J33</f>
        <v>452</v>
      </c>
    </row>
    <row r="34" ht="25.8" customHeight="1" spans="1:11">
      <c r="A34" s="138">
        <v>21</v>
      </c>
      <c r="B34" s="148" t="s">
        <v>43</v>
      </c>
      <c r="C34" s="133">
        <v>19</v>
      </c>
      <c r="D34" s="151"/>
      <c r="E34" s="151">
        <f t="shared" si="12"/>
        <v>260</v>
      </c>
      <c r="G34" s="148">
        <v>21</v>
      </c>
      <c r="H34" s="149">
        <v>46082</v>
      </c>
      <c r="I34" s="153">
        <f>SUM(C57:C63)</f>
        <v>86</v>
      </c>
      <c r="J34" s="153">
        <f t="shared" si="11"/>
        <v>0</v>
      </c>
      <c r="K34" s="148">
        <f t="shared" ref="K34" si="14">K33+I34-J34</f>
        <v>538</v>
      </c>
    </row>
    <row r="35" ht="23.4" customHeight="1" spans="1:11">
      <c r="A35" s="138">
        <v>22</v>
      </c>
      <c r="B35" s="148" t="s">
        <v>44</v>
      </c>
      <c r="C35" s="133">
        <v>1</v>
      </c>
      <c r="D35" s="151">
        <v>6</v>
      </c>
      <c r="E35" s="151">
        <f t="shared" si="12"/>
        <v>255</v>
      </c>
      <c r="G35" s="148">
        <v>22</v>
      </c>
      <c r="H35" s="149">
        <v>46114</v>
      </c>
      <c r="I35" s="153">
        <f>SUM(C64:C64)</f>
        <v>1</v>
      </c>
      <c r="J35" s="153">
        <f t="shared" si="11"/>
        <v>0</v>
      </c>
      <c r="K35" s="148">
        <f t="shared" ref="K35" si="15">K34+I35-J35</f>
        <v>539</v>
      </c>
    </row>
    <row r="36" ht="23.4" customHeight="1" spans="1:11">
      <c r="A36" s="138">
        <v>23</v>
      </c>
      <c r="B36" s="148" t="s">
        <v>45</v>
      </c>
      <c r="C36" s="133">
        <v>1</v>
      </c>
      <c r="D36" s="151"/>
      <c r="E36" s="151">
        <f t="shared" si="12"/>
        <v>256</v>
      </c>
      <c r="G36" s="148">
        <v>23</v>
      </c>
      <c r="H36" s="149">
        <v>46145</v>
      </c>
      <c r="I36" s="153">
        <f>SUM(C65:C65)</f>
        <v>6</v>
      </c>
      <c r="J36" s="153">
        <f t="shared" si="11"/>
        <v>0</v>
      </c>
      <c r="K36" s="148">
        <f t="shared" ref="K36" si="16">K35+I36-J36</f>
        <v>545</v>
      </c>
    </row>
    <row r="37" ht="23.4" customHeight="1" spans="1:11">
      <c r="A37" s="138">
        <v>24</v>
      </c>
      <c r="B37" s="148" t="s">
        <v>46</v>
      </c>
      <c r="C37" s="133">
        <v>6</v>
      </c>
      <c r="D37" s="151"/>
      <c r="E37" s="151">
        <f t="shared" si="12"/>
        <v>262</v>
      </c>
      <c r="G37" s="148">
        <v>24</v>
      </c>
      <c r="H37" s="149">
        <v>46177</v>
      </c>
      <c r="I37" s="153">
        <f>SUM(C66:C67)</f>
        <v>9</v>
      </c>
      <c r="J37" s="153">
        <f t="shared" si="11"/>
        <v>0</v>
      </c>
      <c r="K37" s="148">
        <f t="shared" ref="K37" si="17">K36+I37-J37</f>
        <v>554</v>
      </c>
    </row>
    <row r="38" ht="23.4" customHeight="1" spans="1:11">
      <c r="A38" s="138">
        <v>25</v>
      </c>
      <c r="B38" s="148" t="s">
        <v>47</v>
      </c>
      <c r="C38" s="133"/>
      <c r="D38" s="151">
        <v>4</v>
      </c>
      <c r="E38" s="151">
        <f t="shared" si="12"/>
        <v>258</v>
      </c>
      <c r="G38" s="148">
        <v>25</v>
      </c>
      <c r="H38" s="149">
        <v>46221</v>
      </c>
      <c r="I38" s="153">
        <f>SUM(C68:C68)</f>
        <v>40</v>
      </c>
      <c r="J38" s="153">
        <f t="shared" ref="J38" si="18">SUM(D58:D58)</f>
        <v>0</v>
      </c>
      <c r="K38" s="148">
        <f t="shared" ref="K38" si="19">K37+I38-J38</f>
        <v>594</v>
      </c>
    </row>
    <row r="39" ht="23.4" customHeight="1" spans="1:11">
      <c r="A39" s="138">
        <v>26</v>
      </c>
      <c r="B39" s="148" t="s">
        <v>48</v>
      </c>
      <c r="C39" s="133">
        <v>4</v>
      </c>
      <c r="D39" s="151"/>
      <c r="E39" s="151">
        <f t="shared" ref="E39" si="20">E38+C39-D39</f>
        <v>262</v>
      </c>
      <c r="G39" s="148">
        <v>26</v>
      </c>
      <c r="H39" s="149">
        <v>46237</v>
      </c>
      <c r="I39" s="153">
        <f>SUM(C69:C70)</f>
        <v>40</v>
      </c>
      <c r="J39" s="153">
        <f t="shared" ref="J39" si="21">SUM(D59:D59)</f>
        <v>0</v>
      </c>
      <c r="K39" s="148">
        <f t="shared" ref="K39" si="22">K38+I39-J39</f>
        <v>634</v>
      </c>
    </row>
    <row r="40" ht="23.4" customHeight="1" spans="1:11">
      <c r="A40" s="138">
        <v>27</v>
      </c>
      <c r="B40" s="148" t="s">
        <v>49</v>
      </c>
      <c r="C40" s="133">
        <v>9</v>
      </c>
      <c r="D40" s="151"/>
      <c r="E40" s="151">
        <f t="shared" ref="E40" si="23">E39+C40-D40</f>
        <v>271</v>
      </c>
      <c r="G40" s="148">
        <v>27</v>
      </c>
      <c r="H40" s="149">
        <v>46269</v>
      </c>
      <c r="I40" s="153">
        <f>SUM(C71:C72)</f>
        <v>39</v>
      </c>
      <c r="J40" s="153">
        <f t="shared" ref="J40" si="24">SUM(D60:D60)</f>
        <v>0</v>
      </c>
      <c r="K40" s="148">
        <f t="shared" ref="K40" si="25">K39+I40-J40</f>
        <v>673</v>
      </c>
    </row>
    <row r="41" ht="23.4" customHeight="1" spans="1:11">
      <c r="A41" s="138">
        <v>28</v>
      </c>
      <c r="B41" s="148" t="s">
        <v>50</v>
      </c>
      <c r="C41" s="133">
        <v>10</v>
      </c>
      <c r="D41" s="151">
        <v>1</v>
      </c>
      <c r="E41" s="151">
        <f t="shared" ref="E41" si="26">E40+C41-D41</f>
        <v>280</v>
      </c>
    </row>
    <row r="42" ht="24.6" customHeight="1" spans="1:11">
      <c r="A42" s="138">
        <v>29</v>
      </c>
      <c r="B42" s="148" t="s">
        <v>51</v>
      </c>
      <c r="C42" s="133"/>
      <c r="D42" s="151">
        <v>1</v>
      </c>
      <c r="E42" s="151">
        <f t="shared" ref="E42:E43" si="27">E41+C42-D42</f>
        <v>279</v>
      </c>
    </row>
    <row r="43" ht="22.8" customHeight="1" spans="1:11">
      <c r="A43" s="138">
        <v>30</v>
      </c>
      <c r="B43" s="148" t="s">
        <v>52</v>
      </c>
      <c r="C43" s="133">
        <v>2</v>
      </c>
      <c r="D43" s="151"/>
      <c r="E43" s="151">
        <f t="shared" si="27"/>
        <v>281</v>
      </c>
    </row>
    <row r="44" ht="22.8" customHeight="1" spans="1:11">
      <c r="A44" s="138">
        <v>31</v>
      </c>
      <c r="B44" s="148" t="s">
        <v>53</v>
      </c>
      <c r="C44" s="133">
        <v>8</v>
      </c>
      <c r="D44" s="151"/>
      <c r="E44" s="151">
        <f t="shared" ref="E44" si="28">E43+C44-D44</f>
        <v>289</v>
      </c>
    </row>
    <row r="45" spans="1:11">
      <c r="A45" s="138">
        <v>32</v>
      </c>
      <c r="B45" s="148" t="s">
        <v>54</v>
      </c>
      <c r="C45" s="133"/>
      <c r="D45" s="151">
        <v>3</v>
      </c>
      <c r="E45" s="151">
        <f t="shared" ref="E45" si="29">E44+C45-D45</f>
        <v>286</v>
      </c>
    </row>
    <row r="46" spans="1:11">
      <c r="A46" s="138">
        <v>33</v>
      </c>
      <c r="B46" s="148" t="s">
        <v>55</v>
      </c>
      <c r="C46" s="133">
        <v>38</v>
      </c>
      <c r="D46" s="151"/>
      <c r="E46" s="151">
        <f t="shared" ref="E46" si="30">E45+C46-D46</f>
        <v>324</v>
      </c>
    </row>
    <row r="47" spans="1:11">
      <c r="A47" s="138">
        <v>34</v>
      </c>
      <c r="B47" s="148" t="s">
        <v>56</v>
      </c>
      <c r="C47" s="133">
        <v>1</v>
      </c>
      <c r="D47" s="151"/>
      <c r="E47" s="151">
        <f t="shared" ref="E47" si="31">E46+C47-D47</f>
        <v>325</v>
      </c>
    </row>
    <row r="48" spans="1:11">
      <c r="A48" s="138">
        <v>35</v>
      </c>
      <c r="B48" s="148" t="s">
        <v>57</v>
      </c>
      <c r="C48" s="133">
        <v>2</v>
      </c>
      <c r="D48" s="151"/>
      <c r="E48" s="151">
        <f t="shared" ref="E48" si="32">E47+C48-D48</f>
        <v>327</v>
      </c>
    </row>
    <row r="49" spans="1:5">
      <c r="A49" s="138">
        <v>36</v>
      </c>
      <c r="B49" s="148" t="s">
        <v>58</v>
      </c>
      <c r="C49" s="133">
        <v>8</v>
      </c>
      <c r="D49" s="151"/>
      <c r="E49" s="151">
        <f t="shared" ref="E49" si="33">E48+C49-D49</f>
        <v>335</v>
      </c>
    </row>
    <row r="50" spans="1:5">
      <c r="A50" s="138">
        <v>37</v>
      </c>
      <c r="B50" s="148" t="s">
        <v>59</v>
      </c>
      <c r="C50" s="133"/>
      <c r="D50" s="151">
        <v>2</v>
      </c>
      <c r="E50" s="151">
        <f t="shared" ref="E50" si="34">E49+C50-D50</f>
        <v>333</v>
      </c>
    </row>
    <row r="51" spans="1:5">
      <c r="A51" s="138">
        <v>38</v>
      </c>
      <c r="B51" s="148" t="s">
        <v>60</v>
      </c>
      <c r="C51" s="133">
        <v>4</v>
      </c>
      <c r="D51" s="151"/>
      <c r="E51" s="151">
        <f t="shared" ref="E51" si="35">E50+C51-D51</f>
        <v>337</v>
      </c>
    </row>
    <row r="52" spans="1:5">
      <c r="A52" s="138">
        <v>39</v>
      </c>
      <c r="B52" s="148" t="s">
        <v>61</v>
      </c>
      <c r="C52" s="133">
        <v>10</v>
      </c>
      <c r="D52" s="151"/>
      <c r="E52" s="151">
        <f t="shared" ref="E52" si="36">E51+C52-D52</f>
        <v>347</v>
      </c>
    </row>
    <row r="53" spans="1:5">
      <c r="A53" s="138">
        <v>40</v>
      </c>
      <c r="B53" s="148" t="s">
        <v>62</v>
      </c>
      <c r="C53" s="133">
        <v>70</v>
      </c>
      <c r="D53" s="151"/>
      <c r="E53" s="151">
        <f t="shared" ref="E53" si="37">E52+C53-D53</f>
        <v>417</v>
      </c>
    </row>
    <row r="54" spans="1:5">
      <c r="A54" s="138">
        <v>41</v>
      </c>
      <c r="B54" s="148" t="s">
        <v>63</v>
      </c>
      <c r="C54" s="133">
        <v>33</v>
      </c>
      <c r="D54" s="151"/>
      <c r="E54" s="151">
        <f t="shared" ref="E54" si="38">E53+C54-D54</f>
        <v>450</v>
      </c>
    </row>
    <row r="55" spans="1:5">
      <c r="A55" s="138">
        <v>42</v>
      </c>
      <c r="B55" s="148" t="s">
        <v>64</v>
      </c>
      <c r="C55" s="133">
        <v>1</v>
      </c>
      <c r="D55" s="151"/>
      <c r="E55" s="151">
        <f t="shared" ref="E55" si="39">E54+C55-D55</f>
        <v>451</v>
      </c>
    </row>
    <row r="56" spans="1:5">
      <c r="A56" s="138">
        <v>43</v>
      </c>
      <c r="B56" s="148" t="s">
        <v>65</v>
      </c>
      <c r="C56" s="133">
        <v>1</v>
      </c>
      <c r="D56" s="151"/>
      <c r="E56" s="151">
        <f t="shared" ref="E56" si="40">E55+C56-D56</f>
        <v>452</v>
      </c>
    </row>
    <row r="57" spans="1:5">
      <c r="A57" s="138">
        <v>44</v>
      </c>
      <c r="B57" s="148" t="s">
        <v>66</v>
      </c>
      <c r="C57" s="133">
        <v>51</v>
      </c>
      <c r="D57" s="151"/>
      <c r="E57" s="151">
        <f t="shared" ref="E57" si="41">E56+C57-D57</f>
        <v>503</v>
      </c>
    </row>
    <row r="58" spans="1:5">
      <c r="A58" s="138">
        <v>45</v>
      </c>
      <c r="B58" s="148" t="s">
        <v>67</v>
      </c>
      <c r="C58" s="133">
        <v>1</v>
      </c>
      <c r="D58" s="151"/>
      <c r="E58" s="151">
        <f t="shared" ref="E58" si="42">E57+C58-D58</f>
        <v>504</v>
      </c>
    </row>
    <row r="59" spans="1:5">
      <c r="A59" s="138">
        <v>46</v>
      </c>
      <c r="B59" s="148" t="s">
        <v>68</v>
      </c>
      <c r="C59" s="133">
        <v>3</v>
      </c>
      <c r="D59" s="151"/>
      <c r="E59" s="151">
        <f t="shared" ref="E59" si="43">E58+C59-D59</f>
        <v>507</v>
      </c>
    </row>
    <row r="60" spans="1:5">
      <c r="A60" s="138">
        <v>47</v>
      </c>
      <c r="B60" s="148" t="s">
        <v>69</v>
      </c>
      <c r="C60" s="133">
        <v>19</v>
      </c>
      <c r="D60" s="151"/>
      <c r="E60" s="151">
        <f t="shared" ref="E60:E61" si="44">E59+C60-D60</f>
        <v>526</v>
      </c>
    </row>
    <row r="61" spans="1:5">
      <c r="A61" s="138">
        <v>48</v>
      </c>
      <c r="B61" s="148" t="s">
        <v>70</v>
      </c>
      <c r="C61" s="133">
        <v>4</v>
      </c>
      <c r="D61" s="151"/>
      <c r="E61" s="151">
        <f t="shared" si="44"/>
        <v>530</v>
      </c>
    </row>
    <row r="62" spans="1:5">
      <c r="A62" s="138">
        <v>49</v>
      </c>
      <c r="B62" s="148" t="s">
        <v>71</v>
      </c>
      <c r="C62" s="133">
        <v>6</v>
      </c>
      <c r="D62" s="151"/>
      <c r="E62" s="151">
        <f t="shared" ref="E62" si="45">E61+C62-D62</f>
        <v>536</v>
      </c>
    </row>
    <row r="63" spans="1:5">
      <c r="A63" s="138">
        <v>50</v>
      </c>
      <c r="B63" s="148" t="s">
        <v>72</v>
      </c>
      <c r="C63" s="133">
        <v>2</v>
      </c>
      <c r="D63" s="151"/>
      <c r="E63" s="151">
        <f t="shared" ref="E63:E68" si="46">E62+C63-D63</f>
        <v>538</v>
      </c>
    </row>
    <row r="64" spans="1:5">
      <c r="A64" s="138">
        <v>51</v>
      </c>
      <c r="B64" s="155" t="s">
        <v>73</v>
      </c>
      <c r="C64" s="133">
        <v>1</v>
      </c>
      <c r="D64" s="151"/>
      <c r="E64" s="151">
        <f t="shared" si="46"/>
        <v>539</v>
      </c>
    </row>
    <row r="65" spans="1:5">
      <c r="A65" s="138">
        <v>52</v>
      </c>
      <c r="B65" s="155" t="s">
        <v>74</v>
      </c>
      <c r="C65" s="133">
        <v>6</v>
      </c>
      <c r="D65" s="151"/>
      <c r="E65" s="151">
        <f t="shared" si="46"/>
        <v>545</v>
      </c>
    </row>
    <row r="66" spans="1:5">
      <c r="A66" s="138">
        <v>53</v>
      </c>
      <c r="B66" s="155" t="s">
        <v>75</v>
      </c>
      <c r="C66" s="133">
        <v>1</v>
      </c>
      <c r="D66" s="151"/>
      <c r="E66" s="151">
        <f t="shared" si="46"/>
        <v>546</v>
      </c>
    </row>
    <row r="67" spans="1:5">
      <c r="A67" s="138">
        <v>54</v>
      </c>
      <c r="B67" s="155" t="s">
        <v>76</v>
      </c>
      <c r="C67" s="133">
        <v>8</v>
      </c>
      <c r="D67" s="151"/>
      <c r="E67" s="151">
        <f t="shared" si="46"/>
        <v>554</v>
      </c>
    </row>
    <row r="68" spans="1:5">
      <c r="A68" s="138">
        <v>55</v>
      </c>
      <c r="B68" s="155" t="s">
        <v>77</v>
      </c>
      <c r="C68" s="133">
        <v>40</v>
      </c>
      <c r="D68" s="151"/>
      <c r="E68" s="151">
        <f t="shared" si="46"/>
        <v>594</v>
      </c>
    </row>
    <row r="69" spans="1:5">
      <c r="A69" s="138">
        <v>56</v>
      </c>
      <c r="B69" s="155" t="s">
        <v>78</v>
      </c>
      <c r="C69" s="133">
        <v>20</v>
      </c>
      <c r="D69" s="151"/>
      <c r="E69" s="151">
        <f t="shared" ref="E69" si="47">E68+C69-D69</f>
        <v>614</v>
      </c>
    </row>
    <row r="70" spans="1:5">
      <c r="A70" s="138">
        <v>57</v>
      </c>
      <c r="B70" s="155" t="s">
        <v>79</v>
      </c>
      <c r="C70" s="133">
        <v>20</v>
      </c>
      <c r="D70" s="151"/>
      <c r="E70" s="151">
        <f t="shared" ref="E70" si="48">E69+C70-D70</f>
        <v>634</v>
      </c>
    </row>
    <row r="71" spans="1:5">
      <c r="A71" s="138">
        <v>58</v>
      </c>
      <c r="B71" s="155" t="s">
        <v>80</v>
      </c>
      <c r="C71" s="133">
        <v>37</v>
      </c>
      <c r="D71" s="151"/>
      <c r="E71" s="151">
        <f t="shared" ref="E71" si="49">E70+C71-D71</f>
        <v>671</v>
      </c>
    </row>
    <row r="72" spans="1:5">
      <c r="A72" s="138">
        <v>59</v>
      </c>
      <c r="B72" s="155" t="s">
        <v>81</v>
      </c>
      <c r="C72" s="133">
        <v>2</v>
      </c>
      <c r="D72" s="151"/>
      <c r="E72" s="151">
        <f t="shared" ref="E72" si="50">E71+C72-D72</f>
        <v>673</v>
      </c>
    </row>
  </sheetData>
  <mergeCells count="10">
    <mergeCell ref="A1:J1"/>
    <mergeCell ref="E2:G2"/>
    <mergeCell ref="H2:J2"/>
    <mergeCell ref="A12:E12"/>
    <mergeCell ref="G12:J12"/>
    <mergeCell ref="M12:P12"/>
    <mergeCell ref="A2:A3"/>
    <mergeCell ref="B2:B3"/>
    <mergeCell ref="C2:C3"/>
    <mergeCell ref="D2:D3"/>
  </mergeCell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E989"/>
  <sheetViews>
    <sheetView zoomScale="70" zoomScaleNormal="70" workbookViewId="0">
      <pane ySplit="1" topLeftCell="A923" activePane="bottomLeft" state="frozen"/>
      <selection/>
      <selection pane="bottomLeft" activeCell="XDT10" sqref="XDT10"/>
    </sheetView>
  </sheetViews>
  <sheetFormatPr defaultColWidth="8.78181818181818" defaultRowHeight="14"/>
  <cols>
    <col min="1" max="1" width="5.66363636363636" style="63" customWidth="1"/>
    <col min="2" max="2" width="8.78181818181818" style="63"/>
    <col min="3" max="3" width="12.3363636363636" style="63" customWidth="1"/>
    <col min="4" max="4" width="8.89090909090909" style="63" customWidth="1"/>
    <col min="5" max="5" width="17.1090909090909" style="64" customWidth="1"/>
    <col min="6" max="6" width="18.1090909090909" style="63" customWidth="1"/>
    <col min="7" max="7" width="19" style="63" customWidth="1"/>
    <col min="8" max="8" width="15.2181818181818" style="63" customWidth="1"/>
    <col min="9" max="9" width="8.10909090909091" style="63" customWidth="1"/>
    <col min="10" max="10" width="8.78181818181818" style="63"/>
    <col min="11" max="11" width="17" style="65" customWidth="1"/>
    <col min="12" max="12" width="18.8909090909091" style="66" customWidth="1"/>
    <col min="13" max="13" width="20.3363636363636" style="67" customWidth="1"/>
    <col min="14" max="14" width="15.3363636363636" style="63" customWidth="1"/>
    <col min="15" max="15" width="18.4454545454545" style="63" customWidth="1"/>
    <col min="16" max="16" width="16.7818181818182" style="63" customWidth="1"/>
    <col min="17" max="22" width="17.7818181818182" style="63" customWidth="1"/>
    <col min="23" max="25" width="19.4454545454545" style="63" customWidth="1"/>
    <col min="26" max="28" width="17.5545454545455" style="63" customWidth="1"/>
    <col min="29" max="31" width="19.7818181818182" style="63" customWidth="1"/>
    <col min="32" max="16384" width="8.78181818181818" style="63"/>
  </cols>
  <sheetData>
    <row r="1" s="63" customFormat="1" ht="42" spans="1:31">
      <c r="A1" s="68" t="s">
        <v>82</v>
      </c>
      <c r="B1" s="69" t="s">
        <v>83</v>
      </c>
      <c r="C1" s="70" t="s">
        <v>84</v>
      </c>
      <c r="D1" s="71" t="s">
        <v>85</v>
      </c>
      <c r="E1" s="72" t="s">
        <v>86</v>
      </c>
      <c r="F1" s="73" t="s">
        <v>87</v>
      </c>
      <c r="G1" s="69" t="s">
        <v>88</v>
      </c>
      <c r="H1" s="69" t="s">
        <v>89</v>
      </c>
      <c r="I1" s="69" t="s">
        <v>90</v>
      </c>
      <c r="J1" s="70" t="s">
        <v>91</v>
      </c>
      <c r="K1" s="74" t="s">
        <v>92</v>
      </c>
      <c r="L1" s="75" t="s">
        <v>87</v>
      </c>
      <c r="M1" s="76" t="s">
        <v>93</v>
      </c>
      <c r="N1" s="74" t="s">
        <v>92</v>
      </c>
      <c r="O1" s="75" t="s">
        <v>87</v>
      </c>
      <c r="P1" s="76" t="s">
        <v>93</v>
      </c>
      <c r="Q1" s="74" t="s">
        <v>92</v>
      </c>
      <c r="R1" s="75" t="s">
        <v>87</v>
      </c>
      <c r="S1" s="76" t="s">
        <v>93</v>
      </c>
      <c r="T1" s="74" t="s">
        <v>92</v>
      </c>
      <c r="U1" s="75" t="s">
        <v>87</v>
      </c>
      <c r="V1" s="76" t="s">
        <v>93</v>
      </c>
      <c r="W1" s="74" t="s">
        <v>92</v>
      </c>
      <c r="X1" s="75" t="s">
        <v>87</v>
      </c>
      <c r="Y1" s="76" t="s">
        <v>93</v>
      </c>
      <c r="Z1" s="74" t="s">
        <v>92</v>
      </c>
      <c r="AA1" s="75" t="s">
        <v>87</v>
      </c>
      <c r="AB1" s="76" t="s">
        <v>93</v>
      </c>
      <c r="AC1" s="74" t="s">
        <v>92</v>
      </c>
      <c r="AD1" s="75" t="s">
        <v>87</v>
      </c>
      <c r="AE1" s="77" t="s">
        <v>93</v>
      </c>
    </row>
    <row r="2" s="63" customFormat="1" ht="14.4" customHeight="1" spans="1:31">
      <c r="A2" s="68">
        <v>1</v>
      </c>
      <c r="B2" s="69" t="s">
        <v>94</v>
      </c>
      <c r="C2" s="70" t="s">
        <v>95</v>
      </c>
      <c r="D2" s="70" t="s">
        <v>96</v>
      </c>
      <c r="E2" s="78"/>
      <c r="F2" s="69"/>
      <c r="G2" s="69"/>
      <c r="H2" s="79" t="s">
        <v>97</v>
      </c>
      <c r="I2" s="80">
        <v>16000</v>
      </c>
      <c r="J2" s="70"/>
      <c r="K2" s="74"/>
      <c r="L2" s="81"/>
      <c r="M2" s="82"/>
      <c r="N2" s="83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5"/>
    </row>
    <row r="3" s="63" customFormat="1" ht="14.4" customHeight="1" spans="1:31">
      <c r="A3" s="68">
        <v>2</v>
      </c>
      <c r="B3" s="69" t="s">
        <v>94</v>
      </c>
      <c r="C3" s="70" t="s">
        <v>95</v>
      </c>
      <c r="D3" s="70" t="s">
        <v>98</v>
      </c>
      <c r="E3" s="78"/>
      <c r="F3" s="69"/>
      <c r="G3" s="69"/>
      <c r="H3" s="86" t="s">
        <v>99</v>
      </c>
      <c r="I3" s="87">
        <v>12000</v>
      </c>
      <c r="J3" s="70"/>
      <c r="K3" s="74"/>
      <c r="L3" s="81"/>
      <c r="M3" s="82"/>
      <c r="N3" s="83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5"/>
    </row>
    <row r="4" s="63" customFormat="1" ht="14.4" customHeight="1" spans="1:31">
      <c r="A4" s="68">
        <v>3</v>
      </c>
      <c r="B4" s="69" t="s">
        <v>94</v>
      </c>
      <c r="C4" s="70" t="s">
        <v>95</v>
      </c>
      <c r="D4" s="70" t="s">
        <v>100</v>
      </c>
      <c r="E4" s="78"/>
      <c r="F4" s="69"/>
      <c r="G4" s="69"/>
      <c r="H4" s="86" t="s">
        <v>99</v>
      </c>
      <c r="I4" s="87">
        <v>12000</v>
      </c>
      <c r="J4" s="70"/>
      <c r="K4" s="74"/>
      <c r="L4" s="81"/>
      <c r="M4" s="82"/>
      <c r="N4" s="83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5"/>
    </row>
    <row r="5" s="63" customFormat="1" ht="14.4" customHeight="1" spans="1:31">
      <c r="A5" s="68">
        <v>4</v>
      </c>
      <c r="B5" s="69" t="s">
        <v>94</v>
      </c>
      <c r="C5" s="70" t="s">
        <v>95</v>
      </c>
      <c r="D5" s="70" t="s">
        <v>101</v>
      </c>
      <c r="E5" s="88"/>
      <c r="F5" s="84"/>
      <c r="G5" s="84"/>
      <c r="H5" s="86" t="s">
        <v>99</v>
      </c>
      <c r="I5" s="87">
        <v>12000</v>
      </c>
      <c r="J5" s="84"/>
      <c r="K5" s="89"/>
      <c r="L5" s="90"/>
      <c r="M5" s="82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5"/>
    </row>
    <row r="6" s="63" customFormat="1" ht="14.4" customHeight="1" spans="1:31">
      <c r="A6" s="68">
        <v>5</v>
      </c>
      <c r="B6" s="69" t="s">
        <v>94</v>
      </c>
      <c r="C6" s="70" t="s">
        <v>95</v>
      </c>
      <c r="D6" s="70" t="s">
        <v>102</v>
      </c>
      <c r="E6" s="88"/>
      <c r="F6" s="84"/>
      <c r="G6" s="84"/>
      <c r="H6" s="86" t="s">
        <v>99</v>
      </c>
      <c r="I6" s="87">
        <v>12000</v>
      </c>
      <c r="J6" s="84"/>
      <c r="K6" s="89"/>
      <c r="L6" s="90"/>
      <c r="M6" s="82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5"/>
    </row>
    <row r="7" s="63" customFormat="1" ht="14.4" customHeight="1" spans="1:31">
      <c r="A7" s="68">
        <v>6</v>
      </c>
      <c r="B7" s="69" t="s">
        <v>94</v>
      </c>
      <c r="C7" s="70" t="s">
        <v>95</v>
      </c>
      <c r="D7" s="70" t="s">
        <v>103</v>
      </c>
      <c r="E7" s="88"/>
      <c r="F7" s="84"/>
      <c r="G7" s="84"/>
      <c r="H7" s="86" t="s">
        <v>99</v>
      </c>
      <c r="I7" s="87">
        <v>12000</v>
      </c>
      <c r="J7" s="84"/>
      <c r="K7" s="89"/>
      <c r="L7" s="90"/>
      <c r="M7" s="82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5"/>
    </row>
    <row r="8" s="63" customFormat="1" ht="14.4" customHeight="1" spans="1:31">
      <c r="A8" s="68">
        <v>7</v>
      </c>
      <c r="B8" s="69" t="s">
        <v>94</v>
      </c>
      <c r="C8" s="70" t="s">
        <v>95</v>
      </c>
      <c r="D8" s="70" t="s">
        <v>104</v>
      </c>
      <c r="E8" s="88"/>
      <c r="F8" s="84"/>
      <c r="G8" s="84"/>
      <c r="H8" s="86" t="s">
        <v>99</v>
      </c>
      <c r="I8" s="87">
        <v>12000</v>
      </c>
      <c r="J8" s="84"/>
      <c r="K8" s="89"/>
      <c r="L8" s="90"/>
      <c r="M8" s="82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5"/>
    </row>
    <row r="9" s="63" customFormat="1" ht="14.4" customHeight="1" spans="1:31">
      <c r="A9" s="68">
        <v>8</v>
      </c>
      <c r="B9" s="69" t="s">
        <v>94</v>
      </c>
      <c r="C9" s="70" t="s">
        <v>95</v>
      </c>
      <c r="D9" s="70" t="s">
        <v>105</v>
      </c>
      <c r="E9" s="88"/>
      <c r="F9" s="84"/>
      <c r="G9" s="84"/>
      <c r="H9" s="86" t="s">
        <v>99</v>
      </c>
      <c r="I9" s="87">
        <v>12000</v>
      </c>
      <c r="J9" s="84"/>
      <c r="K9" s="89"/>
      <c r="L9" s="90"/>
      <c r="M9" s="82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5"/>
    </row>
    <row r="10" s="63" customFormat="1" ht="14.4" customHeight="1" spans="1:31">
      <c r="A10" s="68">
        <v>9</v>
      </c>
      <c r="B10" s="69" t="s">
        <v>94</v>
      </c>
      <c r="C10" s="70" t="s">
        <v>95</v>
      </c>
      <c r="D10" s="70" t="s">
        <v>106</v>
      </c>
      <c r="E10" s="88"/>
      <c r="F10" s="84"/>
      <c r="G10" s="84"/>
      <c r="H10" s="86" t="s">
        <v>99</v>
      </c>
      <c r="I10" s="87">
        <v>12000</v>
      </c>
      <c r="J10" s="84"/>
      <c r="K10" s="89"/>
      <c r="L10" s="90"/>
      <c r="M10" s="82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5"/>
    </row>
    <row r="11" s="63" customFormat="1" ht="14.4" customHeight="1" spans="1:31">
      <c r="A11" s="68">
        <v>10</v>
      </c>
      <c r="B11" s="69" t="s">
        <v>94</v>
      </c>
      <c r="C11" s="70" t="s">
        <v>95</v>
      </c>
      <c r="D11" s="70" t="s">
        <v>107</v>
      </c>
      <c r="E11" s="88"/>
      <c r="F11" s="84"/>
      <c r="G11" s="84"/>
      <c r="H11" s="86" t="s">
        <v>99</v>
      </c>
      <c r="I11" s="87">
        <v>12000</v>
      </c>
      <c r="J11" s="84"/>
      <c r="K11" s="89"/>
      <c r="L11" s="90"/>
      <c r="M11" s="82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5"/>
    </row>
    <row r="12" s="63" customFormat="1" ht="14.4" customHeight="1" spans="1:31">
      <c r="A12" s="68">
        <v>11</v>
      </c>
      <c r="B12" s="69" t="s">
        <v>94</v>
      </c>
      <c r="C12" s="70" t="s">
        <v>95</v>
      </c>
      <c r="D12" s="70" t="s">
        <v>108</v>
      </c>
      <c r="E12" s="78"/>
      <c r="F12" s="69"/>
      <c r="G12" s="69"/>
      <c r="H12" s="86" t="s">
        <v>99</v>
      </c>
      <c r="I12" s="87">
        <v>12000</v>
      </c>
      <c r="J12" s="70"/>
      <c r="K12" s="74"/>
      <c r="L12" s="81"/>
      <c r="M12" s="82"/>
      <c r="N12" s="83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5"/>
    </row>
    <row r="13" s="63" customFormat="1" ht="14.4" customHeight="1" spans="1:31">
      <c r="A13" s="68">
        <v>12</v>
      </c>
      <c r="B13" s="69" t="s">
        <v>94</v>
      </c>
      <c r="C13" s="70" t="s">
        <v>95</v>
      </c>
      <c r="D13" s="70" t="s">
        <v>109</v>
      </c>
      <c r="E13" s="88"/>
      <c r="F13" s="84"/>
      <c r="G13" s="84"/>
      <c r="H13" s="86" t="s">
        <v>99</v>
      </c>
      <c r="I13" s="87">
        <v>12000</v>
      </c>
      <c r="J13" s="84"/>
      <c r="K13" s="89"/>
      <c r="L13" s="90"/>
      <c r="M13" s="82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5"/>
    </row>
    <row r="14" s="63" customFormat="1" ht="14.4" customHeight="1" spans="1:31">
      <c r="A14" s="68">
        <v>13</v>
      </c>
      <c r="B14" s="69" t="s">
        <v>94</v>
      </c>
      <c r="C14" s="70" t="s">
        <v>95</v>
      </c>
      <c r="D14" s="70" t="s">
        <v>110</v>
      </c>
      <c r="E14" s="88"/>
      <c r="F14" s="84"/>
      <c r="G14" s="84"/>
      <c r="H14" s="86" t="s">
        <v>99</v>
      </c>
      <c r="I14" s="87">
        <v>12000</v>
      </c>
      <c r="J14" s="84"/>
      <c r="K14" s="89"/>
      <c r="L14" s="90"/>
      <c r="M14" s="82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5"/>
    </row>
    <row r="15" s="63" customFormat="1" ht="14.4" customHeight="1" spans="1:31">
      <c r="A15" s="68">
        <v>14</v>
      </c>
      <c r="B15" s="69" t="s">
        <v>94</v>
      </c>
      <c r="C15" s="70" t="s">
        <v>95</v>
      </c>
      <c r="D15" s="70" t="s">
        <v>111</v>
      </c>
      <c r="E15" s="88"/>
      <c r="F15" s="84"/>
      <c r="G15" s="84"/>
      <c r="H15" s="86" t="s">
        <v>99</v>
      </c>
      <c r="I15" s="87">
        <v>12000</v>
      </c>
      <c r="J15" s="84"/>
      <c r="K15" s="89"/>
      <c r="L15" s="90"/>
      <c r="M15" s="82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5"/>
    </row>
    <row r="16" s="63" customFormat="1" ht="14.4" customHeight="1" spans="1:31">
      <c r="A16" s="68">
        <v>15</v>
      </c>
      <c r="B16" s="69" t="s">
        <v>94</v>
      </c>
      <c r="C16" s="70" t="s">
        <v>95</v>
      </c>
      <c r="D16" s="70" t="s">
        <v>112</v>
      </c>
      <c r="E16" s="88"/>
      <c r="F16" s="84"/>
      <c r="G16" s="84"/>
      <c r="H16" s="86" t="s">
        <v>99</v>
      </c>
      <c r="I16" s="87">
        <v>12000</v>
      </c>
      <c r="J16" s="84"/>
      <c r="K16" s="89"/>
      <c r="L16" s="90"/>
      <c r="M16" s="82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5"/>
    </row>
    <row r="17" s="63" customFormat="1" ht="14.4" customHeight="1" spans="1:31">
      <c r="A17" s="68">
        <v>16</v>
      </c>
      <c r="B17" s="69" t="s">
        <v>94</v>
      </c>
      <c r="C17" s="70" t="s">
        <v>95</v>
      </c>
      <c r="D17" s="70" t="s">
        <v>113</v>
      </c>
      <c r="E17" s="88"/>
      <c r="F17" s="84"/>
      <c r="G17" s="84"/>
      <c r="H17" s="86" t="s">
        <v>99</v>
      </c>
      <c r="I17" s="87">
        <v>12000</v>
      </c>
      <c r="J17" s="84"/>
      <c r="K17" s="89"/>
      <c r="L17" s="90"/>
      <c r="M17" s="82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5"/>
    </row>
    <row r="18" s="63" customFormat="1" ht="14.4" customHeight="1" spans="1:31">
      <c r="A18" s="68">
        <v>17</v>
      </c>
      <c r="B18" s="69" t="s">
        <v>94</v>
      </c>
      <c r="C18" s="70" t="s">
        <v>95</v>
      </c>
      <c r="D18" s="70" t="s">
        <v>114</v>
      </c>
      <c r="E18" s="84" t="s">
        <v>115</v>
      </c>
      <c r="F18" s="91">
        <v>45526.7075694444</v>
      </c>
      <c r="G18" s="91">
        <v>45531.3977662037</v>
      </c>
      <c r="H18" s="79" t="s">
        <v>97</v>
      </c>
      <c r="I18" s="80">
        <v>16000</v>
      </c>
      <c r="J18" s="83" t="s">
        <v>116</v>
      </c>
      <c r="K18" s="88" t="s">
        <v>117</v>
      </c>
      <c r="L18" s="91">
        <v>45464.6531712963</v>
      </c>
      <c r="M18" s="91">
        <v>45475.3714467593</v>
      </c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5"/>
    </row>
    <row r="19" s="63" customFormat="1" ht="14.4" customHeight="1" spans="1:31">
      <c r="A19" s="68">
        <v>18</v>
      </c>
      <c r="B19" s="69" t="s">
        <v>94</v>
      </c>
      <c r="C19" s="70" t="s">
        <v>95</v>
      </c>
      <c r="D19" s="70" t="s">
        <v>118</v>
      </c>
      <c r="E19" s="88"/>
      <c r="F19" s="84"/>
      <c r="G19" s="84"/>
      <c r="H19" s="86" t="s">
        <v>99</v>
      </c>
      <c r="I19" s="87">
        <v>12000</v>
      </c>
      <c r="J19" s="84"/>
      <c r="K19" s="89"/>
      <c r="L19" s="90"/>
      <c r="M19" s="82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5"/>
    </row>
    <row r="20" s="63" customFormat="1" ht="14.4" customHeight="1" spans="1:31">
      <c r="A20" s="68">
        <v>19</v>
      </c>
      <c r="B20" s="69" t="s">
        <v>94</v>
      </c>
      <c r="C20" s="92" t="s">
        <v>95</v>
      </c>
      <c r="D20" s="92" t="s">
        <v>119</v>
      </c>
      <c r="E20" s="93" t="s">
        <v>120</v>
      </c>
      <c r="F20" s="94">
        <v>46254.8335532407</v>
      </c>
      <c r="G20" s="94">
        <v>46253.8337731482</v>
      </c>
      <c r="H20" s="86" t="s">
        <v>99</v>
      </c>
      <c r="I20" s="87">
        <v>12000</v>
      </c>
      <c r="J20" s="83" t="s">
        <v>116</v>
      </c>
      <c r="K20" s="95" t="s">
        <v>121</v>
      </c>
      <c r="L20" s="96">
        <v>46249.7258912037</v>
      </c>
      <c r="M20" s="96">
        <v>46252.7479513889</v>
      </c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5"/>
    </row>
    <row r="21" s="63" customFormat="1" ht="14.4" customHeight="1" spans="1:31">
      <c r="A21" s="68">
        <v>20</v>
      </c>
      <c r="B21" s="69" t="s">
        <v>94</v>
      </c>
      <c r="C21" s="97" t="s">
        <v>95</v>
      </c>
      <c r="D21" s="97" t="s">
        <v>122</v>
      </c>
      <c r="E21" s="95" t="s">
        <v>117</v>
      </c>
      <c r="F21" s="96">
        <v>46262.8368287037</v>
      </c>
      <c r="G21" s="96">
        <v>46268.3941550926</v>
      </c>
      <c r="H21" s="86" t="s">
        <v>99</v>
      </c>
      <c r="I21" s="87">
        <v>12000</v>
      </c>
      <c r="J21" s="98" t="s">
        <v>116</v>
      </c>
      <c r="K21" s="89"/>
      <c r="L21" s="90"/>
      <c r="M21" s="82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5"/>
    </row>
    <row r="22" s="63" customFormat="1" ht="14.4" customHeight="1" spans="1:31">
      <c r="A22" s="68">
        <v>21</v>
      </c>
      <c r="B22" s="69" t="s">
        <v>94</v>
      </c>
      <c r="C22" s="97" t="s">
        <v>95</v>
      </c>
      <c r="D22" s="97" t="s">
        <v>123</v>
      </c>
      <c r="E22" s="95" t="s">
        <v>117</v>
      </c>
      <c r="F22" s="96">
        <v>46263.4302430556</v>
      </c>
      <c r="G22" s="96">
        <v>46268.3942013889</v>
      </c>
      <c r="H22" s="86" t="s">
        <v>99</v>
      </c>
      <c r="I22" s="87">
        <v>12000</v>
      </c>
      <c r="J22" s="98" t="s">
        <v>116</v>
      </c>
      <c r="K22" s="89"/>
      <c r="L22" s="90"/>
      <c r="M22" s="82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5"/>
    </row>
    <row r="23" s="63" customFormat="1" ht="14.4" customHeight="1" spans="1:31">
      <c r="A23" s="68">
        <v>22</v>
      </c>
      <c r="B23" s="69" t="s">
        <v>94</v>
      </c>
      <c r="C23" s="92" t="s">
        <v>95</v>
      </c>
      <c r="D23" s="92" t="s">
        <v>124</v>
      </c>
      <c r="E23" s="93" t="s">
        <v>120</v>
      </c>
      <c r="F23" s="94">
        <v>46254.8335532407</v>
      </c>
      <c r="G23" s="94">
        <v>46253.8337731482</v>
      </c>
      <c r="H23" s="86" t="s">
        <v>99</v>
      </c>
      <c r="I23" s="87">
        <v>12000</v>
      </c>
      <c r="J23" s="83" t="s">
        <v>116</v>
      </c>
      <c r="K23" s="95" t="s">
        <v>121</v>
      </c>
      <c r="L23" s="96">
        <v>46249.7258912037</v>
      </c>
      <c r="M23" s="96">
        <v>46252.7479976852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5"/>
    </row>
    <row r="24" s="63" customFormat="1" ht="14.4" customHeight="1" spans="1:31">
      <c r="A24" s="68">
        <v>23</v>
      </c>
      <c r="B24" s="69" t="s">
        <v>94</v>
      </c>
      <c r="C24" s="97" t="s">
        <v>95</v>
      </c>
      <c r="D24" s="97" t="s">
        <v>125</v>
      </c>
      <c r="E24" s="95" t="s">
        <v>117</v>
      </c>
      <c r="F24" s="96">
        <v>46263.4271180556</v>
      </c>
      <c r="G24" s="96">
        <v>46268.3942476852</v>
      </c>
      <c r="H24" s="86" t="s">
        <v>99</v>
      </c>
      <c r="I24" s="87">
        <v>12000</v>
      </c>
      <c r="J24" s="98" t="s">
        <v>116</v>
      </c>
      <c r="K24" s="89"/>
      <c r="L24" s="90"/>
      <c r="M24" s="82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5"/>
    </row>
    <row r="25" s="63" customFormat="1" ht="14.4" customHeight="1" spans="1:31">
      <c r="A25" s="68">
        <v>24</v>
      </c>
      <c r="B25" s="69" t="s">
        <v>94</v>
      </c>
      <c r="C25" s="97" t="s">
        <v>95</v>
      </c>
      <c r="D25" s="97" t="s">
        <v>126</v>
      </c>
      <c r="E25" s="95" t="s">
        <v>117</v>
      </c>
      <c r="F25" s="96">
        <v>46263.6364814815</v>
      </c>
      <c r="G25" s="96">
        <v>46268.3942939815</v>
      </c>
      <c r="H25" s="86" t="s">
        <v>99</v>
      </c>
      <c r="I25" s="87">
        <v>12000</v>
      </c>
      <c r="J25" s="98" t="s">
        <v>116</v>
      </c>
      <c r="K25" s="89"/>
      <c r="L25" s="90"/>
      <c r="M25" s="82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5"/>
    </row>
    <row r="26" s="63" customFormat="1" ht="14.4" customHeight="1" spans="1:31">
      <c r="A26" s="68">
        <v>25</v>
      </c>
      <c r="B26" s="69" t="s">
        <v>94</v>
      </c>
      <c r="C26" s="92" t="s">
        <v>95</v>
      </c>
      <c r="D26" s="92" t="s">
        <v>127</v>
      </c>
      <c r="E26" s="93" t="s">
        <v>120</v>
      </c>
      <c r="F26" s="94">
        <v>46254.8335532407</v>
      </c>
      <c r="G26" s="94">
        <v>46253.8337731482</v>
      </c>
      <c r="H26" s="86" t="s">
        <v>99</v>
      </c>
      <c r="I26" s="87">
        <v>12000</v>
      </c>
      <c r="J26" s="83" t="s">
        <v>116</v>
      </c>
      <c r="K26" s="95" t="s">
        <v>121</v>
      </c>
      <c r="L26" s="96">
        <v>46249.7258912037</v>
      </c>
      <c r="M26" s="96">
        <v>46252.7480439815</v>
      </c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5"/>
    </row>
    <row r="27" s="63" customFormat="1" ht="14.4" customHeight="1" spans="1:31">
      <c r="A27" s="68">
        <v>26</v>
      </c>
      <c r="B27" s="69" t="s">
        <v>94</v>
      </c>
      <c r="C27" s="97" t="s">
        <v>95</v>
      </c>
      <c r="D27" s="97" t="s">
        <v>128</v>
      </c>
      <c r="E27" s="95" t="s">
        <v>117</v>
      </c>
      <c r="F27" s="96">
        <v>46263.6335069444</v>
      </c>
      <c r="G27" s="96">
        <v>46268.3943402778</v>
      </c>
      <c r="H27" s="86" t="s">
        <v>99</v>
      </c>
      <c r="I27" s="87">
        <v>12000</v>
      </c>
      <c r="J27" s="98" t="s">
        <v>116</v>
      </c>
      <c r="K27" s="89"/>
      <c r="L27" s="90"/>
      <c r="M27" s="82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5"/>
    </row>
    <row r="28" s="63" customFormat="1" ht="14.4" customHeight="1" spans="1:31">
      <c r="A28" s="68">
        <v>27</v>
      </c>
      <c r="B28" s="69" t="s">
        <v>94</v>
      </c>
      <c r="C28" s="97" t="s">
        <v>95</v>
      </c>
      <c r="D28" s="97" t="s">
        <v>129</v>
      </c>
      <c r="E28" s="95" t="s">
        <v>117</v>
      </c>
      <c r="F28" s="96">
        <v>46262.8374768519</v>
      </c>
      <c r="G28" s="96">
        <v>46268.3943865741</v>
      </c>
      <c r="H28" s="86" t="s">
        <v>99</v>
      </c>
      <c r="I28" s="87">
        <v>12000</v>
      </c>
      <c r="J28" s="98" t="s">
        <v>116</v>
      </c>
      <c r="K28" s="89"/>
      <c r="L28" s="90"/>
      <c r="M28" s="82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5"/>
    </row>
    <row r="29" s="63" customFormat="1" ht="14.4" customHeight="1" spans="1:31">
      <c r="A29" s="68">
        <v>28</v>
      </c>
      <c r="B29" s="69" t="s">
        <v>94</v>
      </c>
      <c r="C29" s="92" t="s">
        <v>95</v>
      </c>
      <c r="D29" s="92" t="s">
        <v>130</v>
      </c>
      <c r="E29" s="93" t="s">
        <v>120</v>
      </c>
      <c r="F29" s="94">
        <v>46254.8335532407</v>
      </c>
      <c r="G29" s="94">
        <v>46253.8337731482</v>
      </c>
      <c r="H29" s="86" t="s">
        <v>99</v>
      </c>
      <c r="I29" s="87">
        <v>12000</v>
      </c>
      <c r="J29" s="83" t="s">
        <v>116</v>
      </c>
      <c r="K29" s="95" t="s">
        <v>121</v>
      </c>
      <c r="L29" s="96">
        <v>46249.7258912037</v>
      </c>
      <c r="M29" s="96">
        <v>46252.7480902778</v>
      </c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5"/>
    </row>
    <row r="30" s="63" customFormat="1" ht="14.4" customHeight="1" spans="1:31">
      <c r="A30" s="68">
        <v>29</v>
      </c>
      <c r="B30" s="69" t="s">
        <v>94</v>
      </c>
      <c r="C30" s="97" t="s">
        <v>95</v>
      </c>
      <c r="D30" s="97" t="s">
        <v>131</v>
      </c>
      <c r="E30" s="95" t="s">
        <v>117</v>
      </c>
      <c r="F30" s="96">
        <v>46262.8371527778</v>
      </c>
      <c r="G30" s="96">
        <v>46268.3944328704</v>
      </c>
      <c r="H30" s="86" t="s">
        <v>99</v>
      </c>
      <c r="I30" s="87">
        <v>12000</v>
      </c>
      <c r="J30" s="98" t="s">
        <v>116</v>
      </c>
      <c r="K30" s="89"/>
      <c r="L30" s="90"/>
      <c r="M30" s="82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5"/>
    </row>
    <row r="31" s="63" customFormat="1" ht="14.4" customHeight="1" spans="1:31">
      <c r="A31" s="68">
        <v>30</v>
      </c>
      <c r="B31" s="69" t="s">
        <v>94</v>
      </c>
      <c r="C31" s="97" t="s">
        <v>95</v>
      </c>
      <c r="D31" s="97" t="s">
        <v>132</v>
      </c>
      <c r="E31" s="95" t="s">
        <v>117</v>
      </c>
      <c r="F31" s="96">
        <v>46262.8366435185</v>
      </c>
      <c r="G31" s="96">
        <v>46268.3944791667</v>
      </c>
      <c r="H31" s="86" t="s">
        <v>99</v>
      </c>
      <c r="I31" s="87">
        <v>12000</v>
      </c>
      <c r="J31" s="98" t="s">
        <v>116</v>
      </c>
      <c r="K31" s="89"/>
      <c r="L31" s="90"/>
      <c r="M31" s="82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5"/>
    </row>
    <row r="32" s="63" customFormat="1" ht="14.4" customHeight="1" spans="1:31">
      <c r="A32" s="68">
        <v>31</v>
      </c>
      <c r="B32" s="69" t="s">
        <v>94</v>
      </c>
      <c r="C32" s="92" t="s">
        <v>95</v>
      </c>
      <c r="D32" s="92" t="s">
        <v>133</v>
      </c>
      <c r="E32" s="93" t="s">
        <v>120</v>
      </c>
      <c r="F32" s="94">
        <v>46254.8335532407</v>
      </c>
      <c r="G32" s="94">
        <v>46253.8337731482</v>
      </c>
      <c r="H32" s="86" t="s">
        <v>99</v>
      </c>
      <c r="I32" s="87">
        <v>12000</v>
      </c>
      <c r="J32" s="83" t="s">
        <v>116</v>
      </c>
      <c r="K32" s="95" t="s">
        <v>121</v>
      </c>
      <c r="L32" s="96">
        <v>46249.7258912037</v>
      </c>
      <c r="M32" s="96">
        <v>46252.7481365741</v>
      </c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5"/>
    </row>
    <row r="33" s="63" customFormat="1" ht="14.4" customHeight="1" spans="1:31">
      <c r="A33" s="68">
        <v>32</v>
      </c>
      <c r="B33" s="69" t="s">
        <v>94</v>
      </c>
      <c r="C33" s="97" t="s">
        <v>95</v>
      </c>
      <c r="D33" s="97" t="s">
        <v>134</v>
      </c>
      <c r="E33" s="95" t="s">
        <v>117</v>
      </c>
      <c r="F33" s="96">
        <v>46262.8359837963</v>
      </c>
      <c r="G33" s="96">
        <v>46268.394525463</v>
      </c>
      <c r="H33" s="86" t="s">
        <v>99</v>
      </c>
      <c r="I33" s="87">
        <v>12000</v>
      </c>
      <c r="J33" s="98" t="s">
        <v>116</v>
      </c>
      <c r="K33" s="89"/>
      <c r="L33" s="90"/>
      <c r="M33" s="82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5"/>
    </row>
    <row r="34" s="63" customFormat="1" ht="14.4" customHeight="1" spans="1:31">
      <c r="A34" s="68">
        <v>33</v>
      </c>
      <c r="B34" s="69" t="s">
        <v>94</v>
      </c>
      <c r="C34" s="70" t="s">
        <v>95</v>
      </c>
      <c r="D34" s="70" t="s">
        <v>135</v>
      </c>
      <c r="E34" s="88"/>
      <c r="F34" s="84"/>
      <c r="G34" s="84"/>
      <c r="H34" s="86" t="s">
        <v>99</v>
      </c>
      <c r="I34" s="87">
        <v>12000</v>
      </c>
      <c r="J34" s="84"/>
      <c r="K34" s="89"/>
      <c r="L34" s="90"/>
      <c r="M34" s="82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5"/>
    </row>
    <row r="35" s="63" customFormat="1" ht="14.4" customHeight="1" spans="1:31">
      <c r="A35" s="68">
        <v>34</v>
      </c>
      <c r="B35" s="69" t="s">
        <v>94</v>
      </c>
      <c r="C35" s="70" t="s">
        <v>95</v>
      </c>
      <c r="D35" s="70" t="s">
        <v>136</v>
      </c>
      <c r="E35" s="88"/>
      <c r="F35" s="84"/>
      <c r="G35" s="84"/>
      <c r="H35" s="86" t="s">
        <v>99</v>
      </c>
      <c r="I35" s="87">
        <v>12000</v>
      </c>
      <c r="J35" s="84"/>
      <c r="K35" s="89"/>
      <c r="L35" s="90"/>
      <c r="M35" s="82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5"/>
    </row>
    <row r="36" s="63" customFormat="1" ht="14.4" customHeight="1" spans="1:31">
      <c r="A36" s="68">
        <v>35</v>
      </c>
      <c r="B36" s="69" t="s">
        <v>94</v>
      </c>
      <c r="C36" s="70" t="s">
        <v>95</v>
      </c>
      <c r="D36" s="84" t="s">
        <v>137</v>
      </c>
      <c r="E36" s="84" t="s">
        <v>115</v>
      </c>
      <c r="F36" s="91">
        <v>45709.6946527778</v>
      </c>
      <c r="G36" s="91">
        <v>45707.6947685185</v>
      </c>
      <c r="H36" s="79" t="s">
        <v>97</v>
      </c>
      <c r="I36" s="80">
        <v>16000</v>
      </c>
      <c r="J36" s="83" t="s">
        <v>116</v>
      </c>
      <c r="K36" s="88" t="s">
        <v>117</v>
      </c>
      <c r="L36" s="91">
        <v>45447.712962963</v>
      </c>
      <c r="M36" s="91">
        <v>45450.7108564815</v>
      </c>
      <c r="N36" s="84" t="s">
        <v>138</v>
      </c>
      <c r="O36" s="91">
        <v>45617.61875</v>
      </c>
      <c r="P36" s="91">
        <v>45622.6666666667</v>
      </c>
      <c r="Q36" s="83" t="s">
        <v>117</v>
      </c>
      <c r="R36" s="91">
        <v>45699.4798611111</v>
      </c>
      <c r="S36" s="91">
        <v>45699.4798611111</v>
      </c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5"/>
    </row>
    <row r="37" s="63" customFormat="1" ht="14.4" customHeight="1" spans="1:31">
      <c r="A37" s="68">
        <v>36</v>
      </c>
      <c r="B37" s="69" t="s">
        <v>94</v>
      </c>
      <c r="C37" s="70" t="s">
        <v>95</v>
      </c>
      <c r="D37" s="84" t="s">
        <v>139</v>
      </c>
      <c r="E37" s="84" t="s">
        <v>115</v>
      </c>
      <c r="F37" s="91">
        <v>45709.712037037</v>
      </c>
      <c r="G37" s="91">
        <v>45707.7121412037</v>
      </c>
      <c r="H37" s="86" t="s">
        <v>99</v>
      </c>
      <c r="I37" s="87">
        <v>12000</v>
      </c>
      <c r="J37" s="83" t="s">
        <v>116</v>
      </c>
      <c r="K37" s="88" t="s">
        <v>117</v>
      </c>
      <c r="L37" s="91">
        <v>45447.7131018518</v>
      </c>
      <c r="M37" s="91">
        <v>45450.7111921296</v>
      </c>
      <c r="N37" s="84" t="s">
        <v>138</v>
      </c>
      <c r="O37" s="91">
        <v>45617.61875</v>
      </c>
      <c r="P37" s="91">
        <v>45622.6666666667</v>
      </c>
      <c r="Q37" s="83" t="s">
        <v>117</v>
      </c>
      <c r="R37" s="91">
        <v>45699.4798611111</v>
      </c>
      <c r="S37" s="91">
        <v>45699.4798611111</v>
      </c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5"/>
    </row>
    <row r="38" s="63" customFormat="1" ht="14.4" customHeight="1" spans="1:31">
      <c r="A38" s="68">
        <v>37</v>
      </c>
      <c r="B38" s="69" t="s">
        <v>94</v>
      </c>
      <c r="C38" s="70" t="s">
        <v>95</v>
      </c>
      <c r="D38" s="84" t="s">
        <v>140</v>
      </c>
      <c r="E38" s="84" t="s">
        <v>115</v>
      </c>
      <c r="F38" s="91">
        <v>45709.712037037</v>
      </c>
      <c r="G38" s="91">
        <v>45707.7121527778</v>
      </c>
      <c r="H38" s="86" t="s">
        <v>99</v>
      </c>
      <c r="I38" s="87">
        <v>12000</v>
      </c>
      <c r="J38" s="83" t="s">
        <v>116</v>
      </c>
      <c r="K38" s="88" t="s">
        <v>117</v>
      </c>
      <c r="L38" s="91">
        <v>45447.7132638889</v>
      </c>
      <c r="M38" s="91">
        <v>45450.7113078704</v>
      </c>
      <c r="N38" s="84" t="s">
        <v>138</v>
      </c>
      <c r="O38" s="91">
        <v>45617.61875</v>
      </c>
      <c r="P38" s="91">
        <v>45622.6666666667</v>
      </c>
      <c r="Q38" s="83" t="s">
        <v>117</v>
      </c>
      <c r="R38" s="91">
        <v>45699.4798611111</v>
      </c>
      <c r="S38" s="91">
        <v>45699.4798611111</v>
      </c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5"/>
    </row>
    <row r="39" s="63" customFormat="1" ht="14.4" customHeight="1" spans="1:31">
      <c r="A39" s="68">
        <v>38</v>
      </c>
      <c r="B39" s="69" t="s">
        <v>94</v>
      </c>
      <c r="C39" s="70" t="s">
        <v>95</v>
      </c>
      <c r="D39" s="84" t="s">
        <v>141</v>
      </c>
      <c r="E39" s="84" t="s">
        <v>115</v>
      </c>
      <c r="F39" s="91">
        <v>45709.7120023148</v>
      </c>
      <c r="G39" s="91">
        <v>45707.7121064815</v>
      </c>
      <c r="H39" s="86" t="s">
        <v>99</v>
      </c>
      <c r="I39" s="87">
        <v>12000</v>
      </c>
      <c r="J39" s="83" t="s">
        <v>116</v>
      </c>
      <c r="K39" s="88" t="s">
        <v>117</v>
      </c>
      <c r="L39" s="91">
        <v>45447.7133796296</v>
      </c>
      <c r="M39" s="91">
        <v>45450.711412037</v>
      </c>
      <c r="N39" s="84" t="s">
        <v>138</v>
      </c>
      <c r="O39" s="91">
        <v>45617.61875</v>
      </c>
      <c r="P39" s="91">
        <v>45622.6666666667</v>
      </c>
      <c r="Q39" s="83" t="s">
        <v>117</v>
      </c>
      <c r="R39" s="91">
        <v>45699.4798611111</v>
      </c>
      <c r="S39" s="91">
        <v>45699.4798611111</v>
      </c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5"/>
    </row>
    <row r="40" s="63" customFormat="1" ht="14.4" customHeight="1" spans="1:31">
      <c r="A40" s="68">
        <v>39</v>
      </c>
      <c r="B40" s="69" t="s">
        <v>94</v>
      </c>
      <c r="C40" s="70" t="s">
        <v>95</v>
      </c>
      <c r="D40" s="84" t="s">
        <v>142</v>
      </c>
      <c r="E40" s="84" t="s">
        <v>115</v>
      </c>
      <c r="F40" s="91">
        <v>45709.715462963</v>
      </c>
      <c r="G40" s="91">
        <v>45707.7155787037</v>
      </c>
      <c r="H40" s="86" t="s">
        <v>99</v>
      </c>
      <c r="I40" s="87">
        <v>12000</v>
      </c>
      <c r="J40" s="83" t="s">
        <v>116</v>
      </c>
      <c r="K40" s="88" t="s">
        <v>117</v>
      </c>
      <c r="L40" s="91">
        <v>45447.7135069444</v>
      </c>
      <c r="M40" s="91">
        <v>45450.7115162037</v>
      </c>
      <c r="N40" s="84" t="s">
        <v>138</v>
      </c>
      <c r="O40" s="91">
        <v>45617.61875</v>
      </c>
      <c r="P40" s="91">
        <v>45622.6666666667</v>
      </c>
      <c r="Q40" s="83" t="s">
        <v>117</v>
      </c>
      <c r="R40" s="91">
        <v>45699.4798611111</v>
      </c>
      <c r="S40" s="91">
        <v>45699.4798611111</v>
      </c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5"/>
    </row>
    <row r="41" s="63" customFormat="1" ht="14.4" customHeight="1" spans="1:31">
      <c r="A41" s="68">
        <v>40</v>
      </c>
      <c r="B41" s="69" t="s">
        <v>94</v>
      </c>
      <c r="C41" s="70" t="s">
        <v>95</v>
      </c>
      <c r="D41" s="84" t="s">
        <v>143</v>
      </c>
      <c r="E41" s="83" t="s">
        <v>117</v>
      </c>
      <c r="F41" s="91">
        <v>45699.4798611111</v>
      </c>
      <c r="G41" s="91">
        <v>45699.4798611111</v>
      </c>
      <c r="H41" s="86" t="s">
        <v>99</v>
      </c>
      <c r="I41" s="87">
        <v>12000</v>
      </c>
      <c r="J41" s="83" t="s">
        <v>116</v>
      </c>
      <c r="K41" s="88" t="s">
        <v>117</v>
      </c>
      <c r="L41" s="91">
        <v>45447.7136921296</v>
      </c>
      <c r="M41" s="91">
        <v>45450.7116087963</v>
      </c>
      <c r="N41" s="84" t="s">
        <v>138</v>
      </c>
      <c r="O41" s="91">
        <v>45617.61875</v>
      </c>
      <c r="P41" s="91">
        <v>45622.6666666667</v>
      </c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5"/>
    </row>
    <row r="42" s="63" customFormat="1" ht="14.4" customHeight="1" spans="1:31">
      <c r="A42" s="68">
        <v>41</v>
      </c>
      <c r="B42" s="69" t="s">
        <v>94</v>
      </c>
      <c r="C42" s="70" t="s">
        <v>95</v>
      </c>
      <c r="D42" s="84" t="s">
        <v>144</v>
      </c>
      <c r="E42" s="84" t="s">
        <v>115</v>
      </c>
      <c r="F42" s="91">
        <v>45627.6659606481</v>
      </c>
      <c r="G42" s="91">
        <v>45625.6660648148</v>
      </c>
      <c r="H42" s="86" t="s">
        <v>99</v>
      </c>
      <c r="I42" s="87">
        <v>12000</v>
      </c>
      <c r="J42" s="83" t="s">
        <v>116</v>
      </c>
      <c r="K42" s="88" t="s">
        <v>117</v>
      </c>
      <c r="L42" s="91">
        <v>45447.7138078704</v>
      </c>
      <c r="M42" s="91">
        <v>45450.7117013889</v>
      </c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5"/>
    </row>
    <row r="43" s="63" customFormat="1" ht="14.4" customHeight="1" spans="1:31">
      <c r="A43" s="68">
        <v>42</v>
      </c>
      <c r="B43" s="69" t="s">
        <v>94</v>
      </c>
      <c r="C43" s="70" t="s">
        <v>95</v>
      </c>
      <c r="D43" s="84" t="s">
        <v>145</v>
      </c>
      <c r="E43" s="84" t="s">
        <v>115</v>
      </c>
      <c r="F43" s="91">
        <v>45627.6662037037</v>
      </c>
      <c r="G43" s="91">
        <v>45625.6663078704</v>
      </c>
      <c r="H43" s="86" t="s">
        <v>99</v>
      </c>
      <c r="I43" s="87">
        <v>12000</v>
      </c>
      <c r="J43" s="83" t="s">
        <v>116</v>
      </c>
      <c r="K43" s="88" t="s">
        <v>117</v>
      </c>
      <c r="L43" s="91">
        <v>45449.4095486111</v>
      </c>
      <c r="M43" s="91">
        <v>45450.7117824074</v>
      </c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5"/>
    </row>
    <row r="44" s="63" customFormat="1" ht="14.4" customHeight="1" spans="1:31">
      <c r="A44" s="68">
        <v>43</v>
      </c>
      <c r="B44" s="69" t="s">
        <v>94</v>
      </c>
      <c r="C44" s="70" t="s">
        <v>95</v>
      </c>
      <c r="D44" s="84" t="s">
        <v>146</v>
      </c>
      <c r="E44" s="84" t="s">
        <v>115</v>
      </c>
      <c r="F44" s="91">
        <v>45627.6694675926</v>
      </c>
      <c r="G44" s="91">
        <v>45625.6695833333</v>
      </c>
      <c r="H44" s="86" t="s">
        <v>99</v>
      </c>
      <c r="I44" s="87">
        <v>12000</v>
      </c>
      <c r="J44" s="83" t="s">
        <v>116</v>
      </c>
      <c r="K44" s="88" t="s">
        <v>117</v>
      </c>
      <c r="L44" s="91">
        <v>45449.4096990741</v>
      </c>
      <c r="M44" s="91">
        <v>45450.711875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5"/>
    </row>
    <row r="45" s="63" customFormat="1" ht="14.4" customHeight="1" spans="1:31">
      <c r="A45" s="68">
        <v>44</v>
      </c>
      <c r="B45" s="69" t="s">
        <v>94</v>
      </c>
      <c r="C45" s="70" t="s">
        <v>95</v>
      </c>
      <c r="D45" s="84" t="s">
        <v>147</v>
      </c>
      <c r="E45" s="84" t="s">
        <v>115</v>
      </c>
      <c r="F45" s="91">
        <v>45627.6695138889</v>
      </c>
      <c r="G45" s="91">
        <v>45625.6696180556</v>
      </c>
      <c r="H45" s="86" t="s">
        <v>99</v>
      </c>
      <c r="I45" s="87">
        <v>12000</v>
      </c>
      <c r="J45" s="83" t="s">
        <v>116</v>
      </c>
      <c r="K45" s="88" t="s">
        <v>117</v>
      </c>
      <c r="L45" s="91">
        <v>45449.4097800926</v>
      </c>
      <c r="M45" s="91">
        <v>45450.7119907407</v>
      </c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5"/>
    </row>
    <row r="46" s="63" customFormat="1" ht="14.4" customHeight="1" spans="1:31">
      <c r="A46" s="68">
        <v>45</v>
      </c>
      <c r="B46" s="69" t="s">
        <v>94</v>
      </c>
      <c r="C46" s="97" t="s">
        <v>95</v>
      </c>
      <c r="D46" s="97" t="s">
        <v>148</v>
      </c>
      <c r="E46" s="95" t="s">
        <v>117</v>
      </c>
      <c r="F46" s="96">
        <v>46262.8300462963</v>
      </c>
      <c r="G46" s="96">
        <v>46268.3945717593</v>
      </c>
      <c r="H46" s="86" t="s">
        <v>99</v>
      </c>
      <c r="I46" s="87">
        <v>12000</v>
      </c>
      <c r="J46" s="98" t="s">
        <v>116</v>
      </c>
      <c r="K46" s="89"/>
      <c r="L46" s="90"/>
      <c r="M46" s="82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5"/>
    </row>
    <row r="47" s="63" customFormat="1" ht="14.4" customHeight="1" spans="1:31">
      <c r="A47" s="68">
        <v>46</v>
      </c>
      <c r="B47" s="69" t="s">
        <v>94</v>
      </c>
      <c r="C47" s="92" t="s">
        <v>95</v>
      </c>
      <c r="D47" s="92" t="s">
        <v>149</v>
      </c>
      <c r="E47" s="93" t="s">
        <v>120</v>
      </c>
      <c r="F47" s="94">
        <v>46254.8335532407</v>
      </c>
      <c r="G47" s="94">
        <v>46253.8337731482</v>
      </c>
      <c r="H47" s="86" t="s">
        <v>99</v>
      </c>
      <c r="I47" s="87">
        <v>12000</v>
      </c>
      <c r="J47" s="83" t="s">
        <v>116</v>
      </c>
      <c r="K47" s="95" t="s">
        <v>121</v>
      </c>
      <c r="L47" s="96">
        <v>46249.7258912037</v>
      </c>
      <c r="M47" s="96">
        <v>46252.7481828704</v>
      </c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5"/>
    </row>
    <row r="48" s="63" customFormat="1" ht="14.4" customHeight="1" spans="1:31">
      <c r="A48" s="68">
        <v>47</v>
      </c>
      <c r="B48" s="69" t="s">
        <v>94</v>
      </c>
      <c r="C48" s="97" t="s">
        <v>95</v>
      </c>
      <c r="D48" s="97" t="s">
        <v>150</v>
      </c>
      <c r="E48" s="95" t="s">
        <v>117</v>
      </c>
      <c r="F48" s="96">
        <v>46262.8289351852</v>
      </c>
      <c r="G48" s="96">
        <v>46268.3946064815</v>
      </c>
      <c r="H48" s="86" t="s">
        <v>99</v>
      </c>
      <c r="I48" s="87">
        <v>12000</v>
      </c>
      <c r="J48" s="98" t="s">
        <v>116</v>
      </c>
      <c r="K48" s="89"/>
      <c r="L48" s="90"/>
      <c r="M48" s="82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5"/>
    </row>
    <row r="49" s="63" customFormat="1" ht="14.4" customHeight="1" spans="1:31">
      <c r="A49" s="68">
        <v>48</v>
      </c>
      <c r="B49" s="69" t="s">
        <v>94</v>
      </c>
      <c r="C49" s="97" t="s">
        <v>95</v>
      </c>
      <c r="D49" s="97" t="s">
        <v>151</v>
      </c>
      <c r="E49" s="95" t="s">
        <v>117</v>
      </c>
      <c r="F49" s="96">
        <v>46262.8367476852</v>
      </c>
      <c r="G49" s="96">
        <v>46268.3947569444</v>
      </c>
      <c r="H49" s="86" t="s">
        <v>99</v>
      </c>
      <c r="I49" s="87">
        <v>12000</v>
      </c>
      <c r="J49" s="98" t="s">
        <v>116</v>
      </c>
      <c r="K49" s="89"/>
      <c r="L49" s="90"/>
      <c r="M49" s="82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5"/>
    </row>
    <row r="50" s="63" customFormat="1" ht="14.4" customHeight="1" spans="1:31">
      <c r="A50" s="68">
        <v>49</v>
      </c>
      <c r="B50" s="69" t="s">
        <v>94</v>
      </c>
      <c r="C50" s="92" t="s">
        <v>95</v>
      </c>
      <c r="D50" s="92" t="s">
        <v>152</v>
      </c>
      <c r="E50" s="93" t="s">
        <v>120</v>
      </c>
      <c r="F50" s="94">
        <v>46254.8335532407</v>
      </c>
      <c r="G50" s="94">
        <v>46253.8337731482</v>
      </c>
      <c r="H50" s="86" t="s">
        <v>99</v>
      </c>
      <c r="I50" s="87">
        <v>12000</v>
      </c>
      <c r="J50" s="83" t="s">
        <v>116</v>
      </c>
      <c r="K50" s="95" t="s">
        <v>121</v>
      </c>
      <c r="L50" s="96">
        <v>46249.7258912037</v>
      </c>
      <c r="M50" s="96">
        <v>46252.7482291667</v>
      </c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5"/>
    </row>
    <row r="51" s="63" customFormat="1" ht="14.4" customHeight="1" spans="1:31">
      <c r="A51" s="68">
        <v>50</v>
      </c>
      <c r="B51" s="69" t="s">
        <v>94</v>
      </c>
      <c r="C51" s="97" t="s">
        <v>95</v>
      </c>
      <c r="D51" s="97" t="s">
        <v>153</v>
      </c>
      <c r="E51" s="95" t="s">
        <v>117</v>
      </c>
      <c r="F51" s="96">
        <v>46262.8367708333</v>
      </c>
      <c r="G51" s="96">
        <v>46268.3948032407</v>
      </c>
      <c r="H51" s="86" t="s">
        <v>99</v>
      </c>
      <c r="I51" s="87">
        <v>12000</v>
      </c>
      <c r="J51" s="98" t="s">
        <v>116</v>
      </c>
      <c r="K51" s="89"/>
      <c r="L51" s="90"/>
      <c r="M51" s="82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5"/>
    </row>
    <row r="52" s="63" customFormat="1" ht="14.4" customHeight="1" spans="1:31">
      <c r="A52" s="68">
        <v>51</v>
      </c>
      <c r="B52" s="69" t="s">
        <v>94</v>
      </c>
      <c r="C52" s="70" t="s">
        <v>95</v>
      </c>
      <c r="D52" s="84" t="s">
        <v>154</v>
      </c>
      <c r="E52" s="84" t="s">
        <v>115</v>
      </c>
      <c r="F52" s="91">
        <v>45526.7075694444</v>
      </c>
      <c r="G52" s="91">
        <v>45531.3977662037</v>
      </c>
      <c r="H52" s="79" t="s">
        <v>97</v>
      </c>
      <c r="I52" s="80">
        <v>16000</v>
      </c>
      <c r="J52" s="83" t="s">
        <v>116</v>
      </c>
      <c r="K52" s="88" t="s">
        <v>117</v>
      </c>
      <c r="L52" s="91">
        <v>45464.6550462963</v>
      </c>
      <c r="M52" s="91">
        <v>45469.6443055556</v>
      </c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5"/>
    </row>
    <row r="53" s="63" customFormat="1" ht="14.4" customHeight="1" spans="1:31">
      <c r="A53" s="68">
        <v>52</v>
      </c>
      <c r="B53" s="69" t="s">
        <v>94</v>
      </c>
      <c r="C53" s="70" t="s">
        <v>95</v>
      </c>
      <c r="D53" s="84" t="s">
        <v>155</v>
      </c>
      <c r="E53" s="84" t="s">
        <v>115</v>
      </c>
      <c r="F53" s="91">
        <v>45533.7313078704</v>
      </c>
      <c r="G53" s="91">
        <v>45540.6218981482</v>
      </c>
      <c r="H53" s="86" t="s">
        <v>99</v>
      </c>
      <c r="I53" s="87">
        <v>12000</v>
      </c>
      <c r="J53" s="83" t="s">
        <v>116</v>
      </c>
      <c r="K53" s="88" t="s">
        <v>117</v>
      </c>
      <c r="L53" s="91">
        <v>45447.714224537</v>
      </c>
      <c r="M53" s="91">
        <v>45450.7121064815</v>
      </c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5"/>
    </row>
    <row r="54" s="63" customFormat="1" ht="14.4" customHeight="1" spans="1:31">
      <c r="A54" s="68">
        <v>53</v>
      </c>
      <c r="B54" s="69" t="s">
        <v>94</v>
      </c>
      <c r="C54" s="70" t="s">
        <v>95</v>
      </c>
      <c r="D54" s="84" t="s">
        <v>156</v>
      </c>
      <c r="E54" s="84" t="s">
        <v>115</v>
      </c>
      <c r="F54" s="91">
        <v>45894.6594097222</v>
      </c>
      <c r="G54" s="91">
        <v>45892.6594907407</v>
      </c>
      <c r="H54" s="86" t="s">
        <v>99</v>
      </c>
      <c r="I54" s="87">
        <v>12000</v>
      </c>
      <c r="J54" s="83" t="s">
        <v>116</v>
      </c>
      <c r="K54" s="88" t="s">
        <v>117</v>
      </c>
      <c r="L54" s="91">
        <v>45447.7144097222</v>
      </c>
      <c r="M54" s="91">
        <v>45450.7122222222</v>
      </c>
      <c r="N54" s="84" t="s">
        <v>115</v>
      </c>
      <c r="O54" s="91">
        <v>45533.7313425926</v>
      </c>
      <c r="P54" s="91">
        <v>45540.6219675926</v>
      </c>
      <c r="Q54" s="84" t="s">
        <v>120</v>
      </c>
      <c r="R54" s="91">
        <v>45562.7728935185</v>
      </c>
      <c r="S54" s="91">
        <v>45561.7729976852</v>
      </c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5"/>
    </row>
    <row r="55" s="63" customFormat="1" ht="14.4" customHeight="1" spans="1:31">
      <c r="A55" s="68">
        <v>54</v>
      </c>
      <c r="B55" s="69" t="s">
        <v>94</v>
      </c>
      <c r="C55" s="70" t="s">
        <v>95</v>
      </c>
      <c r="D55" s="84" t="s">
        <v>157</v>
      </c>
      <c r="E55" s="84" t="s">
        <v>115</v>
      </c>
      <c r="F55" s="91">
        <v>45540.6484375</v>
      </c>
      <c r="G55" s="91">
        <v>45540.6222106482</v>
      </c>
      <c r="H55" s="86" t="s">
        <v>99</v>
      </c>
      <c r="I55" s="87">
        <v>12000</v>
      </c>
      <c r="J55" s="83" t="s">
        <v>116</v>
      </c>
      <c r="K55" s="88" t="s">
        <v>117</v>
      </c>
      <c r="L55" s="91">
        <v>45447.7144212963</v>
      </c>
      <c r="M55" s="91">
        <v>45450.7123263889</v>
      </c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5"/>
    </row>
    <row r="56" s="63" customFormat="1" ht="14.4" customHeight="1" spans="1:31">
      <c r="A56" s="68">
        <v>55</v>
      </c>
      <c r="B56" s="69" t="s">
        <v>94</v>
      </c>
      <c r="C56" s="70" t="s">
        <v>95</v>
      </c>
      <c r="D56" s="84" t="s">
        <v>158</v>
      </c>
      <c r="E56" s="84" t="s">
        <v>115</v>
      </c>
      <c r="F56" s="91">
        <v>45541.5912152778</v>
      </c>
      <c r="G56" s="91">
        <v>45540.6230439815</v>
      </c>
      <c r="H56" s="86" t="s">
        <v>99</v>
      </c>
      <c r="I56" s="87">
        <v>12000</v>
      </c>
      <c r="J56" s="83" t="s">
        <v>116</v>
      </c>
      <c r="K56" s="88" t="s">
        <v>117</v>
      </c>
      <c r="L56" s="91">
        <v>45449.4101736111</v>
      </c>
      <c r="M56" s="91">
        <v>45450.7124189815</v>
      </c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5"/>
    </row>
    <row r="57" s="63" customFormat="1" ht="14.4" customHeight="1" spans="1:31">
      <c r="A57" s="68">
        <v>56</v>
      </c>
      <c r="B57" s="69" t="s">
        <v>94</v>
      </c>
      <c r="C57" s="70" t="s">
        <v>95</v>
      </c>
      <c r="D57" s="84" t="s">
        <v>159</v>
      </c>
      <c r="E57" s="84" t="s">
        <v>115</v>
      </c>
      <c r="F57" s="91">
        <v>45780.6664699074</v>
      </c>
      <c r="G57" s="91">
        <v>45778.6665740741</v>
      </c>
      <c r="H57" s="86" t="s">
        <v>99</v>
      </c>
      <c r="I57" s="87">
        <v>12000</v>
      </c>
      <c r="J57" s="83" t="s">
        <v>116</v>
      </c>
      <c r="K57" s="88" t="s">
        <v>117</v>
      </c>
      <c r="L57" s="91">
        <v>45449.4102893519</v>
      </c>
      <c r="M57" s="91">
        <v>45450.7125</v>
      </c>
      <c r="N57" s="84" t="s">
        <v>138</v>
      </c>
      <c r="O57" s="91">
        <v>45617.61875</v>
      </c>
      <c r="P57" s="91">
        <v>45622.6666666667</v>
      </c>
      <c r="Q57" s="83" t="s">
        <v>117</v>
      </c>
      <c r="R57" s="91">
        <v>45699.4798611111</v>
      </c>
      <c r="S57" s="91">
        <v>45699.4798611111</v>
      </c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5"/>
    </row>
    <row r="58" s="63" customFormat="1" ht="14.4" customHeight="1" spans="1:31">
      <c r="A58" s="68">
        <v>57</v>
      </c>
      <c r="B58" s="69" t="s">
        <v>94</v>
      </c>
      <c r="C58" s="70" t="s">
        <v>95</v>
      </c>
      <c r="D58" s="84" t="s">
        <v>160</v>
      </c>
      <c r="E58" s="84" t="s">
        <v>115</v>
      </c>
      <c r="F58" s="91">
        <v>45780.6628703704</v>
      </c>
      <c r="G58" s="91">
        <v>45778.6629861111</v>
      </c>
      <c r="H58" s="86" t="s">
        <v>99</v>
      </c>
      <c r="I58" s="87">
        <v>12000</v>
      </c>
      <c r="J58" s="83" t="s">
        <v>116</v>
      </c>
      <c r="K58" s="88" t="s">
        <v>117</v>
      </c>
      <c r="L58" s="91">
        <v>45449.4105787037</v>
      </c>
      <c r="M58" s="91">
        <v>45450.7126851852</v>
      </c>
      <c r="N58" s="84" t="s">
        <v>138</v>
      </c>
      <c r="O58" s="91">
        <v>45617.61875</v>
      </c>
      <c r="P58" s="91">
        <v>45622.6666666667</v>
      </c>
      <c r="Q58" s="83" t="s">
        <v>117</v>
      </c>
      <c r="R58" s="91">
        <v>45699.4798611111</v>
      </c>
      <c r="S58" s="91">
        <v>45699.4798611111</v>
      </c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5"/>
    </row>
    <row r="59" s="63" customFormat="1" ht="14.4" customHeight="1" spans="1:31">
      <c r="A59" s="68">
        <v>58</v>
      </c>
      <c r="B59" s="69" t="s">
        <v>94</v>
      </c>
      <c r="C59" s="70" t="s">
        <v>95</v>
      </c>
      <c r="D59" s="84" t="s">
        <v>161</v>
      </c>
      <c r="E59" s="84" t="s">
        <v>115</v>
      </c>
      <c r="F59" s="91">
        <v>45627.6695486111</v>
      </c>
      <c r="G59" s="91">
        <v>45625.6696527778</v>
      </c>
      <c r="H59" s="86" t="s">
        <v>99</v>
      </c>
      <c r="I59" s="87">
        <v>12000</v>
      </c>
      <c r="J59" s="83" t="s">
        <v>116</v>
      </c>
      <c r="K59" s="88" t="s">
        <v>117</v>
      </c>
      <c r="L59" s="91">
        <v>45449.4107291667</v>
      </c>
      <c r="M59" s="91">
        <v>45450.7127893519</v>
      </c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5"/>
    </row>
    <row r="60" s="63" customFormat="1" ht="14.4" customHeight="1" spans="1:31">
      <c r="A60" s="68">
        <v>59</v>
      </c>
      <c r="B60" s="69" t="s">
        <v>94</v>
      </c>
      <c r="C60" s="70" t="s">
        <v>95</v>
      </c>
      <c r="D60" s="84" t="s">
        <v>162</v>
      </c>
      <c r="E60" s="84" t="s">
        <v>115</v>
      </c>
      <c r="F60" s="91">
        <v>45627.6695023148</v>
      </c>
      <c r="G60" s="91">
        <v>45625.6696180556</v>
      </c>
      <c r="H60" s="86" t="s">
        <v>99</v>
      </c>
      <c r="I60" s="87">
        <v>12000</v>
      </c>
      <c r="J60" s="83" t="s">
        <v>116</v>
      </c>
      <c r="K60" s="88" t="s">
        <v>117</v>
      </c>
      <c r="L60" s="91">
        <v>45449.4108217593</v>
      </c>
      <c r="M60" s="91">
        <v>45450.7130671296</v>
      </c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5"/>
    </row>
    <row r="61" s="63" customFormat="1" ht="14.4" customHeight="1" spans="1:31">
      <c r="A61" s="68">
        <v>60</v>
      </c>
      <c r="B61" s="69" t="s">
        <v>94</v>
      </c>
      <c r="C61" s="70" t="s">
        <v>95</v>
      </c>
      <c r="D61" s="84" t="s">
        <v>163</v>
      </c>
      <c r="E61" s="84" t="s">
        <v>115</v>
      </c>
      <c r="F61" s="91">
        <v>45627.6731018519</v>
      </c>
      <c r="G61" s="91">
        <v>45625.6732060185</v>
      </c>
      <c r="H61" s="86" t="s">
        <v>99</v>
      </c>
      <c r="I61" s="87">
        <v>12000</v>
      </c>
      <c r="J61" s="83" t="s">
        <v>116</v>
      </c>
      <c r="K61" s="88" t="s">
        <v>117</v>
      </c>
      <c r="L61" s="91">
        <v>45449.4109490741</v>
      </c>
      <c r="M61" s="91">
        <v>45450.7132523148</v>
      </c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5"/>
    </row>
    <row r="62" s="63" customFormat="1" ht="14.4" customHeight="1" spans="1:31">
      <c r="A62" s="68">
        <v>61</v>
      </c>
      <c r="B62" s="69" t="s">
        <v>94</v>
      </c>
      <c r="C62" s="70" t="s">
        <v>95</v>
      </c>
      <c r="D62" s="84" t="s">
        <v>164</v>
      </c>
      <c r="E62" s="84" t="s">
        <v>115</v>
      </c>
      <c r="F62" s="91">
        <v>45627.6731018519</v>
      </c>
      <c r="G62" s="91">
        <v>45625.6732060185</v>
      </c>
      <c r="H62" s="86" t="s">
        <v>99</v>
      </c>
      <c r="I62" s="87">
        <v>12000</v>
      </c>
      <c r="J62" s="83" t="s">
        <v>116</v>
      </c>
      <c r="K62" s="88" t="s">
        <v>117</v>
      </c>
      <c r="L62" s="91">
        <v>45449.4113310185</v>
      </c>
      <c r="M62" s="91">
        <v>45450.7137037037</v>
      </c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5"/>
    </row>
    <row r="63" s="63" customFormat="1" ht="14.4" customHeight="1" spans="1:31">
      <c r="A63" s="68">
        <v>62</v>
      </c>
      <c r="B63" s="69" t="s">
        <v>94</v>
      </c>
      <c r="C63" s="97" t="s">
        <v>95</v>
      </c>
      <c r="D63" s="97" t="s">
        <v>165</v>
      </c>
      <c r="E63" s="95" t="s">
        <v>117</v>
      </c>
      <c r="F63" s="96">
        <v>46263.4271759259</v>
      </c>
      <c r="G63" s="96">
        <v>46268.394849537</v>
      </c>
      <c r="H63" s="86" t="s">
        <v>99</v>
      </c>
      <c r="I63" s="87">
        <v>12000</v>
      </c>
      <c r="J63" s="98" t="s">
        <v>116</v>
      </c>
      <c r="K63" s="89"/>
      <c r="L63" s="90"/>
      <c r="M63" s="82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5"/>
    </row>
    <row r="64" s="63" customFormat="1" ht="14.4" customHeight="1" spans="1:31">
      <c r="A64" s="68">
        <v>63</v>
      </c>
      <c r="B64" s="69" t="s">
        <v>94</v>
      </c>
      <c r="C64" s="92" t="s">
        <v>95</v>
      </c>
      <c r="D64" s="92" t="s">
        <v>166</v>
      </c>
      <c r="E64" s="93" t="s">
        <v>120</v>
      </c>
      <c r="F64" s="94">
        <v>46254.8335532407</v>
      </c>
      <c r="G64" s="94">
        <v>46253.8337731482</v>
      </c>
      <c r="H64" s="86" t="s">
        <v>99</v>
      </c>
      <c r="I64" s="87">
        <v>12000</v>
      </c>
      <c r="J64" s="83" t="s">
        <v>116</v>
      </c>
      <c r="K64" s="95" t="s">
        <v>121</v>
      </c>
      <c r="L64" s="96">
        <v>46249.7258912037</v>
      </c>
      <c r="M64" s="96">
        <v>46252.7483101852</v>
      </c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5"/>
    </row>
    <row r="65" s="63" customFormat="1" ht="14.4" customHeight="1" spans="1:31">
      <c r="A65" s="68">
        <v>64</v>
      </c>
      <c r="B65" s="69" t="s">
        <v>94</v>
      </c>
      <c r="C65" s="97" t="s">
        <v>95</v>
      </c>
      <c r="D65" s="97" t="s">
        <v>167</v>
      </c>
      <c r="E65" s="95" t="s">
        <v>117</v>
      </c>
      <c r="F65" s="96">
        <v>46263.4289236111</v>
      </c>
      <c r="G65" s="96">
        <v>46268.3948958333</v>
      </c>
      <c r="H65" s="86" t="s">
        <v>99</v>
      </c>
      <c r="I65" s="87">
        <v>12000</v>
      </c>
      <c r="J65" s="98" t="s">
        <v>116</v>
      </c>
      <c r="K65" s="89"/>
      <c r="L65" s="90"/>
      <c r="M65" s="82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5"/>
    </row>
    <row r="66" s="63" customFormat="1" ht="14.4" customHeight="1" spans="1:31">
      <c r="A66" s="68">
        <v>65</v>
      </c>
      <c r="B66" s="69" t="s">
        <v>94</v>
      </c>
      <c r="C66" s="97" t="s">
        <v>95</v>
      </c>
      <c r="D66" s="97" t="s">
        <v>168</v>
      </c>
      <c r="E66" s="95" t="s">
        <v>117</v>
      </c>
      <c r="F66" s="96">
        <v>46262.8361921296</v>
      </c>
      <c r="G66" s="96">
        <v>46268.3949421296</v>
      </c>
      <c r="H66" s="86" t="s">
        <v>99</v>
      </c>
      <c r="I66" s="87">
        <v>12000</v>
      </c>
      <c r="J66" s="98" t="s">
        <v>116</v>
      </c>
      <c r="K66" s="89"/>
      <c r="L66" s="90"/>
      <c r="M66" s="82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5"/>
    </row>
    <row r="67" s="63" customFormat="1" ht="14.4" customHeight="1" spans="1:31">
      <c r="A67" s="68">
        <v>66</v>
      </c>
      <c r="B67" s="69" t="s">
        <v>94</v>
      </c>
      <c r="C67" s="92" t="s">
        <v>95</v>
      </c>
      <c r="D67" s="92" t="s">
        <v>169</v>
      </c>
      <c r="E67" s="93" t="s">
        <v>120</v>
      </c>
      <c r="F67" s="94">
        <v>46254.8335532407</v>
      </c>
      <c r="G67" s="94">
        <v>46253.8337731482</v>
      </c>
      <c r="H67" s="86" t="s">
        <v>99</v>
      </c>
      <c r="I67" s="87">
        <v>12000</v>
      </c>
      <c r="J67" s="83" t="s">
        <v>116</v>
      </c>
      <c r="K67" s="95" t="s">
        <v>121</v>
      </c>
      <c r="L67" s="96">
        <v>46249.7258912037</v>
      </c>
      <c r="M67" s="96">
        <v>46252.7483564815</v>
      </c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5"/>
    </row>
    <row r="68" s="63" customFormat="1" ht="14.4" customHeight="1" spans="1:31">
      <c r="A68" s="68">
        <v>67</v>
      </c>
      <c r="B68" s="69" t="s">
        <v>94</v>
      </c>
      <c r="C68" s="97" t="s">
        <v>95</v>
      </c>
      <c r="D68" s="97" t="s">
        <v>170</v>
      </c>
      <c r="E68" s="95" t="s">
        <v>117</v>
      </c>
      <c r="F68" s="96">
        <v>46262.8331944444</v>
      </c>
      <c r="G68" s="96">
        <v>46268.3949768519</v>
      </c>
      <c r="H68" s="86" t="s">
        <v>99</v>
      </c>
      <c r="I68" s="87">
        <v>12000</v>
      </c>
      <c r="J68" s="98" t="s">
        <v>116</v>
      </c>
      <c r="K68" s="89"/>
      <c r="L68" s="90"/>
      <c r="M68" s="82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5"/>
    </row>
    <row r="69" s="63" customFormat="1" ht="14.4" customHeight="1" spans="1:31">
      <c r="A69" s="68">
        <v>68</v>
      </c>
      <c r="B69" s="69" t="s">
        <v>94</v>
      </c>
      <c r="C69" s="70" t="s">
        <v>95</v>
      </c>
      <c r="D69" s="84" t="s">
        <v>171</v>
      </c>
      <c r="E69" s="88"/>
      <c r="F69" s="84"/>
      <c r="G69" s="84"/>
      <c r="H69" s="86" t="s">
        <v>99</v>
      </c>
      <c r="I69" s="87">
        <v>12000</v>
      </c>
      <c r="J69" s="84"/>
      <c r="K69" s="89"/>
      <c r="L69" s="90"/>
      <c r="M69" s="82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5"/>
    </row>
    <row r="70" s="63" customFormat="1" ht="14.4" customHeight="1" spans="1:31">
      <c r="A70" s="68">
        <v>69</v>
      </c>
      <c r="B70" s="69" t="s">
        <v>94</v>
      </c>
      <c r="C70" s="70" t="s">
        <v>95</v>
      </c>
      <c r="D70" s="84" t="s">
        <v>172</v>
      </c>
      <c r="E70" s="84" t="s">
        <v>115</v>
      </c>
      <c r="F70" s="91">
        <v>45533.7313078704</v>
      </c>
      <c r="G70" s="91">
        <v>45540.622037037</v>
      </c>
      <c r="H70" s="79" t="s">
        <v>97</v>
      </c>
      <c r="I70" s="80">
        <v>16000</v>
      </c>
      <c r="J70" s="83" t="s">
        <v>116</v>
      </c>
      <c r="K70" s="88" t="s">
        <v>117</v>
      </c>
      <c r="L70" s="91">
        <v>45449.4116666667</v>
      </c>
      <c r="M70" s="91">
        <v>45450.7137962963</v>
      </c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5"/>
    </row>
    <row r="71" s="63" customFormat="1" ht="14.4" customHeight="1" spans="1:31">
      <c r="A71" s="68">
        <v>70</v>
      </c>
      <c r="B71" s="69" t="s">
        <v>94</v>
      </c>
      <c r="C71" s="70" t="s">
        <v>95</v>
      </c>
      <c r="D71" s="84" t="s">
        <v>173</v>
      </c>
      <c r="E71" s="84" t="s">
        <v>115</v>
      </c>
      <c r="F71" s="91">
        <v>45533.731412037</v>
      </c>
      <c r="G71" s="91">
        <v>45539.6353587963</v>
      </c>
      <c r="H71" s="86" t="s">
        <v>99</v>
      </c>
      <c r="I71" s="87">
        <v>12000</v>
      </c>
      <c r="J71" s="83" t="s">
        <v>116</v>
      </c>
      <c r="K71" s="88" t="s">
        <v>117</v>
      </c>
      <c r="L71" s="91">
        <v>45449.4117708333</v>
      </c>
      <c r="M71" s="91">
        <v>45450.7139236111</v>
      </c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5"/>
    </row>
    <row r="72" s="63" customFormat="1" ht="14.4" customHeight="1" spans="1:31">
      <c r="A72" s="68">
        <v>71</v>
      </c>
      <c r="B72" s="69" t="s">
        <v>94</v>
      </c>
      <c r="C72" s="70" t="s">
        <v>95</v>
      </c>
      <c r="D72" s="84" t="s">
        <v>174</v>
      </c>
      <c r="E72" s="84" t="s">
        <v>115</v>
      </c>
      <c r="F72" s="91">
        <v>45540.7284027778</v>
      </c>
      <c r="G72" s="91">
        <v>45540.622337963</v>
      </c>
      <c r="H72" s="86" t="s">
        <v>99</v>
      </c>
      <c r="I72" s="87">
        <v>12000</v>
      </c>
      <c r="J72" s="83" t="s">
        <v>116</v>
      </c>
      <c r="K72" s="88" t="s">
        <v>117</v>
      </c>
      <c r="L72" s="91">
        <v>45449.4118634259</v>
      </c>
      <c r="M72" s="91">
        <v>45450.7140277778</v>
      </c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5"/>
    </row>
    <row r="73" s="63" customFormat="1" ht="14.4" customHeight="1" spans="1:31">
      <c r="A73" s="68">
        <v>72</v>
      </c>
      <c r="B73" s="69" t="s">
        <v>94</v>
      </c>
      <c r="C73" s="70" t="s">
        <v>95</v>
      </c>
      <c r="D73" s="84" t="s">
        <v>175</v>
      </c>
      <c r="E73" s="84" t="s">
        <v>115</v>
      </c>
      <c r="F73" s="91">
        <v>45540.7326273148</v>
      </c>
      <c r="G73" s="91">
        <v>45540.6223842593</v>
      </c>
      <c r="H73" s="86" t="s">
        <v>99</v>
      </c>
      <c r="I73" s="87">
        <v>12000</v>
      </c>
      <c r="J73" s="83" t="s">
        <v>116</v>
      </c>
      <c r="K73" s="88" t="s">
        <v>117</v>
      </c>
      <c r="L73" s="91">
        <v>45449.4121875</v>
      </c>
      <c r="M73" s="91">
        <v>45450.7141319444</v>
      </c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5"/>
    </row>
    <row r="74" s="63" customFormat="1" ht="14.4" customHeight="1" spans="1:31">
      <c r="A74" s="68">
        <v>73</v>
      </c>
      <c r="B74" s="69" t="s">
        <v>94</v>
      </c>
      <c r="C74" s="70" t="s">
        <v>95</v>
      </c>
      <c r="D74" s="84" t="s">
        <v>176</v>
      </c>
      <c r="E74" s="84" t="s">
        <v>115</v>
      </c>
      <c r="F74" s="91">
        <v>45776.6856481481</v>
      </c>
      <c r="G74" s="91">
        <v>45774.6857523148</v>
      </c>
      <c r="H74" s="86" t="s">
        <v>99</v>
      </c>
      <c r="I74" s="87">
        <v>12000</v>
      </c>
      <c r="J74" s="83" t="s">
        <v>116</v>
      </c>
      <c r="K74" s="88" t="s">
        <v>117</v>
      </c>
      <c r="L74" s="91">
        <v>45449.4122685185</v>
      </c>
      <c r="M74" s="91">
        <v>45450.714224537</v>
      </c>
      <c r="N74" s="84" t="s">
        <v>138</v>
      </c>
      <c r="O74" s="91">
        <v>45617.61875</v>
      </c>
      <c r="P74" s="91">
        <v>45622.6666666667</v>
      </c>
      <c r="Q74" s="83" t="s">
        <v>117</v>
      </c>
      <c r="R74" s="91">
        <v>45699.4798611111</v>
      </c>
      <c r="S74" s="91">
        <v>45699.4798611111</v>
      </c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5"/>
    </row>
    <row r="75" s="63" customFormat="1" ht="14.4" customHeight="1" spans="1:31">
      <c r="A75" s="68">
        <v>74</v>
      </c>
      <c r="B75" s="69" t="s">
        <v>94</v>
      </c>
      <c r="C75" s="70" t="s">
        <v>95</v>
      </c>
      <c r="D75" s="84" t="s">
        <v>177</v>
      </c>
      <c r="E75" s="84" t="s">
        <v>115</v>
      </c>
      <c r="F75" s="91">
        <v>45780.666400463</v>
      </c>
      <c r="G75" s="91">
        <v>45778.6665046296</v>
      </c>
      <c r="H75" s="86" t="s">
        <v>99</v>
      </c>
      <c r="I75" s="87">
        <v>12000</v>
      </c>
      <c r="J75" s="83" t="s">
        <v>116</v>
      </c>
      <c r="K75" s="88" t="s">
        <v>117</v>
      </c>
      <c r="L75" s="91">
        <v>45449.4124652778</v>
      </c>
      <c r="M75" s="91">
        <v>45450.7143055556</v>
      </c>
      <c r="N75" s="84" t="s">
        <v>138</v>
      </c>
      <c r="O75" s="91">
        <v>45617.61875</v>
      </c>
      <c r="P75" s="91">
        <v>45622.6666666667</v>
      </c>
      <c r="Q75" s="83" t="s">
        <v>117</v>
      </c>
      <c r="R75" s="91">
        <v>45699.4798611111</v>
      </c>
      <c r="S75" s="91">
        <v>45699.4798611111</v>
      </c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5"/>
    </row>
    <row r="76" s="63" customFormat="1" ht="14.4" customHeight="1" spans="1:31">
      <c r="A76" s="68">
        <v>75</v>
      </c>
      <c r="B76" s="69" t="s">
        <v>94</v>
      </c>
      <c r="C76" s="70" t="s">
        <v>95</v>
      </c>
      <c r="D76" s="84" t="s">
        <v>178</v>
      </c>
      <c r="E76" s="84" t="s">
        <v>115</v>
      </c>
      <c r="F76" s="91">
        <v>45627.6660532407</v>
      </c>
      <c r="G76" s="91">
        <v>45625.6661689815</v>
      </c>
      <c r="H76" s="86" t="s">
        <v>99</v>
      </c>
      <c r="I76" s="87">
        <v>12000</v>
      </c>
      <c r="J76" s="83" t="s">
        <v>116</v>
      </c>
      <c r="K76" s="88" t="s">
        <v>117</v>
      </c>
      <c r="L76" s="91">
        <v>45449.4125462963</v>
      </c>
      <c r="M76" s="91">
        <v>45450.7144328704</v>
      </c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5"/>
    </row>
    <row r="77" s="63" customFormat="1" ht="14.4" customHeight="1" spans="1:31">
      <c r="A77" s="68">
        <v>76</v>
      </c>
      <c r="B77" s="69" t="s">
        <v>94</v>
      </c>
      <c r="C77" s="70" t="s">
        <v>95</v>
      </c>
      <c r="D77" s="84" t="s">
        <v>179</v>
      </c>
      <c r="E77" s="84" t="s">
        <v>115</v>
      </c>
      <c r="F77" s="91">
        <v>45627.6695023148</v>
      </c>
      <c r="G77" s="91">
        <v>45625.6696180556</v>
      </c>
      <c r="H77" s="86" t="s">
        <v>99</v>
      </c>
      <c r="I77" s="87">
        <v>12000</v>
      </c>
      <c r="J77" s="83" t="s">
        <v>116</v>
      </c>
      <c r="K77" s="88" t="s">
        <v>117</v>
      </c>
      <c r="L77" s="91">
        <v>45449.4126736111</v>
      </c>
      <c r="M77" s="91">
        <v>45450.714525463</v>
      </c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5"/>
    </row>
    <row r="78" s="63" customFormat="1" ht="14.4" customHeight="1" spans="1:31">
      <c r="A78" s="68">
        <v>77</v>
      </c>
      <c r="B78" s="69" t="s">
        <v>94</v>
      </c>
      <c r="C78" s="70" t="s">
        <v>95</v>
      </c>
      <c r="D78" s="84" t="s">
        <v>180</v>
      </c>
      <c r="E78" s="84" t="s">
        <v>115</v>
      </c>
      <c r="F78" s="91">
        <v>45627.6694675926</v>
      </c>
      <c r="G78" s="91">
        <v>45625.6695833333</v>
      </c>
      <c r="H78" s="86" t="s">
        <v>99</v>
      </c>
      <c r="I78" s="87">
        <v>12000</v>
      </c>
      <c r="J78" s="83" t="s">
        <v>116</v>
      </c>
      <c r="K78" s="88" t="s">
        <v>117</v>
      </c>
      <c r="L78" s="91">
        <v>45449.4127546296</v>
      </c>
      <c r="M78" s="91">
        <v>45450.7146412037</v>
      </c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5"/>
    </row>
    <row r="79" s="63" customFormat="1" ht="14.4" customHeight="1" spans="1:31">
      <c r="A79" s="68">
        <v>78</v>
      </c>
      <c r="B79" s="69" t="s">
        <v>94</v>
      </c>
      <c r="C79" s="70" t="s">
        <v>95</v>
      </c>
      <c r="D79" s="84" t="s">
        <v>181</v>
      </c>
      <c r="E79" s="84" t="s">
        <v>115</v>
      </c>
      <c r="F79" s="91">
        <v>45627.6695486111</v>
      </c>
      <c r="G79" s="91">
        <v>45625.6696527778</v>
      </c>
      <c r="H79" s="86" t="s">
        <v>99</v>
      </c>
      <c r="I79" s="87">
        <v>12000</v>
      </c>
      <c r="J79" s="83" t="s">
        <v>116</v>
      </c>
      <c r="K79" s="88" t="s">
        <v>117</v>
      </c>
      <c r="L79" s="91">
        <v>45449.4128587963</v>
      </c>
      <c r="M79" s="91">
        <v>45450.7147916667</v>
      </c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5"/>
    </row>
    <row r="80" s="63" customFormat="1" ht="14.4" customHeight="1" spans="1:31">
      <c r="A80" s="68">
        <v>79</v>
      </c>
      <c r="B80" s="69" t="s">
        <v>94</v>
      </c>
      <c r="C80" s="97" t="s">
        <v>95</v>
      </c>
      <c r="D80" s="97" t="s">
        <v>182</v>
      </c>
      <c r="E80" s="95" t="s">
        <v>117</v>
      </c>
      <c r="F80" s="96">
        <v>46263.4289583333</v>
      </c>
      <c r="G80" s="96">
        <v>46268.3950347222</v>
      </c>
      <c r="H80" s="86" t="s">
        <v>99</v>
      </c>
      <c r="I80" s="87">
        <v>12000</v>
      </c>
      <c r="J80" s="98" t="s">
        <v>116</v>
      </c>
      <c r="K80" s="89"/>
      <c r="L80" s="90"/>
      <c r="M80" s="82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5"/>
    </row>
    <row r="81" s="63" customFormat="1" ht="14.4" customHeight="1" spans="1:31">
      <c r="A81" s="68">
        <v>80</v>
      </c>
      <c r="B81" s="69" t="s">
        <v>94</v>
      </c>
      <c r="C81" s="92" t="s">
        <v>95</v>
      </c>
      <c r="D81" s="92" t="s">
        <v>183</v>
      </c>
      <c r="E81" s="93" t="s">
        <v>120</v>
      </c>
      <c r="F81" s="94">
        <v>46254.8335532407</v>
      </c>
      <c r="G81" s="94">
        <v>46253.8337731482</v>
      </c>
      <c r="H81" s="86" t="s">
        <v>99</v>
      </c>
      <c r="I81" s="87">
        <v>12000</v>
      </c>
      <c r="J81" s="83" t="s">
        <v>116</v>
      </c>
      <c r="K81" s="95" t="s">
        <v>121</v>
      </c>
      <c r="L81" s="96">
        <v>46249.7258912037</v>
      </c>
      <c r="M81" s="96">
        <v>46252.7484027778</v>
      </c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5"/>
    </row>
    <row r="82" s="63" customFormat="1" ht="14.4" customHeight="1" spans="1:31">
      <c r="A82" s="68">
        <v>81</v>
      </c>
      <c r="B82" s="69" t="s">
        <v>94</v>
      </c>
      <c r="C82" s="97" t="s">
        <v>95</v>
      </c>
      <c r="D82" s="97" t="s">
        <v>184</v>
      </c>
      <c r="E82" s="95" t="s">
        <v>117</v>
      </c>
      <c r="F82" s="96">
        <v>46263.4268518519</v>
      </c>
      <c r="G82" s="96">
        <v>46268.3950694444</v>
      </c>
      <c r="H82" s="86" t="s">
        <v>99</v>
      </c>
      <c r="I82" s="87">
        <v>12000</v>
      </c>
      <c r="J82" s="98" t="s">
        <v>116</v>
      </c>
      <c r="K82" s="89"/>
      <c r="L82" s="90"/>
      <c r="M82" s="82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5"/>
    </row>
    <row r="83" s="63" customFormat="1" ht="14.4" customHeight="1" spans="1:31">
      <c r="A83" s="68">
        <v>82</v>
      </c>
      <c r="B83" s="69" t="s">
        <v>94</v>
      </c>
      <c r="C83" s="97" t="s">
        <v>95</v>
      </c>
      <c r="D83" s="97" t="s">
        <v>185</v>
      </c>
      <c r="E83" s="95" t="s">
        <v>117</v>
      </c>
      <c r="F83" s="96">
        <v>46262.8371875</v>
      </c>
      <c r="G83" s="96">
        <v>46268.3951157407</v>
      </c>
      <c r="H83" s="86" t="s">
        <v>99</v>
      </c>
      <c r="I83" s="87">
        <v>12000</v>
      </c>
      <c r="J83" s="98" t="s">
        <v>116</v>
      </c>
      <c r="K83" s="89"/>
      <c r="L83" s="90"/>
      <c r="M83" s="82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5"/>
    </row>
    <row r="84" s="63" customFormat="1" ht="14.4" customHeight="1" spans="1:31">
      <c r="A84" s="68">
        <v>83</v>
      </c>
      <c r="B84" s="69" t="s">
        <v>94</v>
      </c>
      <c r="C84" s="92" t="s">
        <v>95</v>
      </c>
      <c r="D84" s="92" t="s">
        <v>186</v>
      </c>
      <c r="E84" s="93" t="s">
        <v>120</v>
      </c>
      <c r="F84" s="94">
        <v>46254.8335532407</v>
      </c>
      <c r="G84" s="94">
        <v>46253.8337731482</v>
      </c>
      <c r="H84" s="86" t="s">
        <v>99</v>
      </c>
      <c r="I84" s="87">
        <v>12000</v>
      </c>
      <c r="J84" s="83" t="s">
        <v>116</v>
      </c>
      <c r="K84" s="95" t="s">
        <v>121</v>
      </c>
      <c r="L84" s="96">
        <v>46249.7258912037</v>
      </c>
      <c r="M84" s="96">
        <v>46252.7484375</v>
      </c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5"/>
    </row>
    <row r="85" s="63" customFormat="1" ht="14.4" customHeight="1" spans="1:31">
      <c r="A85" s="68">
        <v>84</v>
      </c>
      <c r="B85" s="69" t="s">
        <v>94</v>
      </c>
      <c r="C85" s="97" t="s">
        <v>95</v>
      </c>
      <c r="D85" s="97" t="s">
        <v>187</v>
      </c>
      <c r="E85" s="95" t="s">
        <v>117</v>
      </c>
      <c r="F85" s="96">
        <v>46262.835775463</v>
      </c>
      <c r="G85" s="96">
        <v>46268.395162037</v>
      </c>
      <c r="H85" s="86" t="s">
        <v>99</v>
      </c>
      <c r="I85" s="87">
        <v>12000</v>
      </c>
      <c r="J85" s="98" t="s">
        <v>116</v>
      </c>
      <c r="K85" s="89"/>
      <c r="L85" s="90"/>
      <c r="M85" s="82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5"/>
    </row>
    <row r="86" s="63" customFormat="1" ht="14.4" customHeight="1" spans="1:31">
      <c r="A86" s="68">
        <v>85</v>
      </c>
      <c r="B86" s="69" t="s">
        <v>94</v>
      </c>
      <c r="C86" s="70" t="s">
        <v>95</v>
      </c>
      <c r="D86" s="84" t="s">
        <v>188</v>
      </c>
      <c r="E86" s="84" t="s">
        <v>115</v>
      </c>
      <c r="F86" s="91">
        <v>45533.7355092593</v>
      </c>
      <c r="G86" s="91">
        <v>45539.6352777778</v>
      </c>
      <c r="H86" s="79" t="s">
        <v>97</v>
      </c>
      <c r="I86" s="80">
        <v>16000</v>
      </c>
      <c r="J86" s="83" t="s">
        <v>116</v>
      </c>
      <c r="K86" s="88" t="s">
        <v>117</v>
      </c>
      <c r="L86" s="91">
        <v>45451.6735069444</v>
      </c>
      <c r="M86" s="91">
        <v>45455.7487847222</v>
      </c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5"/>
    </row>
    <row r="87" s="63" customFormat="1" ht="14.4" customHeight="1" spans="1:31">
      <c r="A87" s="68">
        <v>86</v>
      </c>
      <c r="B87" s="69" t="s">
        <v>94</v>
      </c>
      <c r="C87" s="70" t="s">
        <v>95</v>
      </c>
      <c r="D87" s="84" t="s">
        <v>189</v>
      </c>
      <c r="E87" s="84" t="s">
        <v>115</v>
      </c>
      <c r="F87" s="91">
        <v>45893.4661689815</v>
      </c>
      <c r="G87" s="91">
        <v>45891.46625</v>
      </c>
      <c r="H87" s="86" t="s">
        <v>99</v>
      </c>
      <c r="I87" s="87">
        <v>12000</v>
      </c>
      <c r="J87" s="83" t="s">
        <v>116</v>
      </c>
      <c r="K87" s="88" t="s">
        <v>117</v>
      </c>
      <c r="L87" s="91">
        <v>45451.6736574074</v>
      </c>
      <c r="M87" s="91">
        <v>45455.7488194444</v>
      </c>
      <c r="N87" s="84" t="s">
        <v>115</v>
      </c>
      <c r="O87" s="91">
        <v>45533.7314467593</v>
      </c>
      <c r="P87" s="91">
        <v>45539.6350462963</v>
      </c>
      <c r="Q87" s="84" t="s">
        <v>120</v>
      </c>
      <c r="R87" s="91">
        <v>45562.7728935185</v>
      </c>
      <c r="S87" s="91">
        <v>45561.7729976852</v>
      </c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5"/>
    </row>
    <row r="88" s="63" customFormat="1" ht="14.4" customHeight="1" spans="1:31">
      <c r="A88" s="68">
        <v>87</v>
      </c>
      <c r="B88" s="69" t="s">
        <v>94</v>
      </c>
      <c r="C88" s="70" t="s">
        <v>95</v>
      </c>
      <c r="D88" s="84" t="s">
        <v>190</v>
      </c>
      <c r="E88" s="84" t="s">
        <v>115</v>
      </c>
      <c r="F88" s="91">
        <v>45540.7327083333</v>
      </c>
      <c r="G88" s="91">
        <v>45540.6225</v>
      </c>
      <c r="H88" s="86" t="s">
        <v>99</v>
      </c>
      <c r="I88" s="87">
        <v>12000</v>
      </c>
      <c r="J88" s="83" t="s">
        <v>116</v>
      </c>
      <c r="K88" s="88" t="s">
        <v>117</v>
      </c>
      <c r="L88" s="91">
        <v>45451.6740162037</v>
      </c>
      <c r="M88" s="91">
        <v>45455.7489351852</v>
      </c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5"/>
    </row>
    <row r="89" s="63" customFormat="1" ht="14.4" customHeight="1" spans="1:31">
      <c r="A89" s="68">
        <v>88</v>
      </c>
      <c r="B89" s="69" t="s">
        <v>94</v>
      </c>
      <c r="C89" s="70" t="s">
        <v>95</v>
      </c>
      <c r="D89" s="84" t="s">
        <v>191</v>
      </c>
      <c r="E89" s="84" t="s">
        <v>115</v>
      </c>
      <c r="F89" s="91">
        <v>45540.7367592593</v>
      </c>
      <c r="G89" s="91">
        <v>45540.6224537037</v>
      </c>
      <c r="H89" s="86" t="s">
        <v>99</v>
      </c>
      <c r="I89" s="87">
        <v>12000</v>
      </c>
      <c r="J89" s="83" t="s">
        <v>116</v>
      </c>
      <c r="K89" s="88" t="s">
        <v>117</v>
      </c>
      <c r="L89" s="91">
        <v>45451.6742476852</v>
      </c>
      <c r="M89" s="91">
        <v>45455.7489699074</v>
      </c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5"/>
    </row>
    <row r="90" s="63" customFormat="1" ht="14.4" customHeight="1" spans="1:31">
      <c r="A90" s="68">
        <v>89</v>
      </c>
      <c r="B90" s="69" t="s">
        <v>94</v>
      </c>
      <c r="C90" s="70" t="s">
        <v>95</v>
      </c>
      <c r="D90" s="84" t="s">
        <v>192</v>
      </c>
      <c r="E90" s="84" t="s">
        <v>115</v>
      </c>
      <c r="F90" s="91">
        <v>45780.6664699074</v>
      </c>
      <c r="G90" s="91">
        <v>45778.6665740741</v>
      </c>
      <c r="H90" s="86" t="s">
        <v>99</v>
      </c>
      <c r="I90" s="87">
        <v>12000</v>
      </c>
      <c r="J90" s="83" t="s">
        <v>116</v>
      </c>
      <c r="K90" s="88" t="s">
        <v>117</v>
      </c>
      <c r="L90" s="91">
        <v>45449.413125</v>
      </c>
      <c r="M90" s="91">
        <v>45450.7152546296</v>
      </c>
      <c r="N90" s="84" t="s">
        <v>138</v>
      </c>
      <c r="O90" s="91">
        <v>45617.61875</v>
      </c>
      <c r="P90" s="91">
        <v>45622.6666666667</v>
      </c>
      <c r="Q90" s="83" t="s">
        <v>117</v>
      </c>
      <c r="R90" s="91">
        <v>45699.4798611111</v>
      </c>
      <c r="S90" s="91">
        <v>45699.4798611111</v>
      </c>
      <c r="T90" s="84" t="s">
        <v>138</v>
      </c>
      <c r="U90" s="91">
        <v>45736.6183333333</v>
      </c>
      <c r="V90" s="91">
        <v>45742.7538194444</v>
      </c>
      <c r="W90" s="84" t="s">
        <v>117</v>
      </c>
      <c r="X90" s="91">
        <v>45745.6768865741</v>
      </c>
      <c r="Y90" s="91">
        <v>45747.6228935185</v>
      </c>
      <c r="Z90" s="84"/>
      <c r="AA90" s="84"/>
      <c r="AB90" s="84"/>
      <c r="AC90" s="84"/>
      <c r="AD90" s="84"/>
      <c r="AE90" s="85"/>
    </row>
    <row r="91" s="63" customFormat="1" ht="14.4" customHeight="1" spans="1:31">
      <c r="A91" s="68">
        <v>90</v>
      </c>
      <c r="B91" s="69" t="s">
        <v>94</v>
      </c>
      <c r="C91" s="70" t="s">
        <v>95</v>
      </c>
      <c r="D91" s="84" t="s">
        <v>193</v>
      </c>
      <c r="E91" s="84" t="s">
        <v>115</v>
      </c>
      <c r="F91" s="91">
        <v>45780.6664467593</v>
      </c>
      <c r="G91" s="91">
        <v>45778.6665625</v>
      </c>
      <c r="H91" s="86" t="s">
        <v>99</v>
      </c>
      <c r="I91" s="87">
        <v>12000</v>
      </c>
      <c r="J91" s="83" t="s">
        <v>116</v>
      </c>
      <c r="K91" s="88" t="s">
        <v>117</v>
      </c>
      <c r="L91" s="91">
        <v>45451.6744675926</v>
      </c>
      <c r="M91" s="91">
        <v>45455.7490162037</v>
      </c>
      <c r="N91" s="84" t="s">
        <v>138</v>
      </c>
      <c r="O91" s="91">
        <v>45617.61875</v>
      </c>
      <c r="P91" s="91">
        <v>45622.6666666667</v>
      </c>
      <c r="Q91" s="83" t="s">
        <v>117</v>
      </c>
      <c r="R91" s="91">
        <v>45699.4798611111</v>
      </c>
      <c r="S91" s="91">
        <v>45699.4798611111</v>
      </c>
      <c r="T91" s="84" t="s">
        <v>138</v>
      </c>
      <c r="U91" s="91">
        <v>45736.6183333333</v>
      </c>
      <c r="V91" s="91">
        <v>45742.7537731481</v>
      </c>
      <c r="W91" s="84" t="s">
        <v>117</v>
      </c>
      <c r="X91" s="91">
        <v>45745.6768865741</v>
      </c>
      <c r="Y91" s="91">
        <v>45747.622974537</v>
      </c>
      <c r="Z91" s="84"/>
      <c r="AA91" s="84"/>
      <c r="AB91" s="84"/>
      <c r="AC91" s="84"/>
      <c r="AD91" s="84"/>
      <c r="AE91" s="85"/>
    </row>
    <row r="92" s="63" customFormat="1" ht="14.4" customHeight="1" spans="1:31">
      <c r="A92" s="68">
        <v>91</v>
      </c>
      <c r="B92" s="69" t="s">
        <v>94</v>
      </c>
      <c r="C92" s="70" t="s">
        <v>95</v>
      </c>
      <c r="D92" s="84" t="s">
        <v>194</v>
      </c>
      <c r="E92" s="84" t="s">
        <v>115</v>
      </c>
      <c r="F92" s="91">
        <v>45627.6695138889</v>
      </c>
      <c r="G92" s="91">
        <v>45625.6696296296</v>
      </c>
      <c r="H92" s="86" t="s">
        <v>99</v>
      </c>
      <c r="I92" s="87">
        <v>12000</v>
      </c>
      <c r="J92" s="83" t="s">
        <v>116</v>
      </c>
      <c r="K92" s="88" t="s">
        <v>117</v>
      </c>
      <c r="L92" s="91">
        <v>45449.4134143519</v>
      </c>
      <c r="M92" s="91">
        <v>45450.7153472222</v>
      </c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5"/>
    </row>
    <row r="93" s="63" customFormat="1" ht="14.4" customHeight="1" spans="1:31">
      <c r="A93" s="68">
        <v>92</v>
      </c>
      <c r="B93" s="69" t="s">
        <v>94</v>
      </c>
      <c r="C93" s="70" t="s">
        <v>95</v>
      </c>
      <c r="D93" s="84" t="s">
        <v>195</v>
      </c>
      <c r="E93" s="84" t="s">
        <v>115</v>
      </c>
      <c r="F93" s="91">
        <v>45627.6695138889</v>
      </c>
      <c r="G93" s="91">
        <v>45625.6696296296</v>
      </c>
      <c r="H93" s="86" t="s">
        <v>99</v>
      </c>
      <c r="I93" s="87">
        <v>12000</v>
      </c>
      <c r="J93" s="83" t="s">
        <v>116</v>
      </c>
      <c r="K93" s="88" t="s">
        <v>117</v>
      </c>
      <c r="L93" s="91">
        <v>45451.6747337963</v>
      </c>
      <c r="M93" s="91">
        <v>45455.7490625</v>
      </c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5"/>
    </row>
    <row r="94" s="63" customFormat="1" ht="14.4" customHeight="1" spans="1:31">
      <c r="A94" s="68">
        <v>93</v>
      </c>
      <c r="B94" s="69" t="s">
        <v>94</v>
      </c>
      <c r="C94" s="70" t="s">
        <v>95</v>
      </c>
      <c r="D94" s="84" t="s">
        <v>196</v>
      </c>
      <c r="E94" s="84" t="s">
        <v>115</v>
      </c>
      <c r="F94" s="91">
        <v>45627.6731018519</v>
      </c>
      <c r="G94" s="91">
        <v>45625.6732175926</v>
      </c>
      <c r="H94" s="86" t="s">
        <v>99</v>
      </c>
      <c r="I94" s="87">
        <v>12000</v>
      </c>
      <c r="J94" s="83" t="s">
        <v>116</v>
      </c>
      <c r="K94" s="88" t="s">
        <v>117</v>
      </c>
      <c r="L94" s="91">
        <v>45451.6748263889</v>
      </c>
      <c r="M94" s="91">
        <v>45455.7490972222</v>
      </c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5"/>
    </row>
    <row r="95" s="63" customFormat="1" ht="14.4" customHeight="1" spans="1:31">
      <c r="A95" s="68">
        <v>94</v>
      </c>
      <c r="B95" s="69" t="s">
        <v>94</v>
      </c>
      <c r="C95" s="70" t="s">
        <v>95</v>
      </c>
      <c r="D95" s="84" t="s">
        <v>197</v>
      </c>
      <c r="E95" s="84" t="s">
        <v>115</v>
      </c>
      <c r="F95" s="91">
        <v>45627.6698611111</v>
      </c>
      <c r="G95" s="91">
        <v>45625.6699768519</v>
      </c>
      <c r="H95" s="86" t="s">
        <v>99</v>
      </c>
      <c r="I95" s="87">
        <v>12000</v>
      </c>
      <c r="J95" s="83" t="s">
        <v>116</v>
      </c>
      <c r="K95" s="88" t="s">
        <v>117</v>
      </c>
      <c r="L95" s="91">
        <v>45451.6749074074</v>
      </c>
      <c r="M95" s="91">
        <v>45455.7491435185</v>
      </c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5"/>
    </row>
    <row r="96" s="63" customFormat="1" ht="14.4" customHeight="1" spans="1:31">
      <c r="A96" s="68">
        <v>95</v>
      </c>
      <c r="B96" s="69" t="s">
        <v>94</v>
      </c>
      <c r="C96" s="97" t="s">
        <v>95</v>
      </c>
      <c r="D96" s="97" t="s">
        <v>198</v>
      </c>
      <c r="E96" s="95" t="s">
        <v>117</v>
      </c>
      <c r="F96" s="96">
        <v>46263.6173958333</v>
      </c>
      <c r="G96" s="96">
        <v>46268.3952083333</v>
      </c>
      <c r="H96" s="86" t="s">
        <v>99</v>
      </c>
      <c r="I96" s="87">
        <v>12000</v>
      </c>
      <c r="J96" s="98" t="s">
        <v>116</v>
      </c>
      <c r="K96" s="89"/>
      <c r="L96" s="90"/>
      <c r="M96" s="82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5"/>
    </row>
    <row r="97" s="63" customFormat="1" ht="14.4" customHeight="1" spans="1:31">
      <c r="A97" s="68">
        <v>96</v>
      </c>
      <c r="B97" s="69" t="s">
        <v>94</v>
      </c>
      <c r="C97" s="92" t="s">
        <v>95</v>
      </c>
      <c r="D97" s="92" t="s">
        <v>199</v>
      </c>
      <c r="E97" s="93" t="s">
        <v>120</v>
      </c>
      <c r="F97" s="94">
        <v>46254.8335532407</v>
      </c>
      <c r="G97" s="94">
        <v>46253.8337731482</v>
      </c>
      <c r="H97" s="86" t="s">
        <v>99</v>
      </c>
      <c r="I97" s="87">
        <v>12000</v>
      </c>
      <c r="J97" s="83" t="s">
        <v>116</v>
      </c>
      <c r="K97" s="95" t="s">
        <v>121</v>
      </c>
      <c r="L97" s="96">
        <v>46249.7258912037</v>
      </c>
      <c r="M97" s="96">
        <v>46252.7484837963</v>
      </c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5"/>
    </row>
    <row r="98" s="63" customFormat="1" ht="14.4" customHeight="1" spans="1:31">
      <c r="A98" s="68">
        <v>97</v>
      </c>
      <c r="B98" s="69" t="s">
        <v>94</v>
      </c>
      <c r="C98" s="97" t="s">
        <v>95</v>
      </c>
      <c r="D98" s="97" t="s">
        <v>200</v>
      </c>
      <c r="E98" s="95" t="s">
        <v>117</v>
      </c>
      <c r="F98" s="96">
        <v>46263.6164814815</v>
      </c>
      <c r="G98" s="96">
        <v>46268.3952546296</v>
      </c>
      <c r="H98" s="86" t="s">
        <v>99</v>
      </c>
      <c r="I98" s="87">
        <v>12000</v>
      </c>
      <c r="J98" s="98" t="s">
        <v>116</v>
      </c>
      <c r="K98" s="89"/>
      <c r="L98" s="90"/>
      <c r="M98" s="82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5"/>
    </row>
    <row r="99" s="63" customFormat="1" ht="14.4" customHeight="1" spans="1:31">
      <c r="A99" s="68">
        <v>98</v>
      </c>
      <c r="B99" s="69" t="s">
        <v>94</v>
      </c>
      <c r="C99" s="97" t="s">
        <v>95</v>
      </c>
      <c r="D99" s="97" t="s">
        <v>201</v>
      </c>
      <c r="E99" s="95" t="s">
        <v>117</v>
      </c>
      <c r="F99" s="96">
        <v>46263.630150463</v>
      </c>
      <c r="G99" s="96">
        <v>46268.3953009259</v>
      </c>
      <c r="H99" s="86" t="s">
        <v>99</v>
      </c>
      <c r="I99" s="87">
        <v>12000</v>
      </c>
      <c r="J99" s="98" t="s">
        <v>116</v>
      </c>
      <c r="K99" s="89"/>
      <c r="L99" s="90"/>
      <c r="M99" s="82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5"/>
    </row>
    <row r="100" s="63" customFormat="1" ht="14.4" customHeight="1" spans="1:31">
      <c r="A100" s="68">
        <v>99</v>
      </c>
      <c r="B100" s="69" t="s">
        <v>94</v>
      </c>
      <c r="C100" s="92" t="s">
        <v>95</v>
      </c>
      <c r="D100" s="92" t="s">
        <v>202</v>
      </c>
      <c r="E100" s="93" t="s">
        <v>120</v>
      </c>
      <c r="F100" s="94">
        <v>46254.8335532407</v>
      </c>
      <c r="G100" s="94">
        <v>46253.8337731482</v>
      </c>
      <c r="H100" s="86" t="s">
        <v>99</v>
      </c>
      <c r="I100" s="87">
        <v>12000</v>
      </c>
      <c r="J100" s="83" t="s">
        <v>116</v>
      </c>
      <c r="K100" s="95" t="s">
        <v>121</v>
      </c>
      <c r="L100" s="96">
        <v>46249.7258912037</v>
      </c>
      <c r="M100" s="96">
        <v>46252.7485300926</v>
      </c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5"/>
    </row>
    <row r="101" s="63" customFormat="1" ht="14.4" customHeight="1" spans="1:31">
      <c r="A101" s="68">
        <v>100</v>
      </c>
      <c r="B101" s="69" t="s">
        <v>94</v>
      </c>
      <c r="C101" s="97" t="s">
        <v>95</v>
      </c>
      <c r="D101" s="97" t="s">
        <v>203</v>
      </c>
      <c r="E101" s="95" t="s">
        <v>117</v>
      </c>
      <c r="F101" s="96">
        <v>46263.6299768519</v>
      </c>
      <c r="G101" s="96">
        <v>46268.3957638889</v>
      </c>
      <c r="H101" s="86" t="s">
        <v>99</v>
      </c>
      <c r="I101" s="87">
        <v>12000</v>
      </c>
      <c r="J101" s="98" t="s">
        <v>116</v>
      </c>
      <c r="K101" s="89"/>
      <c r="L101" s="90"/>
      <c r="M101" s="82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5"/>
    </row>
    <row r="102" s="63" customFormat="1" ht="14.4" customHeight="1" spans="1:31">
      <c r="A102" s="68">
        <v>101</v>
      </c>
      <c r="B102" s="69" t="s">
        <v>94</v>
      </c>
      <c r="C102" s="70" t="s">
        <v>95</v>
      </c>
      <c r="D102" s="84" t="s">
        <v>204</v>
      </c>
      <c r="E102" s="88"/>
      <c r="F102" s="84"/>
      <c r="G102" s="84"/>
      <c r="H102" s="86" t="s">
        <v>99</v>
      </c>
      <c r="I102" s="87">
        <v>12000</v>
      </c>
      <c r="J102" s="84"/>
      <c r="K102" s="89"/>
      <c r="L102" s="90"/>
      <c r="M102" s="82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5"/>
    </row>
    <row r="103" s="63" customFormat="1" ht="14.4" customHeight="1" spans="1:31">
      <c r="A103" s="68">
        <v>102</v>
      </c>
      <c r="B103" s="69" t="s">
        <v>94</v>
      </c>
      <c r="C103" s="70" t="s">
        <v>95</v>
      </c>
      <c r="D103" s="84" t="s">
        <v>205</v>
      </c>
      <c r="E103" s="88"/>
      <c r="F103" s="84"/>
      <c r="G103" s="84"/>
      <c r="H103" s="86" t="s">
        <v>99</v>
      </c>
      <c r="I103" s="87">
        <v>12000</v>
      </c>
      <c r="J103" s="84"/>
      <c r="K103" s="89"/>
      <c r="L103" s="90"/>
      <c r="M103" s="82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5"/>
    </row>
    <row r="104" s="63" customFormat="1" ht="14.4" customHeight="1" spans="1:31">
      <c r="A104" s="68">
        <v>103</v>
      </c>
      <c r="B104" s="69" t="s">
        <v>94</v>
      </c>
      <c r="C104" s="70" t="s">
        <v>95</v>
      </c>
      <c r="D104" s="84" t="s">
        <v>206</v>
      </c>
      <c r="E104" s="84" t="s">
        <v>115</v>
      </c>
      <c r="F104" s="91">
        <v>45533.731400463</v>
      </c>
      <c r="G104" s="91">
        <v>45539.6330324074</v>
      </c>
      <c r="H104" s="79" t="s">
        <v>97</v>
      </c>
      <c r="I104" s="80">
        <v>16000</v>
      </c>
      <c r="J104" s="83" t="s">
        <v>116</v>
      </c>
      <c r="K104" s="88" t="s">
        <v>117</v>
      </c>
      <c r="L104" s="91">
        <v>45451.6752083333</v>
      </c>
      <c r="M104" s="91">
        <v>45455.7491782407</v>
      </c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5"/>
    </row>
    <row r="105" s="63" customFormat="1" ht="14.4" customHeight="1" spans="1:31">
      <c r="A105" s="68">
        <v>104</v>
      </c>
      <c r="B105" s="69" t="s">
        <v>94</v>
      </c>
      <c r="C105" s="70" t="s">
        <v>95</v>
      </c>
      <c r="D105" s="84" t="s">
        <v>207</v>
      </c>
      <c r="E105" s="84" t="s">
        <v>115</v>
      </c>
      <c r="F105" s="91">
        <v>45893.7128935185</v>
      </c>
      <c r="G105" s="91">
        <v>45891.712974537</v>
      </c>
      <c r="H105" s="86" t="s">
        <v>99</v>
      </c>
      <c r="I105" s="87">
        <v>12000</v>
      </c>
      <c r="J105" s="83" t="s">
        <v>116</v>
      </c>
      <c r="K105" s="84" t="s">
        <v>115</v>
      </c>
      <c r="L105" s="91">
        <v>45644.8822222222</v>
      </c>
      <c r="M105" s="91">
        <v>45643.8823263889</v>
      </c>
      <c r="N105" s="84" t="s">
        <v>120</v>
      </c>
      <c r="O105" s="91">
        <v>45562.7728935185</v>
      </c>
      <c r="P105" s="91">
        <v>45561.7729976852</v>
      </c>
      <c r="Q105" s="88" t="s">
        <v>117</v>
      </c>
      <c r="R105" s="91">
        <v>45451.6753240741</v>
      </c>
      <c r="S105" s="91">
        <v>45455.749212963</v>
      </c>
      <c r="T105" s="84" t="s">
        <v>115</v>
      </c>
      <c r="U105" s="91">
        <v>45533.7355902778</v>
      </c>
      <c r="V105" s="91">
        <v>45539.6329166667</v>
      </c>
      <c r="W105" s="84" t="s">
        <v>120</v>
      </c>
      <c r="X105" s="91">
        <v>45655.8347106481</v>
      </c>
      <c r="Y105" s="91">
        <v>45654.8348148148</v>
      </c>
      <c r="Z105" s="84"/>
      <c r="AA105" s="84"/>
      <c r="AB105" s="84"/>
      <c r="AC105" s="84"/>
      <c r="AD105" s="84"/>
      <c r="AE105" s="85"/>
    </row>
    <row r="106" s="63" customFormat="1" ht="14.4" customHeight="1" spans="1:31">
      <c r="A106" s="68">
        <v>105</v>
      </c>
      <c r="B106" s="69" t="s">
        <v>94</v>
      </c>
      <c r="C106" s="70" t="s">
        <v>95</v>
      </c>
      <c r="D106" s="84" t="s">
        <v>208</v>
      </c>
      <c r="E106" s="84" t="s">
        <v>115</v>
      </c>
      <c r="F106" s="91">
        <v>45540.7327199074</v>
      </c>
      <c r="G106" s="91">
        <v>45540.6225578704</v>
      </c>
      <c r="H106" s="86" t="s">
        <v>99</v>
      </c>
      <c r="I106" s="87">
        <v>12000</v>
      </c>
      <c r="J106" s="83" t="s">
        <v>116</v>
      </c>
      <c r="K106" s="88" t="s">
        <v>117</v>
      </c>
      <c r="L106" s="91">
        <v>45451.6754050926</v>
      </c>
      <c r="M106" s="91">
        <v>45455.7492476852</v>
      </c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5"/>
    </row>
    <row r="107" s="63" customFormat="1" ht="14.4" customHeight="1" spans="1:31">
      <c r="A107" s="68">
        <v>106</v>
      </c>
      <c r="B107" s="69" t="s">
        <v>94</v>
      </c>
      <c r="C107" s="70" t="s">
        <v>95</v>
      </c>
      <c r="D107" s="84" t="s">
        <v>209</v>
      </c>
      <c r="E107" s="84" t="s">
        <v>115</v>
      </c>
      <c r="F107" s="91">
        <v>45540.736724537</v>
      </c>
      <c r="G107" s="91">
        <v>45540.6226041667</v>
      </c>
      <c r="H107" s="86" t="s">
        <v>99</v>
      </c>
      <c r="I107" s="87">
        <v>12000</v>
      </c>
      <c r="J107" s="83" t="s">
        <v>116</v>
      </c>
      <c r="K107" s="88" t="s">
        <v>117</v>
      </c>
      <c r="L107" s="91">
        <v>45451.6755208333</v>
      </c>
      <c r="M107" s="91">
        <v>45455.7492824074</v>
      </c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5"/>
    </row>
    <row r="108" s="63" customFormat="1" ht="14.4" customHeight="1" spans="1:31">
      <c r="A108" s="68">
        <v>107</v>
      </c>
      <c r="B108" s="69" t="s">
        <v>94</v>
      </c>
      <c r="C108" s="70" t="s">
        <v>95</v>
      </c>
      <c r="D108" s="84" t="s">
        <v>210</v>
      </c>
      <c r="E108" s="84" t="s">
        <v>115</v>
      </c>
      <c r="F108" s="91">
        <v>45780.6734259259</v>
      </c>
      <c r="G108" s="91">
        <v>45778.6735300926</v>
      </c>
      <c r="H108" s="86" t="s">
        <v>99</v>
      </c>
      <c r="I108" s="87">
        <v>12000</v>
      </c>
      <c r="J108" s="83" t="s">
        <v>116</v>
      </c>
      <c r="K108" s="88" t="s">
        <v>117</v>
      </c>
      <c r="L108" s="91">
        <v>45451.6756018518</v>
      </c>
      <c r="M108" s="91">
        <v>45455.7493171296</v>
      </c>
      <c r="N108" s="84" t="s">
        <v>138</v>
      </c>
      <c r="O108" s="91">
        <v>45617.61875</v>
      </c>
      <c r="P108" s="91">
        <v>45622.6666666667</v>
      </c>
      <c r="Q108" s="83" t="s">
        <v>117</v>
      </c>
      <c r="R108" s="91">
        <v>45699.4798611111</v>
      </c>
      <c r="S108" s="91">
        <v>45699.4798611111</v>
      </c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5"/>
    </row>
    <row r="109" s="63" customFormat="1" ht="14.4" customHeight="1" spans="1:31">
      <c r="A109" s="68">
        <v>108</v>
      </c>
      <c r="B109" s="69" t="s">
        <v>94</v>
      </c>
      <c r="C109" s="70" t="s">
        <v>95</v>
      </c>
      <c r="D109" s="84" t="s">
        <v>211</v>
      </c>
      <c r="E109" s="84" t="s">
        <v>115</v>
      </c>
      <c r="F109" s="91">
        <v>45780.6734259259</v>
      </c>
      <c r="G109" s="91">
        <v>45778.6735416667</v>
      </c>
      <c r="H109" s="86" t="s">
        <v>99</v>
      </c>
      <c r="I109" s="87">
        <v>12000</v>
      </c>
      <c r="J109" s="83" t="s">
        <v>116</v>
      </c>
      <c r="K109" s="88" t="s">
        <v>117</v>
      </c>
      <c r="L109" s="91">
        <v>45451.6757291667</v>
      </c>
      <c r="M109" s="91">
        <v>45455.7493634259</v>
      </c>
      <c r="N109" s="84" t="s">
        <v>138</v>
      </c>
      <c r="O109" s="91">
        <v>45617.61875</v>
      </c>
      <c r="P109" s="91">
        <v>45622.6666666667</v>
      </c>
      <c r="Q109" s="83" t="s">
        <v>117</v>
      </c>
      <c r="R109" s="91">
        <v>45699.4798611111</v>
      </c>
      <c r="S109" s="91">
        <v>45699.4798611111</v>
      </c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5"/>
    </row>
    <row r="110" s="63" customFormat="1" ht="14.4" customHeight="1" spans="1:31">
      <c r="A110" s="68">
        <v>109</v>
      </c>
      <c r="B110" s="69" t="s">
        <v>94</v>
      </c>
      <c r="C110" s="70" t="s">
        <v>95</v>
      </c>
      <c r="D110" s="84" t="s">
        <v>212</v>
      </c>
      <c r="E110" s="84" t="s">
        <v>115</v>
      </c>
      <c r="F110" s="91">
        <v>45626.6789930556</v>
      </c>
      <c r="G110" s="91">
        <v>45624.6790972222</v>
      </c>
      <c r="H110" s="86" t="s">
        <v>99</v>
      </c>
      <c r="I110" s="87">
        <v>12000</v>
      </c>
      <c r="J110" s="83" t="s">
        <v>116</v>
      </c>
      <c r="K110" s="88" t="s">
        <v>117</v>
      </c>
      <c r="L110" s="91">
        <v>45451.6757986111</v>
      </c>
      <c r="M110" s="91">
        <v>45455.7493981481</v>
      </c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5"/>
    </row>
    <row r="111" s="63" customFormat="1" ht="14.4" customHeight="1" spans="1:31">
      <c r="A111" s="68">
        <v>110</v>
      </c>
      <c r="B111" s="69" t="s">
        <v>94</v>
      </c>
      <c r="C111" s="70" t="s">
        <v>95</v>
      </c>
      <c r="D111" s="84" t="s">
        <v>213</v>
      </c>
      <c r="E111" s="84" t="s">
        <v>115</v>
      </c>
      <c r="F111" s="91">
        <v>45626.6790277778</v>
      </c>
      <c r="G111" s="91">
        <v>45624.6791319444</v>
      </c>
      <c r="H111" s="86" t="s">
        <v>99</v>
      </c>
      <c r="I111" s="87">
        <v>12000</v>
      </c>
      <c r="J111" s="83" t="s">
        <v>116</v>
      </c>
      <c r="K111" s="88" t="s">
        <v>117</v>
      </c>
      <c r="L111" s="91">
        <v>45449.4137615741</v>
      </c>
      <c r="M111" s="91">
        <v>45450.7155555556</v>
      </c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  <c r="AA111" s="84"/>
      <c r="AB111" s="84"/>
      <c r="AC111" s="84"/>
      <c r="AD111" s="84"/>
      <c r="AE111" s="85"/>
    </row>
    <row r="112" s="63" customFormat="1" ht="14.4" customHeight="1" spans="1:31">
      <c r="A112" s="68">
        <v>111</v>
      </c>
      <c r="B112" s="69" t="s">
        <v>94</v>
      </c>
      <c r="C112" s="70" t="s">
        <v>95</v>
      </c>
      <c r="D112" s="84" t="s">
        <v>214</v>
      </c>
      <c r="E112" s="84" t="s">
        <v>115</v>
      </c>
      <c r="F112" s="91">
        <v>45626.6791319444</v>
      </c>
      <c r="G112" s="91">
        <v>45624.6792476852</v>
      </c>
      <c r="H112" s="86" t="s">
        <v>99</v>
      </c>
      <c r="I112" s="87">
        <v>12000</v>
      </c>
      <c r="J112" s="83" t="s">
        <v>116</v>
      </c>
      <c r="K112" s="88" t="s">
        <v>117</v>
      </c>
      <c r="L112" s="91">
        <v>45451.6760532407</v>
      </c>
      <c r="M112" s="91">
        <v>45455.7494328704</v>
      </c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5"/>
    </row>
    <row r="113" s="63" customFormat="1" ht="14.4" customHeight="1" spans="1:31">
      <c r="A113" s="68">
        <v>112</v>
      </c>
      <c r="B113" s="69" t="s">
        <v>94</v>
      </c>
      <c r="C113" s="70" t="s">
        <v>95</v>
      </c>
      <c r="D113" s="84" t="s">
        <v>215</v>
      </c>
      <c r="E113" s="84" t="s">
        <v>115</v>
      </c>
      <c r="F113" s="91">
        <v>45627.6731365741</v>
      </c>
      <c r="G113" s="91">
        <v>45625.6732407407</v>
      </c>
      <c r="H113" s="86" t="s">
        <v>99</v>
      </c>
      <c r="I113" s="87">
        <v>12000</v>
      </c>
      <c r="J113" s="83" t="s">
        <v>116</v>
      </c>
      <c r="K113" s="88" t="s">
        <v>117</v>
      </c>
      <c r="L113" s="91">
        <v>45451.6762037037</v>
      </c>
      <c r="M113" s="91">
        <v>45455.7494675926</v>
      </c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5"/>
    </row>
    <row r="114" s="63" customFormat="1" ht="14.4" customHeight="1" spans="1:31">
      <c r="A114" s="68">
        <v>113</v>
      </c>
      <c r="B114" s="69" t="s">
        <v>94</v>
      </c>
      <c r="C114" s="97" t="s">
        <v>95</v>
      </c>
      <c r="D114" s="97" t="s">
        <v>216</v>
      </c>
      <c r="E114" s="95" t="s">
        <v>117</v>
      </c>
      <c r="F114" s="96">
        <v>46263.6230902778</v>
      </c>
      <c r="G114" s="96">
        <v>46268.3979976852</v>
      </c>
      <c r="H114" s="86" t="s">
        <v>99</v>
      </c>
      <c r="I114" s="87">
        <v>12000</v>
      </c>
      <c r="J114" s="98" t="s">
        <v>116</v>
      </c>
      <c r="K114" s="89"/>
      <c r="L114" s="90"/>
      <c r="M114" s="82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5"/>
    </row>
    <row r="115" s="63" customFormat="1" ht="14.4" customHeight="1" spans="1:31">
      <c r="A115" s="68">
        <v>114</v>
      </c>
      <c r="B115" s="69" t="s">
        <v>94</v>
      </c>
      <c r="C115" s="92" t="s">
        <v>95</v>
      </c>
      <c r="D115" s="92" t="s">
        <v>217</v>
      </c>
      <c r="E115" s="93" t="s">
        <v>120</v>
      </c>
      <c r="F115" s="94">
        <v>46254.8335532407</v>
      </c>
      <c r="G115" s="94">
        <v>46253.8337731482</v>
      </c>
      <c r="H115" s="86" t="s">
        <v>99</v>
      </c>
      <c r="I115" s="87">
        <v>12000</v>
      </c>
      <c r="J115" s="83" t="s">
        <v>116</v>
      </c>
      <c r="K115" s="95" t="s">
        <v>121</v>
      </c>
      <c r="L115" s="96">
        <v>46249.7258912037</v>
      </c>
      <c r="M115" s="96">
        <v>46252.7485763889</v>
      </c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5"/>
    </row>
    <row r="116" s="63" customFormat="1" ht="14.4" customHeight="1" spans="1:31">
      <c r="A116" s="68">
        <v>115</v>
      </c>
      <c r="B116" s="69" t="s">
        <v>94</v>
      </c>
      <c r="C116" s="97" t="s">
        <v>95</v>
      </c>
      <c r="D116" s="97" t="s">
        <v>218</v>
      </c>
      <c r="E116" s="95" t="s">
        <v>117</v>
      </c>
      <c r="F116" s="96">
        <v>46263.625</v>
      </c>
      <c r="G116" s="96">
        <v>46268.3980439815</v>
      </c>
      <c r="H116" s="86" t="s">
        <v>99</v>
      </c>
      <c r="I116" s="87">
        <v>12000</v>
      </c>
      <c r="J116" s="98" t="s">
        <v>116</v>
      </c>
      <c r="K116" s="89"/>
      <c r="L116" s="90"/>
      <c r="M116" s="82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5"/>
    </row>
    <row r="117" s="63" customFormat="1" ht="14.4" customHeight="1" spans="1:31">
      <c r="A117" s="68">
        <v>116</v>
      </c>
      <c r="B117" s="69" t="s">
        <v>94</v>
      </c>
      <c r="C117" s="97" t="s">
        <v>95</v>
      </c>
      <c r="D117" s="97" t="s">
        <v>219</v>
      </c>
      <c r="E117" s="95" t="s">
        <v>117</v>
      </c>
      <c r="F117" s="96">
        <v>46262.8367939815</v>
      </c>
      <c r="G117" s="96">
        <v>46268.3980902778</v>
      </c>
      <c r="H117" s="86" t="s">
        <v>99</v>
      </c>
      <c r="I117" s="87">
        <v>12000</v>
      </c>
      <c r="J117" s="98" t="s">
        <v>116</v>
      </c>
      <c r="K117" s="89"/>
      <c r="L117" s="90"/>
      <c r="M117" s="82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5"/>
    </row>
    <row r="118" s="63" customFormat="1" ht="14.4" customHeight="1" spans="1:31">
      <c r="A118" s="68">
        <v>117</v>
      </c>
      <c r="B118" s="69" t="s">
        <v>94</v>
      </c>
      <c r="C118" s="92" t="s">
        <v>95</v>
      </c>
      <c r="D118" s="92" t="s">
        <v>220</v>
      </c>
      <c r="E118" s="93" t="s">
        <v>120</v>
      </c>
      <c r="F118" s="94">
        <v>46254.8335532407</v>
      </c>
      <c r="G118" s="94">
        <v>46253.8337731482</v>
      </c>
      <c r="H118" s="86" t="s">
        <v>99</v>
      </c>
      <c r="I118" s="87">
        <v>12000</v>
      </c>
      <c r="J118" s="83" t="s">
        <v>116</v>
      </c>
      <c r="K118" s="95" t="s">
        <v>121</v>
      </c>
      <c r="L118" s="96">
        <v>46249.7258912037</v>
      </c>
      <c r="M118" s="96">
        <v>46252.7486226852</v>
      </c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5"/>
    </row>
    <row r="119" s="63" customFormat="1" ht="14.4" customHeight="1" spans="1:31">
      <c r="A119" s="68">
        <v>118</v>
      </c>
      <c r="B119" s="69" t="s">
        <v>94</v>
      </c>
      <c r="C119" s="97" t="s">
        <v>95</v>
      </c>
      <c r="D119" s="97" t="s">
        <v>221</v>
      </c>
      <c r="E119" s="95" t="s">
        <v>117</v>
      </c>
      <c r="F119" s="96">
        <v>46262.8324074074</v>
      </c>
      <c r="G119" s="96">
        <v>46268.398125</v>
      </c>
      <c r="H119" s="86" t="s">
        <v>99</v>
      </c>
      <c r="I119" s="87">
        <v>12000</v>
      </c>
      <c r="J119" s="98" t="s">
        <v>116</v>
      </c>
      <c r="K119" s="89"/>
      <c r="L119" s="90"/>
      <c r="M119" s="82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5"/>
    </row>
    <row r="120" s="63" customFormat="1" ht="14.4" customHeight="1" spans="1:31">
      <c r="A120" s="68">
        <v>119</v>
      </c>
      <c r="B120" s="69" t="s">
        <v>94</v>
      </c>
      <c r="C120" s="70" t="s">
        <v>95</v>
      </c>
      <c r="D120" s="84" t="s">
        <v>222</v>
      </c>
      <c r="E120" s="84" t="s">
        <v>115</v>
      </c>
      <c r="F120" s="91">
        <v>45540.7368981481</v>
      </c>
      <c r="G120" s="91">
        <v>45540.622662037</v>
      </c>
      <c r="H120" s="79" t="s">
        <v>97</v>
      </c>
      <c r="I120" s="80">
        <v>16000</v>
      </c>
      <c r="J120" s="83" t="s">
        <v>116</v>
      </c>
      <c r="K120" s="88" t="s">
        <v>117</v>
      </c>
      <c r="L120" s="91">
        <v>45451.6764236111</v>
      </c>
      <c r="M120" s="91">
        <v>45455.7495138889</v>
      </c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5"/>
    </row>
    <row r="121" s="63" customFormat="1" ht="14.4" customHeight="1" spans="1:31">
      <c r="A121" s="68">
        <v>120</v>
      </c>
      <c r="B121" s="69" t="s">
        <v>94</v>
      </c>
      <c r="C121" s="70" t="s">
        <v>95</v>
      </c>
      <c r="D121" s="84" t="s">
        <v>223</v>
      </c>
      <c r="E121" s="84" t="s">
        <v>115</v>
      </c>
      <c r="F121" s="91">
        <v>45540.7367592593</v>
      </c>
      <c r="G121" s="91">
        <v>45540.6227199074</v>
      </c>
      <c r="H121" s="86" t="s">
        <v>99</v>
      </c>
      <c r="I121" s="87">
        <v>12000</v>
      </c>
      <c r="J121" s="83" t="s">
        <v>116</v>
      </c>
      <c r="K121" s="88" t="s">
        <v>117</v>
      </c>
      <c r="L121" s="91">
        <v>45451.6765162037</v>
      </c>
      <c r="M121" s="91">
        <v>45455.7495486111</v>
      </c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5"/>
    </row>
    <row r="122" s="63" customFormat="1" ht="14.4" customHeight="1" spans="1:31">
      <c r="A122" s="68">
        <v>121</v>
      </c>
      <c r="B122" s="69" t="s">
        <v>94</v>
      </c>
      <c r="C122" s="70" t="s">
        <v>95</v>
      </c>
      <c r="D122" s="84" t="s">
        <v>224</v>
      </c>
      <c r="E122" s="84" t="s">
        <v>115</v>
      </c>
      <c r="F122" s="91">
        <v>45893.4661689815</v>
      </c>
      <c r="G122" s="91">
        <v>45891.46625</v>
      </c>
      <c r="H122" s="86" t="s">
        <v>99</v>
      </c>
      <c r="I122" s="87">
        <v>12000</v>
      </c>
      <c r="J122" s="83" t="s">
        <v>116</v>
      </c>
      <c r="K122" s="88" t="s">
        <v>117</v>
      </c>
      <c r="L122" s="91">
        <v>45451.6766435185</v>
      </c>
      <c r="M122" s="91">
        <v>45455.7496064815</v>
      </c>
      <c r="N122" s="84" t="s">
        <v>115</v>
      </c>
      <c r="O122" s="91">
        <v>45533.7355787037</v>
      </c>
      <c r="P122" s="91">
        <v>45539.6327893519</v>
      </c>
      <c r="Q122" s="84" t="s">
        <v>120</v>
      </c>
      <c r="R122" s="91">
        <v>45562.7728935185</v>
      </c>
      <c r="S122" s="91">
        <v>45561.7729976852</v>
      </c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5"/>
    </row>
    <row r="123" s="63" customFormat="1" ht="14.4" customHeight="1" spans="1:31">
      <c r="A123" s="68">
        <v>122</v>
      </c>
      <c r="B123" s="69" t="s">
        <v>94</v>
      </c>
      <c r="C123" s="70" t="s">
        <v>95</v>
      </c>
      <c r="D123" s="84" t="s">
        <v>225</v>
      </c>
      <c r="E123" s="84" t="s">
        <v>115</v>
      </c>
      <c r="F123" s="91">
        <v>45533.7314467593</v>
      </c>
      <c r="G123" s="91">
        <v>45539.6326851852</v>
      </c>
      <c r="H123" s="86" t="s">
        <v>99</v>
      </c>
      <c r="I123" s="87">
        <v>12000</v>
      </c>
      <c r="J123" s="83" t="s">
        <v>116</v>
      </c>
      <c r="K123" s="88" t="s">
        <v>117</v>
      </c>
      <c r="L123" s="91">
        <v>45451.6767592593</v>
      </c>
      <c r="M123" s="91">
        <v>45455.7496412037</v>
      </c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5"/>
    </row>
    <row r="124" s="63" customFormat="1" ht="14.4" customHeight="1" spans="1:31">
      <c r="A124" s="68">
        <v>123</v>
      </c>
      <c r="B124" s="69" t="s">
        <v>94</v>
      </c>
      <c r="C124" s="70" t="s">
        <v>95</v>
      </c>
      <c r="D124" s="84" t="s">
        <v>226</v>
      </c>
      <c r="E124" s="84" t="s">
        <v>115</v>
      </c>
      <c r="F124" s="91">
        <v>45780.6734375</v>
      </c>
      <c r="G124" s="91">
        <v>45778.6735416667</v>
      </c>
      <c r="H124" s="86" t="s">
        <v>99</v>
      </c>
      <c r="I124" s="87">
        <v>12000</v>
      </c>
      <c r="J124" s="83" t="s">
        <v>116</v>
      </c>
      <c r="K124" s="88" t="s">
        <v>117</v>
      </c>
      <c r="L124" s="91">
        <v>45451.6768518519</v>
      </c>
      <c r="M124" s="91">
        <v>45455.7496759259</v>
      </c>
      <c r="N124" s="84" t="s">
        <v>138</v>
      </c>
      <c r="O124" s="91">
        <v>45617.61875</v>
      </c>
      <c r="P124" s="91">
        <v>45622.6666666667</v>
      </c>
      <c r="Q124" s="83" t="s">
        <v>117</v>
      </c>
      <c r="R124" s="91">
        <v>45706.75</v>
      </c>
      <c r="S124" s="91">
        <v>45706.6041666667</v>
      </c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5"/>
    </row>
    <row r="125" s="63" customFormat="1" ht="14.4" customHeight="1" spans="1:31">
      <c r="A125" s="68">
        <v>124</v>
      </c>
      <c r="B125" s="69" t="s">
        <v>94</v>
      </c>
      <c r="C125" s="70" t="s">
        <v>95</v>
      </c>
      <c r="D125" s="84" t="s">
        <v>227</v>
      </c>
      <c r="E125" s="84" t="s">
        <v>115</v>
      </c>
      <c r="F125" s="91">
        <v>45780.6769907407</v>
      </c>
      <c r="G125" s="91">
        <v>45778.6770949074</v>
      </c>
      <c r="H125" s="86" t="s">
        <v>99</v>
      </c>
      <c r="I125" s="87">
        <v>12000</v>
      </c>
      <c r="J125" s="83" t="s">
        <v>116</v>
      </c>
      <c r="K125" s="88" t="s">
        <v>117</v>
      </c>
      <c r="L125" s="91">
        <v>45449.4140277778</v>
      </c>
      <c r="M125" s="91">
        <v>45450.7156481482</v>
      </c>
      <c r="N125" s="84" t="s">
        <v>138</v>
      </c>
      <c r="O125" s="91">
        <v>45617.61875</v>
      </c>
      <c r="P125" s="91">
        <v>45622.6666666667</v>
      </c>
      <c r="Q125" s="83" t="s">
        <v>117</v>
      </c>
      <c r="R125" s="91">
        <v>45699.4798611111</v>
      </c>
      <c r="S125" s="91">
        <v>45699.4798611111</v>
      </c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5"/>
    </row>
    <row r="126" s="63" customFormat="1" ht="14.4" customHeight="1" spans="1:31">
      <c r="A126" s="68">
        <v>125</v>
      </c>
      <c r="B126" s="69" t="s">
        <v>94</v>
      </c>
      <c r="C126" s="70" t="s">
        <v>95</v>
      </c>
      <c r="D126" s="84" t="s">
        <v>228</v>
      </c>
      <c r="E126" s="84" t="s">
        <v>115</v>
      </c>
      <c r="F126" s="91">
        <v>45626.6792708333</v>
      </c>
      <c r="G126" s="91">
        <v>45624.679375</v>
      </c>
      <c r="H126" s="86" t="s">
        <v>99</v>
      </c>
      <c r="I126" s="87">
        <v>12000</v>
      </c>
      <c r="J126" s="83" t="s">
        <v>116</v>
      </c>
      <c r="K126" s="88" t="s">
        <v>117</v>
      </c>
      <c r="L126" s="91">
        <v>45449.4141782407</v>
      </c>
      <c r="M126" s="91">
        <v>45450.7157523148</v>
      </c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5"/>
    </row>
    <row r="127" s="63" customFormat="1" ht="14.4" customHeight="1" spans="1:31">
      <c r="A127" s="68">
        <v>126</v>
      </c>
      <c r="B127" s="69" t="s">
        <v>94</v>
      </c>
      <c r="C127" s="70" t="s">
        <v>95</v>
      </c>
      <c r="D127" s="84" t="s">
        <v>229</v>
      </c>
      <c r="E127" s="84" t="s">
        <v>115</v>
      </c>
      <c r="F127" s="91">
        <v>45626.6791319444</v>
      </c>
      <c r="G127" s="91">
        <v>45624.6792476852</v>
      </c>
      <c r="H127" s="86" t="s">
        <v>99</v>
      </c>
      <c r="I127" s="87">
        <v>12000</v>
      </c>
      <c r="J127" s="83" t="s">
        <v>116</v>
      </c>
      <c r="K127" s="88" t="s">
        <v>117</v>
      </c>
      <c r="L127" s="91">
        <v>45449.4143287037</v>
      </c>
      <c r="M127" s="91">
        <v>45450.7158449074</v>
      </c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5"/>
    </row>
    <row r="128" s="63" customFormat="1" ht="14.4" customHeight="1" spans="1:31">
      <c r="A128" s="68">
        <v>127</v>
      </c>
      <c r="B128" s="69" t="s">
        <v>94</v>
      </c>
      <c r="C128" s="70" t="s">
        <v>95</v>
      </c>
      <c r="D128" s="84" t="s">
        <v>230</v>
      </c>
      <c r="E128" s="84" t="s">
        <v>115</v>
      </c>
      <c r="F128" s="91">
        <v>45626.6826041667</v>
      </c>
      <c r="G128" s="91">
        <v>45624.6827199074</v>
      </c>
      <c r="H128" s="86" t="s">
        <v>99</v>
      </c>
      <c r="I128" s="87">
        <v>12000</v>
      </c>
      <c r="J128" s="83" t="s">
        <v>116</v>
      </c>
      <c r="K128" s="88" t="s">
        <v>117</v>
      </c>
      <c r="L128" s="91">
        <v>45449.4144675926</v>
      </c>
      <c r="M128" s="91">
        <v>45450.7159375</v>
      </c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5"/>
    </row>
    <row r="129" s="63" customFormat="1" ht="14.4" customHeight="1" spans="1:31">
      <c r="A129" s="68">
        <v>128</v>
      </c>
      <c r="B129" s="69" t="s">
        <v>94</v>
      </c>
      <c r="C129" s="70" t="s">
        <v>95</v>
      </c>
      <c r="D129" s="84" t="s">
        <v>231</v>
      </c>
      <c r="E129" s="84" t="s">
        <v>115</v>
      </c>
      <c r="F129" s="91">
        <v>45626.6827546296</v>
      </c>
      <c r="G129" s="91">
        <v>45624.6828587963</v>
      </c>
      <c r="H129" s="86" t="s">
        <v>99</v>
      </c>
      <c r="I129" s="87">
        <v>12000</v>
      </c>
      <c r="J129" s="83" t="s">
        <v>116</v>
      </c>
      <c r="K129" s="88" t="s">
        <v>117</v>
      </c>
      <c r="L129" s="91">
        <v>45449.4146643519</v>
      </c>
      <c r="M129" s="91">
        <v>45450.7162037037</v>
      </c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5"/>
    </row>
    <row r="130" s="63" customFormat="1" ht="14.4" customHeight="1" spans="1:31">
      <c r="A130" s="68">
        <v>129</v>
      </c>
      <c r="B130" s="69" t="s">
        <v>94</v>
      </c>
      <c r="C130" s="97" t="s">
        <v>95</v>
      </c>
      <c r="D130" s="97" t="s">
        <v>232</v>
      </c>
      <c r="E130" s="95" t="s">
        <v>117</v>
      </c>
      <c r="F130" s="96">
        <v>46262.8367708333</v>
      </c>
      <c r="G130" s="96">
        <v>46268.3981712963</v>
      </c>
      <c r="H130" s="86" t="s">
        <v>99</v>
      </c>
      <c r="I130" s="87">
        <v>12000</v>
      </c>
      <c r="J130" s="98" t="s">
        <v>116</v>
      </c>
      <c r="K130" s="89"/>
      <c r="L130" s="90"/>
      <c r="M130" s="82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5"/>
    </row>
    <row r="131" s="63" customFormat="1" ht="14.4" customHeight="1" spans="1:31">
      <c r="A131" s="68">
        <v>130</v>
      </c>
      <c r="B131" s="69" t="s">
        <v>94</v>
      </c>
      <c r="C131" s="92" t="s">
        <v>95</v>
      </c>
      <c r="D131" s="92" t="s">
        <v>233</v>
      </c>
      <c r="E131" s="93" t="s">
        <v>120</v>
      </c>
      <c r="F131" s="94">
        <v>46254.8335532407</v>
      </c>
      <c r="G131" s="94">
        <v>46253.8337731482</v>
      </c>
      <c r="H131" s="86" t="s">
        <v>99</v>
      </c>
      <c r="I131" s="87">
        <v>12000</v>
      </c>
      <c r="J131" s="83" t="s">
        <v>116</v>
      </c>
      <c r="K131" s="95" t="s">
        <v>121</v>
      </c>
      <c r="L131" s="96">
        <v>46249.7258912037</v>
      </c>
      <c r="M131" s="96">
        <v>46252.7486689815</v>
      </c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5"/>
    </row>
    <row r="132" s="63" customFormat="1" ht="14.4" customHeight="1" spans="1:31">
      <c r="A132" s="68">
        <v>131</v>
      </c>
      <c r="B132" s="69" t="s">
        <v>94</v>
      </c>
      <c r="C132" s="97" t="s">
        <v>95</v>
      </c>
      <c r="D132" s="97" t="s">
        <v>234</v>
      </c>
      <c r="E132" s="95" t="s">
        <v>117</v>
      </c>
      <c r="F132" s="96">
        <v>46262.8370717593</v>
      </c>
      <c r="G132" s="96">
        <v>46268.3982175926</v>
      </c>
      <c r="H132" s="86" t="s">
        <v>99</v>
      </c>
      <c r="I132" s="87">
        <v>12000</v>
      </c>
      <c r="J132" s="98" t="s">
        <v>116</v>
      </c>
      <c r="K132" s="89"/>
      <c r="L132" s="90"/>
      <c r="M132" s="82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5"/>
    </row>
    <row r="133" s="63" customFormat="1" ht="14.4" customHeight="1" spans="1:31">
      <c r="A133" s="68">
        <v>132</v>
      </c>
      <c r="B133" s="69" t="s">
        <v>94</v>
      </c>
      <c r="C133" s="97" t="s">
        <v>95</v>
      </c>
      <c r="D133" s="97" t="s">
        <v>235</v>
      </c>
      <c r="E133" s="95" t="s">
        <v>117</v>
      </c>
      <c r="F133" s="96">
        <v>46263.6791782407</v>
      </c>
      <c r="G133" s="96">
        <v>46268.3982523148</v>
      </c>
      <c r="H133" s="86" t="s">
        <v>99</v>
      </c>
      <c r="I133" s="87">
        <v>12000</v>
      </c>
      <c r="J133" s="98" t="s">
        <v>116</v>
      </c>
      <c r="K133" s="89"/>
      <c r="L133" s="90"/>
      <c r="M133" s="82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5"/>
    </row>
    <row r="134" s="63" customFormat="1" ht="14.4" customHeight="1" spans="1:31">
      <c r="A134" s="68">
        <v>133</v>
      </c>
      <c r="B134" s="69" t="s">
        <v>94</v>
      </c>
      <c r="C134" s="92" t="s">
        <v>95</v>
      </c>
      <c r="D134" s="92" t="s">
        <v>236</v>
      </c>
      <c r="E134" s="93" t="s">
        <v>120</v>
      </c>
      <c r="F134" s="94">
        <v>46254.8335532407</v>
      </c>
      <c r="G134" s="94">
        <v>46253.8337731482</v>
      </c>
      <c r="H134" s="86" t="s">
        <v>99</v>
      </c>
      <c r="I134" s="87">
        <v>12000</v>
      </c>
      <c r="J134" s="83" t="s">
        <v>116</v>
      </c>
      <c r="K134" s="95" t="s">
        <v>121</v>
      </c>
      <c r="L134" s="96">
        <v>46249.7258912037</v>
      </c>
      <c r="M134" s="96">
        <v>46252.7487268519</v>
      </c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5"/>
    </row>
    <row r="135" s="63" customFormat="1" ht="14.4" customHeight="1" spans="1:31">
      <c r="A135" s="68">
        <v>134</v>
      </c>
      <c r="B135" s="69" t="s">
        <v>94</v>
      </c>
      <c r="C135" s="97" t="s">
        <v>95</v>
      </c>
      <c r="D135" s="97" t="s">
        <v>237</v>
      </c>
      <c r="E135" s="95" t="s">
        <v>117</v>
      </c>
      <c r="F135" s="96">
        <v>46263.6829282407</v>
      </c>
      <c r="G135" s="96">
        <v>46268.3982986111</v>
      </c>
      <c r="H135" s="86" t="s">
        <v>99</v>
      </c>
      <c r="I135" s="87">
        <v>12000</v>
      </c>
      <c r="J135" s="98" t="s">
        <v>116</v>
      </c>
      <c r="K135" s="89"/>
      <c r="L135" s="90"/>
      <c r="M135" s="82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5"/>
    </row>
    <row r="136" s="63" customFormat="1" ht="14.4" customHeight="1" spans="1:31">
      <c r="A136" s="68">
        <v>135</v>
      </c>
      <c r="B136" s="69" t="s">
        <v>94</v>
      </c>
      <c r="C136" s="70" t="s">
        <v>95</v>
      </c>
      <c r="D136" s="84" t="s">
        <v>238</v>
      </c>
      <c r="E136" s="88"/>
      <c r="F136" s="84"/>
      <c r="G136" s="84"/>
      <c r="H136" s="86" t="s">
        <v>99</v>
      </c>
      <c r="I136" s="87">
        <v>12000</v>
      </c>
      <c r="J136" s="84"/>
      <c r="K136" s="89"/>
      <c r="L136" s="90"/>
      <c r="M136" s="82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5"/>
    </row>
    <row r="137" s="63" customFormat="1" ht="14.4" customHeight="1" spans="1:31">
      <c r="A137" s="68">
        <v>136</v>
      </c>
      <c r="B137" s="69" t="s">
        <v>94</v>
      </c>
      <c r="C137" s="70" t="s">
        <v>95</v>
      </c>
      <c r="D137" s="84" t="s">
        <v>239</v>
      </c>
      <c r="E137" s="88"/>
      <c r="F137" s="84"/>
      <c r="G137" s="84"/>
      <c r="H137" s="86" t="s">
        <v>99</v>
      </c>
      <c r="I137" s="87">
        <v>12000</v>
      </c>
      <c r="J137" s="84"/>
      <c r="K137" s="89"/>
      <c r="L137" s="90"/>
      <c r="M137" s="82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5"/>
    </row>
    <row r="138" s="63" customFormat="1" ht="14.4" customHeight="1" spans="1:31">
      <c r="A138" s="68">
        <v>137</v>
      </c>
      <c r="B138" s="69" t="s">
        <v>94</v>
      </c>
      <c r="C138" s="70" t="s">
        <v>95</v>
      </c>
      <c r="D138" s="84" t="s">
        <v>240</v>
      </c>
      <c r="E138" s="84" t="s">
        <v>115</v>
      </c>
      <c r="F138" s="91">
        <v>45533.7397222222</v>
      </c>
      <c r="G138" s="91">
        <v>45539.6325810185</v>
      </c>
      <c r="H138" s="79" t="s">
        <v>97</v>
      </c>
      <c r="I138" s="80">
        <v>16000</v>
      </c>
      <c r="J138" s="83" t="s">
        <v>116</v>
      </c>
      <c r="K138" s="88" t="s">
        <v>117</v>
      </c>
      <c r="L138" s="91">
        <v>45451.6773148148</v>
      </c>
      <c r="M138" s="91">
        <v>45455.7497106481</v>
      </c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5"/>
    </row>
    <row r="139" s="63" customFormat="1" ht="14.4" customHeight="1" spans="1:31">
      <c r="A139" s="68">
        <v>138</v>
      </c>
      <c r="B139" s="69" t="s">
        <v>94</v>
      </c>
      <c r="C139" s="70" t="s">
        <v>95</v>
      </c>
      <c r="D139" s="84" t="s">
        <v>241</v>
      </c>
      <c r="E139" s="84" t="s">
        <v>115</v>
      </c>
      <c r="F139" s="91">
        <v>45893.4696990741</v>
      </c>
      <c r="G139" s="91">
        <v>45891.4697800926</v>
      </c>
      <c r="H139" s="86" t="s">
        <v>99</v>
      </c>
      <c r="I139" s="87">
        <v>12000</v>
      </c>
      <c r="J139" s="83" t="s">
        <v>116</v>
      </c>
      <c r="K139" s="88" t="s">
        <v>117</v>
      </c>
      <c r="L139" s="91">
        <v>45451.6773958333</v>
      </c>
      <c r="M139" s="91">
        <v>45455.7497453704</v>
      </c>
      <c r="N139" s="84" t="s">
        <v>115</v>
      </c>
      <c r="O139" s="91">
        <v>45533.7397569444</v>
      </c>
      <c r="P139" s="91">
        <v>45539.6324768519</v>
      </c>
      <c r="Q139" s="84" t="s">
        <v>120</v>
      </c>
      <c r="R139" s="91">
        <v>45562.7728935185</v>
      </c>
      <c r="S139" s="91">
        <v>45561.7729976852</v>
      </c>
      <c r="T139" s="84"/>
      <c r="U139" s="84"/>
      <c r="V139" s="84"/>
      <c r="W139" s="84"/>
      <c r="X139" s="84"/>
      <c r="Y139" s="84"/>
      <c r="Z139" s="84"/>
      <c r="AA139" s="84"/>
      <c r="AB139" s="84"/>
      <c r="AC139" s="84"/>
      <c r="AD139" s="84"/>
      <c r="AE139" s="85"/>
    </row>
    <row r="140" s="63" customFormat="1" ht="14.4" customHeight="1" spans="1:31">
      <c r="A140" s="68">
        <v>139</v>
      </c>
      <c r="B140" s="69" t="s">
        <v>94</v>
      </c>
      <c r="C140" s="70" t="s">
        <v>95</v>
      </c>
      <c r="D140" s="84" t="s">
        <v>242</v>
      </c>
      <c r="E140" s="84" t="s">
        <v>115</v>
      </c>
      <c r="F140" s="91">
        <v>45540.7409837963</v>
      </c>
      <c r="G140" s="91">
        <v>45540.6227777778</v>
      </c>
      <c r="H140" s="86" t="s">
        <v>99</v>
      </c>
      <c r="I140" s="87">
        <v>12000</v>
      </c>
      <c r="J140" s="83" t="s">
        <v>116</v>
      </c>
      <c r="K140" s="88" t="s">
        <v>117</v>
      </c>
      <c r="L140" s="91">
        <v>45449.4149305556</v>
      </c>
      <c r="M140" s="91">
        <v>45450.7165856482</v>
      </c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5"/>
    </row>
    <row r="141" s="63" customFormat="1" ht="14.4" customHeight="1" spans="1:31">
      <c r="A141" s="68">
        <v>140</v>
      </c>
      <c r="B141" s="69" t="s">
        <v>94</v>
      </c>
      <c r="C141" s="70" t="s">
        <v>95</v>
      </c>
      <c r="D141" s="84" t="s">
        <v>243</v>
      </c>
      <c r="E141" s="84" t="s">
        <v>115</v>
      </c>
      <c r="F141" s="91">
        <v>45540.7408449074</v>
      </c>
      <c r="G141" s="91">
        <v>45540.6228356482</v>
      </c>
      <c r="H141" s="86" t="s">
        <v>99</v>
      </c>
      <c r="I141" s="87">
        <v>12000</v>
      </c>
      <c r="J141" s="83" t="s">
        <v>116</v>
      </c>
      <c r="K141" s="88" t="s">
        <v>117</v>
      </c>
      <c r="L141" s="91">
        <v>45451.6775347222</v>
      </c>
      <c r="M141" s="91">
        <v>45455.7497800926</v>
      </c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5"/>
    </row>
    <row r="142" s="63" customFormat="1" ht="14.4" customHeight="1" spans="1:31">
      <c r="A142" s="68">
        <v>141</v>
      </c>
      <c r="B142" s="69" t="s">
        <v>94</v>
      </c>
      <c r="C142" s="70" t="s">
        <v>95</v>
      </c>
      <c r="D142" s="84" t="s">
        <v>244</v>
      </c>
      <c r="E142" s="84" t="s">
        <v>115</v>
      </c>
      <c r="F142" s="91">
        <v>45780.6804861111</v>
      </c>
      <c r="G142" s="91">
        <v>45778.6806018519</v>
      </c>
      <c r="H142" s="86" t="s">
        <v>99</v>
      </c>
      <c r="I142" s="87">
        <v>12000</v>
      </c>
      <c r="J142" s="83" t="s">
        <v>116</v>
      </c>
      <c r="K142" s="88" t="s">
        <v>117</v>
      </c>
      <c r="L142" s="91">
        <v>45451.6776388889</v>
      </c>
      <c r="M142" s="91">
        <v>45455.7498148148</v>
      </c>
      <c r="N142" s="84" t="s">
        <v>138</v>
      </c>
      <c r="O142" s="91">
        <v>45617.61875</v>
      </c>
      <c r="P142" s="91">
        <v>45622.6666666667</v>
      </c>
      <c r="Q142" s="83" t="s">
        <v>117</v>
      </c>
      <c r="R142" s="91">
        <v>45699.4798611111</v>
      </c>
      <c r="S142" s="91">
        <v>45699.4798611111</v>
      </c>
      <c r="T142" s="84" t="s">
        <v>138</v>
      </c>
      <c r="U142" s="91">
        <v>45736.6183217593</v>
      </c>
      <c r="V142" s="91">
        <v>45742.7538541667</v>
      </c>
      <c r="W142" s="84" t="s">
        <v>117</v>
      </c>
      <c r="X142" s="91">
        <v>45745.6768865741</v>
      </c>
      <c r="Y142" s="91">
        <v>45747.6230671296</v>
      </c>
      <c r="Z142" s="84"/>
      <c r="AA142" s="84"/>
      <c r="AB142" s="84"/>
      <c r="AC142" s="84"/>
      <c r="AD142" s="84"/>
      <c r="AE142" s="85"/>
    </row>
    <row r="143" s="63" customFormat="1" ht="14.4" customHeight="1" spans="1:31">
      <c r="A143" s="68">
        <v>142</v>
      </c>
      <c r="B143" s="69" t="s">
        <v>94</v>
      </c>
      <c r="C143" s="70" t="s">
        <v>95</v>
      </c>
      <c r="D143" s="84" t="s">
        <v>245</v>
      </c>
      <c r="E143" s="84" t="s">
        <v>115</v>
      </c>
      <c r="F143" s="91">
        <v>45780.6804861111</v>
      </c>
      <c r="G143" s="91">
        <v>45778.6806018519</v>
      </c>
      <c r="H143" s="86" t="s">
        <v>99</v>
      </c>
      <c r="I143" s="87">
        <v>12000</v>
      </c>
      <c r="J143" s="83" t="s">
        <v>116</v>
      </c>
      <c r="K143" s="88" t="s">
        <v>117</v>
      </c>
      <c r="L143" s="91">
        <v>45451.6777314815</v>
      </c>
      <c r="M143" s="91">
        <v>45455.7498611111</v>
      </c>
      <c r="N143" s="84" t="s">
        <v>138</v>
      </c>
      <c r="O143" s="91">
        <v>45617.61875</v>
      </c>
      <c r="P143" s="91">
        <v>45622.6666666667</v>
      </c>
      <c r="Q143" s="83" t="s">
        <v>117</v>
      </c>
      <c r="R143" s="91">
        <v>45699.4798611111</v>
      </c>
      <c r="S143" s="91">
        <v>45699.4798611111</v>
      </c>
      <c r="T143" s="84" t="s">
        <v>138</v>
      </c>
      <c r="U143" s="91">
        <v>45736.6183217593</v>
      </c>
      <c r="V143" s="91">
        <v>45742.753900463</v>
      </c>
      <c r="W143" s="84" t="s">
        <v>117</v>
      </c>
      <c r="X143" s="91">
        <v>45745.6768865741</v>
      </c>
      <c r="Y143" s="91">
        <v>45747.623900463</v>
      </c>
      <c r="Z143" s="84"/>
      <c r="AA143" s="84"/>
      <c r="AB143" s="84"/>
      <c r="AC143" s="84"/>
      <c r="AD143" s="84"/>
      <c r="AE143" s="85"/>
    </row>
    <row r="144" s="63" customFormat="1" ht="14.4" customHeight="1" spans="1:31">
      <c r="A144" s="68">
        <v>143</v>
      </c>
      <c r="B144" s="69" t="s">
        <v>94</v>
      </c>
      <c r="C144" s="70" t="s">
        <v>95</v>
      </c>
      <c r="D144" s="84" t="s">
        <v>246</v>
      </c>
      <c r="E144" s="84" t="s">
        <v>115</v>
      </c>
      <c r="F144" s="91">
        <v>45626.6791666667</v>
      </c>
      <c r="G144" s="91">
        <v>45624.6792708333</v>
      </c>
      <c r="H144" s="86" t="s">
        <v>99</v>
      </c>
      <c r="I144" s="87">
        <v>12000</v>
      </c>
      <c r="J144" s="83" t="s">
        <v>116</v>
      </c>
      <c r="K144" s="88" t="s">
        <v>117</v>
      </c>
      <c r="L144" s="91">
        <v>45451.6778703704</v>
      </c>
      <c r="M144" s="91">
        <v>45455.7498958333</v>
      </c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5"/>
    </row>
    <row r="145" s="63" customFormat="1" ht="14.4" customHeight="1" spans="1:31">
      <c r="A145" s="68">
        <v>144</v>
      </c>
      <c r="B145" s="69" t="s">
        <v>94</v>
      </c>
      <c r="C145" s="70" t="s">
        <v>95</v>
      </c>
      <c r="D145" s="84" t="s">
        <v>247</v>
      </c>
      <c r="E145" s="84" t="s">
        <v>115</v>
      </c>
      <c r="F145" s="91">
        <v>45626.6827199074</v>
      </c>
      <c r="G145" s="91">
        <v>45624.6828356481</v>
      </c>
      <c r="H145" s="86" t="s">
        <v>99</v>
      </c>
      <c r="I145" s="87">
        <v>12000</v>
      </c>
      <c r="J145" s="83" t="s">
        <v>116</v>
      </c>
      <c r="K145" s="88" t="s">
        <v>117</v>
      </c>
      <c r="L145" s="91">
        <v>45451.6782407407</v>
      </c>
      <c r="M145" s="91">
        <v>45455.7499421296</v>
      </c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5"/>
    </row>
    <row r="146" s="63" customFormat="1" ht="14.4" customHeight="1" spans="1:31">
      <c r="A146" s="68">
        <v>145</v>
      </c>
      <c r="B146" s="69" t="s">
        <v>94</v>
      </c>
      <c r="C146" s="70" t="s">
        <v>95</v>
      </c>
      <c r="D146" s="84" t="s">
        <v>248</v>
      </c>
      <c r="E146" s="84" t="s">
        <v>115</v>
      </c>
      <c r="F146" s="91">
        <v>45626.6828472222</v>
      </c>
      <c r="G146" s="91">
        <v>45624.682962963</v>
      </c>
      <c r="H146" s="86" t="s">
        <v>99</v>
      </c>
      <c r="I146" s="87">
        <v>12000</v>
      </c>
      <c r="J146" s="83" t="s">
        <v>116</v>
      </c>
      <c r="K146" s="88" t="s">
        <v>117</v>
      </c>
      <c r="L146" s="91">
        <v>45451.6784490741</v>
      </c>
      <c r="M146" s="91">
        <v>45455.7499884259</v>
      </c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5"/>
    </row>
    <row r="147" s="63" customFormat="1" ht="14.4" customHeight="1" spans="1:31">
      <c r="A147" s="68">
        <v>146</v>
      </c>
      <c r="B147" s="69" t="s">
        <v>94</v>
      </c>
      <c r="C147" s="70" t="s">
        <v>95</v>
      </c>
      <c r="D147" s="84" t="s">
        <v>249</v>
      </c>
      <c r="E147" s="84" t="s">
        <v>115</v>
      </c>
      <c r="F147" s="91">
        <v>45626.6863078704</v>
      </c>
      <c r="G147" s="91">
        <v>45624.686412037</v>
      </c>
      <c r="H147" s="86" t="s">
        <v>99</v>
      </c>
      <c r="I147" s="87">
        <v>12000</v>
      </c>
      <c r="J147" s="83" t="s">
        <v>116</v>
      </c>
      <c r="K147" s="88" t="s">
        <v>117</v>
      </c>
      <c r="L147" s="91">
        <v>45449.4150578704</v>
      </c>
      <c r="M147" s="91">
        <v>45450.7167939815</v>
      </c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5"/>
    </row>
    <row r="148" s="63" customFormat="1" spans="1:31">
      <c r="A148" s="68">
        <v>147</v>
      </c>
      <c r="B148" s="69" t="s">
        <v>94</v>
      </c>
      <c r="C148" s="97" t="s">
        <v>95</v>
      </c>
      <c r="D148" s="97" t="s">
        <v>250</v>
      </c>
      <c r="E148" s="95" t="s">
        <v>117</v>
      </c>
      <c r="F148" s="96">
        <v>46263.7767476852</v>
      </c>
      <c r="G148" s="96">
        <v>46268.3983449074</v>
      </c>
      <c r="H148" s="86" t="s">
        <v>99</v>
      </c>
      <c r="I148" s="87">
        <v>12000</v>
      </c>
      <c r="J148" s="98" t="s">
        <v>116</v>
      </c>
      <c r="K148" s="89"/>
      <c r="L148" s="90"/>
      <c r="M148" s="82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5"/>
    </row>
    <row r="149" s="63" customFormat="1" spans="1:31">
      <c r="A149" s="68">
        <v>148</v>
      </c>
      <c r="B149" s="69" t="s">
        <v>94</v>
      </c>
      <c r="C149" s="92" t="s">
        <v>95</v>
      </c>
      <c r="D149" s="92" t="s">
        <v>251</v>
      </c>
      <c r="E149" s="93" t="s">
        <v>120</v>
      </c>
      <c r="F149" s="94">
        <v>46254.8335532407</v>
      </c>
      <c r="G149" s="94">
        <v>46253.8337731482</v>
      </c>
      <c r="H149" s="86" t="s">
        <v>99</v>
      </c>
      <c r="I149" s="87">
        <v>12000</v>
      </c>
      <c r="J149" s="83" t="s">
        <v>116</v>
      </c>
      <c r="K149" s="95" t="s">
        <v>121</v>
      </c>
      <c r="L149" s="96">
        <v>46249.7258912037</v>
      </c>
      <c r="M149" s="96">
        <v>46252.7488078704</v>
      </c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5"/>
    </row>
    <row r="150" s="63" customFormat="1" ht="14.4" customHeight="1" spans="1:31">
      <c r="A150" s="68">
        <v>149</v>
      </c>
      <c r="B150" s="69" t="s">
        <v>94</v>
      </c>
      <c r="C150" s="97" t="s">
        <v>95</v>
      </c>
      <c r="D150" s="97" t="s">
        <v>252</v>
      </c>
      <c r="E150" s="95" t="s">
        <v>117</v>
      </c>
      <c r="F150" s="96">
        <v>46263.7790972222</v>
      </c>
      <c r="G150" s="96">
        <v>46268.3983912037</v>
      </c>
      <c r="H150" s="86" t="s">
        <v>99</v>
      </c>
      <c r="I150" s="87">
        <v>12000</v>
      </c>
      <c r="J150" s="98" t="s">
        <v>116</v>
      </c>
      <c r="K150" s="89"/>
      <c r="L150" s="90"/>
      <c r="M150" s="82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5"/>
    </row>
    <row r="151" s="63" customFormat="1" ht="14.4" customHeight="1" spans="1:31">
      <c r="A151" s="68">
        <v>150</v>
      </c>
      <c r="B151" s="69" t="s">
        <v>94</v>
      </c>
      <c r="C151" s="97" t="s">
        <v>95</v>
      </c>
      <c r="D151" s="97" t="s">
        <v>253</v>
      </c>
      <c r="E151" s="95" t="s">
        <v>117</v>
      </c>
      <c r="F151" s="96">
        <v>46263.4279282407</v>
      </c>
      <c r="G151" s="96">
        <v>46268.3984375</v>
      </c>
      <c r="H151" s="86" t="s">
        <v>99</v>
      </c>
      <c r="I151" s="87">
        <v>12000</v>
      </c>
      <c r="J151" s="98" t="s">
        <v>116</v>
      </c>
      <c r="K151" s="89"/>
      <c r="L151" s="90"/>
      <c r="M151" s="82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  <c r="AA151" s="84"/>
      <c r="AB151" s="84"/>
      <c r="AC151" s="84"/>
      <c r="AD151" s="84"/>
      <c r="AE151" s="85"/>
    </row>
    <row r="152" s="63" customFormat="1" ht="14.4" customHeight="1" spans="1:31">
      <c r="A152" s="68">
        <v>151</v>
      </c>
      <c r="B152" s="69" t="s">
        <v>94</v>
      </c>
      <c r="C152" s="92" t="s">
        <v>95</v>
      </c>
      <c r="D152" s="92" t="s">
        <v>254</v>
      </c>
      <c r="E152" s="93" t="s">
        <v>120</v>
      </c>
      <c r="F152" s="94">
        <v>46254.8335532407</v>
      </c>
      <c r="G152" s="94">
        <v>46253.8337731482</v>
      </c>
      <c r="H152" s="86" t="s">
        <v>99</v>
      </c>
      <c r="I152" s="87">
        <v>12000</v>
      </c>
      <c r="J152" s="83" t="s">
        <v>116</v>
      </c>
      <c r="K152" s="95" t="s">
        <v>121</v>
      </c>
      <c r="L152" s="96">
        <v>46249.7258912037</v>
      </c>
      <c r="M152" s="96">
        <v>46252.7488541667</v>
      </c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5"/>
    </row>
    <row r="153" s="63" customFormat="1" ht="14.4" customHeight="1" spans="1:31">
      <c r="A153" s="68">
        <v>152</v>
      </c>
      <c r="B153" s="69" t="s">
        <v>94</v>
      </c>
      <c r="C153" s="97" t="s">
        <v>95</v>
      </c>
      <c r="D153" s="97" t="s">
        <v>255</v>
      </c>
      <c r="E153" s="95" t="s">
        <v>117</v>
      </c>
      <c r="F153" s="96">
        <v>46263.427337963</v>
      </c>
      <c r="G153" s="96">
        <v>46268.3984837963</v>
      </c>
      <c r="H153" s="86" t="s">
        <v>99</v>
      </c>
      <c r="I153" s="87">
        <v>12000</v>
      </c>
      <c r="J153" s="98" t="s">
        <v>116</v>
      </c>
      <c r="K153" s="89"/>
      <c r="L153" s="90"/>
      <c r="M153" s="82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5"/>
    </row>
    <row r="154" s="63" customFormat="1" ht="14.4" customHeight="1" spans="1:31">
      <c r="A154" s="68">
        <v>153</v>
      </c>
      <c r="B154" s="69" t="s">
        <v>94</v>
      </c>
      <c r="C154" s="70" t="s">
        <v>95</v>
      </c>
      <c r="D154" s="84" t="s">
        <v>256</v>
      </c>
      <c r="E154" s="84" t="s">
        <v>115</v>
      </c>
      <c r="F154" s="91">
        <v>45517.5921990741</v>
      </c>
      <c r="G154" s="91">
        <v>45517.3651273148</v>
      </c>
      <c r="H154" s="79" t="s">
        <v>97</v>
      </c>
      <c r="I154" s="80">
        <v>16000</v>
      </c>
      <c r="J154" s="83" t="s">
        <v>116</v>
      </c>
      <c r="K154" s="88" t="s">
        <v>117</v>
      </c>
      <c r="L154" s="91">
        <v>45447.7148148148</v>
      </c>
      <c r="M154" s="91">
        <v>45450.7170023148</v>
      </c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5"/>
    </row>
    <row r="155" s="63" customFormat="1" ht="14.4" customHeight="1" spans="1:31">
      <c r="A155" s="68">
        <v>154</v>
      </c>
      <c r="B155" s="69" t="s">
        <v>94</v>
      </c>
      <c r="C155" s="70" t="s">
        <v>95</v>
      </c>
      <c r="D155" s="84" t="s">
        <v>257</v>
      </c>
      <c r="E155" s="84" t="s">
        <v>115</v>
      </c>
      <c r="F155" s="91">
        <v>45517.5922106481</v>
      </c>
      <c r="G155" s="91">
        <v>45517.365162037</v>
      </c>
      <c r="H155" s="86" t="s">
        <v>99</v>
      </c>
      <c r="I155" s="87">
        <v>12000</v>
      </c>
      <c r="J155" s="83" t="s">
        <v>116</v>
      </c>
      <c r="K155" s="88" t="s">
        <v>117</v>
      </c>
      <c r="L155" s="91">
        <v>45447.7152430556</v>
      </c>
      <c r="M155" s="91">
        <v>45450.7171990741</v>
      </c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5"/>
    </row>
    <row r="156" s="63" customFormat="1" ht="14.4" customHeight="1" spans="1:31">
      <c r="A156" s="68">
        <v>155</v>
      </c>
      <c r="B156" s="69" t="s">
        <v>94</v>
      </c>
      <c r="C156" s="70" t="s">
        <v>95</v>
      </c>
      <c r="D156" s="84" t="s">
        <v>258</v>
      </c>
      <c r="E156" s="84" t="s">
        <v>115</v>
      </c>
      <c r="F156" s="91">
        <v>45518.7264236111</v>
      </c>
      <c r="G156" s="91">
        <v>45524.3814467593</v>
      </c>
      <c r="H156" s="86" t="s">
        <v>99</v>
      </c>
      <c r="I156" s="87">
        <v>12000</v>
      </c>
      <c r="J156" s="83" t="s">
        <v>116</v>
      </c>
      <c r="K156" s="88" t="s">
        <v>117</v>
      </c>
      <c r="L156" s="91">
        <v>45447.7162268519</v>
      </c>
      <c r="M156" s="91">
        <v>45450.7173032407</v>
      </c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  <c r="AA156" s="84"/>
      <c r="AB156" s="84"/>
      <c r="AC156" s="84"/>
      <c r="AD156" s="84"/>
      <c r="AE156" s="85"/>
    </row>
    <row r="157" s="63" customFormat="1" ht="14.4" customHeight="1" spans="1:31">
      <c r="A157" s="68">
        <v>156</v>
      </c>
      <c r="B157" s="69" t="s">
        <v>94</v>
      </c>
      <c r="C157" s="70" t="s">
        <v>95</v>
      </c>
      <c r="D157" s="84" t="s">
        <v>259</v>
      </c>
      <c r="E157" s="84" t="s">
        <v>115</v>
      </c>
      <c r="F157" s="91">
        <v>45518.7264351852</v>
      </c>
      <c r="G157" s="91">
        <v>45524.3814930556</v>
      </c>
      <c r="H157" s="86" t="s">
        <v>99</v>
      </c>
      <c r="I157" s="87">
        <v>12000</v>
      </c>
      <c r="J157" s="83" t="s">
        <v>116</v>
      </c>
      <c r="K157" s="88" t="s">
        <v>117</v>
      </c>
      <c r="L157" s="91">
        <v>45447.7167592593</v>
      </c>
      <c r="M157" s="91">
        <v>45450.7174189815</v>
      </c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5"/>
    </row>
    <row r="158" s="63" customFormat="1" ht="14.4" customHeight="1" spans="1:31">
      <c r="A158" s="68">
        <v>157</v>
      </c>
      <c r="B158" s="69" t="s">
        <v>94</v>
      </c>
      <c r="C158" s="70" t="s">
        <v>95</v>
      </c>
      <c r="D158" s="84" t="s">
        <v>260</v>
      </c>
      <c r="E158" s="84" t="s">
        <v>115</v>
      </c>
      <c r="F158" s="91">
        <v>45518.5496759259</v>
      </c>
      <c r="G158" s="91">
        <v>45517.3651967593</v>
      </c>
      <c r="H158" s="86" t="s">
        <v>99</v>
      </c>
      <c r="I158" s="87">
        <v>12000</v>
      </c>
      <c r="J158" s="83" t="s">
        <v>116</v>
      </c>
      <c r="K158" s="88" t="s">
        <v>117</v>
      </c>
      <c r="L158" s="91">
        <v>45447.7168518519</v>
      </c>
      <c r="M158" s="91">
        <v>45450.7176273148</v>
      </c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5"/>
    </row>
    <row r="159" s="63" customFormat="1" ht="14.4" customHeight="1" spans="1:31">
      <c r="A159" s="68">
        <v>158</v>
      </c>
      <c r="B159" s="69" t="s">
        <v>94</v>
      </c>
      <c r="C159" s="70" t="s">
        <v>95</v>
      </c>
      <c r="D159" s="84" t="s">
        <v>261</v>
      </c>
      <c r="E159" s="84" t="s">
        <v>115</v>
      </c>
      <c r="F159" s="91">
        <v>45518.5496875</v>
      </c>
      <c r="G159" s="91">
        <v>45517.3652314815</v>
      </c>
      <c r="H159" s="86" t="s">
        <v>99</v>
      </c>
      <c r="I159" s="87">
        <v>12000</v>
      </c>
      <c r="J159" s="83" t="s">
        <v>116</v>
      </c>
      <c r="K159" s="88" t="s">
        <v>117</v>
      </c>
      <c r="L159" s="91">
        <v>45447.7169907407</v>
      </c>
      <c r="M159" s="91">
        <v>45450.7177199074</v>
      </c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  <c r="AA159" s="84"/>
      <c r="AB159" s="84"/>
      <c r="AC159" s="84"/>
      <c r="AD159" s="84"/>
      <c r="AE159" s="85"/>
    </row>
    <row r="160" s="63" customFormat="1" ht="14.4" customHeight="1" spans="1:31">
      <c r="A160" s="68">
        <v>159</v>
      </c>
      <c r="B160" s="69" t="s">
        <v>94</v>
      </c>
      <c r="C160" s="70" t="s">
        <v>95</v>
      </c>
      <c r="D160" s="84" t="s">
        <v>262</v>
      </c>
      <c r="E160" s="84" t="s">
        <v>115</v>
      </c>
      <c r="F160" s="91">
        <v>45518.5558449074</v>
      </c>
      <c r="G160" s="91">
        <v>45517.3652662037</v>
      </c>
      <c r="H160" s="86" t="s">
        <v>99</v>
      </c>
      <c r="I160" s="87">
        <v>12000</v>
      </c>
      <c r="J160" s="83" t="s">
        <v>116</v>
      </c>
      <c r="K160" s="88" t="s">
        <v>117</v>
      </c>
      <c r="L160" s="91">
        <v>45447.7170717593</v>
      </c>
      <c r="M160" s="91">
        <v>45450.7178009259</v>
      </c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5"/>
    </row>
    <row r="161" s="63" customFormat="1" ht="14.4" customHeight="1" spans="1:31">
      <c r="A161" s="68">
        <v>160</v>
      </c>
      <c r="B161" s="69" t="s">
        <v>94</v>
      </c>
      <c r="C161" s="70" t="s">
        <v>95</v>
      </c>
      <c r="D161" s="84" t="s">
        <v>263</v>
      </c>
      <c r="E161" s="84" t="s">
        <v>115</v>
      </c>
      <c r="F161" s="91">
        <v>45518.5593402778</v>
      </c>
      <c r="G161" s="91">
        <v>45517.3653009259</v>
      </c>
      <c r="H161" s="86" t="s">
        <v>99</v>
      </c>
      <c r="I161" s="87">
        <v>12000</v>
      </c>
      <c r="J161" s="83" t="s">
        <v>116</v>
      </c>
      <c r="K161" s="88" t="s">
        <v>117</v>
      </c>
      <c r="L161" s="91">
        <v>45447.7171527778</v>
      </c>
      <c r="M161" s="91">
        <v>45450.7178935185</v>
      </c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5"/>
    </row>
    <row r="162" s="63" customFormat="1" ht="14.4" customHeight="1" spans="1:31">
      <c r="A162" s="68">
        <v>161</v>
      </c>
      <c r="B162" s="69" t="s">
        <v>94</v>
      </c>
      <c r="C162" s="70" t="s">
        <v>95</v>
      </c>
      <c r="D162" s="84" t="s">
        <v>264</v>
      </c>
      <c r="E162" s="84" t="s">
        <v>115</v>
      </c>
      <c r="F162" s="91">
        <v>45902.8822106481</v>
      </c>
      <c r="G162" s="91">
        <v>45901.8822916667</v>
      </c>
      <c r="H162" s="86" t="s">
        <v>99</v>
      </c>
      <c r="I162" s="87">
        <v>12000</v>
      </c>
      <c r="J162" s="83" t="s">
        <v>116</v>
      </c>
      <c r="K162" s="88" t="s">
        <v>117</v>
      </c>
      <c r="L162" s="91">
        <v>45447.7172685185</v>
      </c>
      <c r="M162" s="91">
        <v>45450.718275463</v>
      </c>
      <c r="N162" s="84" t="s">
        <v>138</v>
      </c>
      <c r="O162" s="91">
        <v>45617.61875</v>
      </c>
      <c r="P162" s="91">
        <v>45622.6666666667</v>
      </c>
      <c r="Q162" s="83" t="s">
        <v>117</v>
      </c>
      <c r="R162" s="91">
        <v>45699.4798611111</v>
      </c>
      <c r="S162" s="91">
        <v>45699.4798611111</v>
      </c>
      <c r="T162" s="84" t="s">
        <v>115</v>
      </c>
      <c r="U162" s="91">
        <v>45781.8821527778</v>
      </c>
      <c r="V162" s="91">
        <v>45780.8822569444</v>
      </c>
      <c r="W162" s="84" t="s">
        <v>120</v>
      </c>
      <c r="X162" s="91">
        <v>45810.8336111111</v>
      </c>
      <c r="Y162" s="91">
        <v>45809.8336805556</v>
      </c>
      <c r="Z162" s="84"/>
      <c r="AA162" s="84"/>
      <c r="AB162" s="84"/>
      <c r="AC162" s="84"/>
      <c r="AD162" s="84"/>
      <c r="AE162" s="85"/>
    </row>
    <row r="163" s="63" customFormat="1" ht="14.4" customHeight="1" spans="1:31">
      <c r="A163" s="68">
        <v>162</v>
      </c>
      <c r="B163" s="69" t="s">
        <v>94</v>
      </c>
      <c r="C163" s="70" t="s">
        <v>95</v>
      </c>
      <c r="D163" s="84" t="s">
        <v>265</v>
      </c>
      <c r="E163" s="84" t="s">
        <v>115</v>
      </c>
      <c r="F163" s="91">
        <v>45902.8822106481</v>
      </c>
      <c r="G163" s="91">
        <v>45901.8822916667</v>
      </c>
      <c r="H163" s="86" t="s">
        <v>99</v>
      </c>
      <c r="I163" s="87">
        <v>12000</v>
      </c>
      <c r="J163" s="83" t="s">
        <v>116</v>
      </c>
      <c r="K163" s="88" t="s">
        <v>117</v>
      </c>
      <c r="L163" s="91">
        <v>45447.7174768519</v>
      </c>
      <c r="M163" s="91">
        <v>45450.7184259259</v>
      </c>
      <c r="N163" s="84" t="s">
        <v>138</v>
      </c>
      <c r="O163" s="91">
        <v>45617.61875</v>
      </c>
      <c r="P163" s="91">
        <v>45622.6666666667</v>
      </c>
      <c r="Q163" s="83" t="s">
        <v>117</v>
      </c>
      <c r="R163" s="91">
        <v>45699.4798611111</v>
      </c>
      <c r="S163" s="91">
        <v>45699.4798611111</v>
      </c>
      <c r="T163" s="84" t="s">
        <v>115</v>
      </c>
      <c r="U163" s="91">
        <v>45781.8821527778</v>
      </c>
      <c r="V163" s="91">
        <v>45780.8822569444</v>
      </c>
      <c r="W163" s="84" t="s">
        <v>120</v>
      </c>
      <c r="X163" s="91">
        <v>45810.8336111111</v>
      </c>
      <c r="Y163" s="91">
        <v>45809.8336805556</v>
      </c>
      <c r="Z163" s="84"/>
      <c r="AA163" s="84"/>
      <c r="AB163" s="84"/>
      <c r="AC163" s="84"/>
      <c r="AD163" s="84"/>
      <c r="AE163" s="85"/>
    </row>
    <row r="164" s="63" customFormat="1" ht="14.4" customHeight="1" spans="1:31">
      <c r="A164" s="68">
        <v>163</v>
      </c>
      <c r="B164" s="69" t="s">
        <v>94</v>
      </c>
      <c r="C164" s="97" t="s">
        <v>95</v>
      </c>
      <c r="D164" s="97" t="s">
        <v>266</v>
      </c>
      <c r="E164" s="95" t="s">
        <v>120</v>
      </c>
      <c r="F164" s="96">
        <v>46225.8336574074</v>
      </c>
      <c r="G164" s="96">
        <v>46224.8338888889</v>
      </c>
      <c r="H164" s="86" t="s">
        <v>99</v>
      </c>
      <c r="I164" s="87">
        <v>12000</v>
      </c>
      <c r="J164" s="83" t="s">
        <v>116</v>
      </c>
      <c r="K164" s="93" t="s">
        <v>121</v>
      </c>
      <c r="L164" s="94">
        <v>46221.7364814815</v>
      </c>
      <c r="M164" s="94">
        <v>46221.7394675926</v>
      </c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5"/>
    </row>
    <row r="165" s="63" customFormat="1" ht="14.4" customHeight="1" spans="1:31">
      <c r="A165" s="68">
        <v>164</v>
      </c>
      <c r="B165" s="69" t="s">
        <v>94</v>
      </c>
      <c r="C165" s="97" t="s">
        <v>95</v>
      </c>
      <c r="D165" s="97" t="s">
        <v>267</v>
      </c>
      <c r="E165" s="95" t="s">
        <v>120</v>
      </c>
      <c r="F165" s="96">
        <v>46225.8336574074</v>
      </c>
      <c r="G165" s="96">
        <v>46224.8338888889</v>
      </c>
      <c r="H165" s="86" t="s">
        <v>99</v>
      </c>
      <c r="I165" s="87">
        <v>12000</v>
      </c>
      <c r="J165" s="83" t="s">
        <v>116</v>
      </c>
      <c r="K165" s="93" t="s">
        <v>121</v>
      </c>
      <c r="L165" s="94">
        <v>46221.7364930556</v>
      </c>
      <c r="M165" s="94">
        <v>46221.7395833333</v>
      </c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5"/>
    </row>
    <row r="166" s="63" customFormat="1" ht="14.4" customHeight="1" spans="1:31">
      <c r="A166" s="68">
        <v>165</v>
      </c>
      <c r="B166" s="69" t="s">
        <v>94</v>
      </c>
      <c r="C166" s="70" t="s">
        <v>95</v>
      </c>
      <c r="D166" s="97" t="s">
        <v>268</v>
      </c>
      <c r="E166" s="95" t="s">
        <v>117</v>
      </c>
      <c r="F166" s="96">
        <v>46227.8970138889</v>
      </c>
      <c r="G166" s="96">
        <v>46237.6130787037</v>
      </c>
      <c r="H166" s="86" t="s">
        <v>99</v>
      </c>
      <c r="I166" s="87">
        <v>12000</v>
      </c>
      <c r="J166" s="83" t="s">
        <v>116</v>
      </c>
      <c r="K166" s="89"/>
      <c r="L166" s="90"/>
      <c r="M166" s="82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5"/>
    </row>
    <row r="167" s="63" customFormat="1" ht="14.4" customHeight="1" spans="1:31">
      <c r="A167" s="68">
        <v>166</v>
      </c>
      <c r="B167" s="69" t="s">
        <v>94</v>
      </c>
      <c r="C167" s="97" t="s">
        <v>95</v>
      </c>
      <c r="D167" s="97" t="s">
        <v>269</v>
      </c>
      <c r="E167" s="95" t="s">
        <v>117</v>
      </c>
      <c r="F167" s="96">
        <v>46262.8296412037</v>
      </c>
      <c r="G167" s="96">
        <v>46268.3985300926</v>
      </c>
      <c r="H167" s="86" t="s">
        <v>99</v>
      </c>
      <c r="I167" s="87">
        <v>12000</v>
      </c>
      <c r="J167" s="98" t="s">
        <v>116</v>
      </c>
      <c r="K167" s="89"/>
      <c r="L167" s="90"/>
      <c r="M167" s="82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5"/>
    </row>
    <row r="168" s="63" customFormat="1" ht="14.4" customHeight="1" spans="1:31">
      <c r="A168" s="68">
        <v>167</v>
      </c>
      <c r="B168" s="69" t="s">
        <v>94</v>
      </c>
      <c r="C168" s="92" t="s">
        <v>95</v>
      </c>
      <c r="D168" s="92" t="s">
        <v>270</v>
      </c>
      <c r="E168" s="93" t="s">
        <v>120</v>
      </c>
      <c r="F168" s="94">
        <v>46254.8335532407</v>
      </c>
      <c r="G168" s="94">
        <v>46253.8337731482</v>
      </c>
      <c r="H168" s="86" t="s">
        <v>99</v>
      </c>
      <c r="I168" s="87">
        <v>12000</v>
      </c>
      <c r="J168" s="83" t="s">
        <v>116</v>
      </c>
      <c r="K168" s="95" t="s">
        <v>121</v>
      </c>
      <c r="L168" s="96">
        <v>46249.7258912037</v>
      </c>
      <c r="M168" s="96">
        <v>46252.748900463</v>
      </c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5"/>
    </row>
    <row r="169" s="63" customFormat="1" ht="14.4" customHeight="1" spans="1:31">
      <c r="A169" s="68">
        <v>168</v>
      </c>
      <c r="B169" s="69" t="s">
        <v>94</v>
      </c>
      <c r="C169" s="97" t="s">
        <v>95</v>
      </c>
      <c r="D169" s="97" t="s">
        <v>271</v>
      </c>
      <c r="E169" s="95" t="s">
        <v>117</v>
      </c>
      <c r="F169" s="96">
        <v>46262.8298263889</v>
      </c>
      <c r="G169" s="96">
        <v>46268.3985763889</v>
      </c>
      <c r="H169" s="86" t="s">
        <v>99</v>
      </c>
      <c r="I169" s="87">
        <v>12000</v>
      </c>
      <c r="J169" s="98" t="s">
        <v>116</v>
      </c>
      <c r="K169" s="89"/>
      <c r="L169" s="90"/>
      <c r="M169" s="82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5"/>
    </row>
    <row r="170" s="63" customFormat="1" ht="14.4" customHeight="1" spans="1:31">
      <c r="A170" s="68">
        <v>169</v>
      </c>
      <c r="B170" s="69" t="s">
        <v>94</v>
      </c>
      <c r="C170" s="70" t="s">
        <v>95</v>
      </c>
      <c r="D170" s="84" t="s">
        <v>272</v>
      </c>
      <c r="E170" s="88"/>
      <c r="F170" s="84"/>
      <c r="G170" s="84"/>
      <c r="H170" s="86" t="s">
        <v>99</v>
      </c>
      <c r="I170" s="87">
        <v>12000</v>
      </c>
      <c r="J170" s="84"/>
      <c r="K170" s="89"/>
      <c r="L170" s="90"/>
      <c r="M170" s="82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5"/>
    </row>
    <row r="171" s="63" customFormat="1" ht="14.4" customHeight="1" spans="1:31">
      <c r="A171" s="68">
        <v>170</v>
      </c>
      <c r="B171" s="69" t="s">
        <v>94</v>
      </c>
      <c r="C171" s="70" t="s">
        <v>95</v>
      </c>
      <c r="D171" s="84" t="s">
        <v>273</v>
      </c>
      <c r="E171" s="88"/>
      <c r="F171" s="84"/>
      <c r="G171" s="84"/>
      <c r="H171" s="86" t="s">
        <v>99</v>
      </c>
      <c r="I171" s="87">
        <v>12000</v>
      </c>
      <c r="J171" s="84"/>
      <c r="K171" s="89"/>
      <c r="L171" s="90"/>
      <c r="M171" s="82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5"/>
    </row>
    <row r="172" s="63" customFormat="1" ht="14.4" customHeight="1" spans="1:31">
      <c r="A172" s="68">
        <v>171</v>
      </c>
      <c r="B172" s="69" t="s">
        <v>94</v>
      </c>
      <c r="C172" s="70" t="s">
        <v>274</v>
      </c>
      <c r="D172" s="70" t="s">
        <v>96</v>
      </c>
      <c r="E172" s="84" t="s">
        <v>115</v>
      </c>
      <c r="F172" s="91">
        <v>46047.4772916667</v>
      </c>
      <c r="G172" s="91">
        <v>46045.4774305556</v>
      </c>
      <c r="H172" s="79" t="s">
        <v>97</v>
      </c>
      <c r="I172" s="80">
        <v>16000</v>
      </c>
      <c r="J172" s="83" t="s">
        <v>116</v>
      </c>
      <c r="K172" s="88" t="s">
        <v>117</v>
      </c>
      <c r="L172" s="91">
        <v>46037.5680555556</v>
      </c>
      <c r="M172" s="91">
        <v>46036.700474537</v>
      </c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5"/>
    </row>
    <row r="173" s="63" customFormat="1" ht="14.4" customHeight="1" spans="1:31">
      <c r="A173" s="68">
        <v>172</v>
      </c>
      <c r="B173" s="69" t="s">
        <v>94</v>
      </c>
      <c r="C173" s="70" t="s">
        <v>274</v>
      </c>
      <c r="D173" s="70" t="s">
        <v>98</v>
      </c>
      <c r="E173" s="84" t="s">
        <v>115</v>
      </c>
      <c r="F173" s="91">
        <v>46047.4808680556</v>
      </c>
      <c r="G173" s="91">
        <v>46045.4810069444</v>
      </c>
      <c r="H173" s="86" t="s">
        <v>99</v>
      </c>
      <c r="I173" s="87">
        <v>12000</v>
      </c>
      <c r="J173" s="83" t="s">
        <v>116</v>
      </c>
      <c r="K173" s="88" t="s">
        <v>117</v>
      </c>
      <c r="L173" s="91">
        <v>45546.6513078704</v>
      </c>
      <c r="M173" s="91">
        <v>45604.7685532407</v>
      </c>
      <c r="N173" s="84" t="s">
        <v>138</v>
      </c>
      <c r="O173" s="91">
        <v>45611.6939351852</v>
      </c>
      <c r="P173" s="91">
        <v>45615.5874652778</v>
      </c>
      <c r="Q173" s="84" t="s">
        <v>117</v>
      </c>
      <c r="R173" s="91">
        <v>46037.5633217593</v>
      </c>
      <c r="S173" s="91">
        <v>46036.7299074074</v>
      </c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5"/>
    </row>
    <row r="174" s="63" customFormat="1" ht="14.4" customHeight="1" spans="1:31">
      <c r="A174" s="68">
        <v>173</v>
      </c>
      <c r="B174" s="69" t="s">
        <v>94</v>
      </c>
      <c r="C174" s="70" t="s">
        <v>274</v>
      </c>
      <c r="D174" s="70" t="s">
        <v>100</v>
      </c>
      <c r="E174" s="84" t="s">
        <v>115</v>
      </c>
      <c r="F174" s="91">
        <v>46047.4843055556</v>
      </c>
      <c r="G174" s="91">
        <v>46045.4844444444</v>
      </c>
      <c r="H174" s="86" t="s">
        <v>99</v>
      </c>
      <c r="I174" s="87">
        <v>12000</v>
      </c>
      <c r="J174" s="83" t="s">
        <v>116</v>
      </c>
      <c r="K174" s="88" t="s">
        <v>117</v>
      </c>
      <c r="L174" s="91">
        <v>45546.6513078704</v>
      </c>
      <c r="M174" s="91">
        <v>45604.7685532407</v>
      </c>
      <c r="N174" s="84" t="s">
        <v>138</v>
      </c>
      <c r="O174" s="91">
        <v>45611.6940393519</v>
      </c>
      <c r="P174" s="91">
        <v>45615.5875231481</v>
      </c>
      <c r="Q174" s="84" t="s">
        <v>117</v>
      </c>
      <c r="R174" s="91">
        <v>46037.5626851852</v>
      </c>
      <c r="S174" s="91">
        <v>46036.731412037</v>
      </c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5"/>
    </row>
    <row r="175" s="63" customFormat="1" ht="14.4" customHeight="1" spans="1:31">
      <c r="A175" s="68">
        <v>174</v>
      </c>
      <c r="B175" s="69" t="s">
        <v>94</v>
      </c>
      <c r="C175" s="70" t="s">
        <v>274</v>
      </c>
      <c r="D175" s="70" t="s">
        <v>101</v>
      </c>
      <c r="E175" s="84" t="s">
        <v>115</v>
      </c>
      <c r="F175" s="91">
        <v>46047.4877893518</v>
      </c>
      <c r="G175" s="91">
        <v>46045.4879282407</v>
      </c>
      <c r="H175" s="86" t="s">
        <v>99</v>
      </c>
      <c r="I175" s="87">
        <v>12000</v>
      </c>
      <c r="J175" s="83" t="s">
        <v>116</v>
      </c>
      <c r="K175" s="88" t="s">
        <v>117</v>
      </c>
      <c r="L175" s="91">
        <v>45604.6746412037</v>
      </c>
      <c r="M175" s="91">
        <v>45609.7244675926</v>
      </c>
      <c r="N175" s="84" t="s">
        <v>138</v>
      </c>
      <c r="O175" s="91">
        <v>45616.6772222222</v>
      </c>
      <c r="P175" s="91">
        <v>45616.6041666667</v>
      </c>
      <c r="Q175" s="84" t="s">
        <v>117</v>
      </c>
      <c r="R175" s="91">
        <v>46037.5637962963</v>
      </c>
      <c r="S175" s="91">
        <v>46036.731712963</v>
      </c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5"/>
    </row>
    <row r="176" s="63" customFormat="1" ht="14.4" customHeight="1" spans="1:31">
      <c r="A176" s="68">
        <v>175</v>
      </c>
      <c r="B176" s="69" t="s">
        <v>94</v>
      </c>
      <c r="C176" s="70" t="s">
        <v>274</v>
      </c>
      <c r="D176" s="70" t="s">
        <v>102</v>
      </c>
      <c r="E176" s="84" t="s">
        <v>115</v>
      </c>
      <c r="F176" s="91">
        <v>46047.4843171296</v>
      </c>
      <c r="G176" s="91">
        <v>46045.4844560185</v>
      </c>
      <c r="H176" s="86" t="s">
        <v>99</v>
      </c>
      <c r="I176" s="87">
        <v>12000</v>
      </c>
      <c r="J176" s="83" t="s">
        <v>116</v>
      </c>
      <c r="K176" s="88" t="s">
        <v>117</v>
      </c>
      <c r="L176" s="91">
        <v>45546.6513078704</v>
      </c>
      <c r="M176" s="91">
        <v>45604.7685532407</v>
      </c>
      <c r="N176" s="84" t="s">
        <v>138</v>
      </c>
      <c r="O176" s="91">
        <v>45611.6937731481</v>
      </c>
      <c r="P176" s="91">
        <v>45615.5875925926</v>
      </c>
      <c r="Q176" s="84" t="s">
        <v>117</v>
      </c>
      <c r="R176" s="91">
        <v>46037.5577546296</v>
      </c>
      <c r="S176" s="91">
        <v>46036.7357407407</v>
      </c>
      <c r="T176" s="84"/>
      <c r="U176" s="84"/>
      <c r="V176" s="84"/>
      <c r="W176" s="84"/>
      <c r="X176" s="84"/>
      <c r="Y176" s="84"/>
      <c r="Z176" s="84"/>
      <c r="AA176" s="84"/>
      <c r="AB176" s="84"/>
      <c r="AC176" s="84"/>
      <c r="AD176" s="84"/>
      <c r="AE176" s="85"/>
    </row>
    <row r="177" s="63" customFormat="1" ht="14.4" customHeight="1" spans="1:31">
      <c r="A177" s="68">
        <v>176</v>
      </c>
      <c r="B177" s="69" t="s">
        <v>94</v>
      </c>
      <c r="C177" s="70" t="s">
        <v>274</v>
      </c>
      <c r="D177" s="70" t="s">
        <v>103</v>
      </c>
      <c r="E177" s="84" t="s">
        <v>115</v>
      </c>
      <c r="F177" s="91">
        <v>46047.4877893518</v>
      </c>
      <c r="G177" s="91">
        <v>46045.4879282407</v>
      </c>
      <c r="H177" s="86" t="s">
        <v>99</v>
      </c>
      <c r="I177" s="87">
        <v>12000</v>
      </c>
      <c r="J177" s="83" t="s">
        <v>116</v>
      </c>
      <c r="K177" s="88" t="s">
        <v>117</v>
      </c>
      <c r="L177" s="91">
        <v>45546.6513078704</v>
      </c>
      <c r="M177" s="91">
        <v>45604.7685532407</v>
      </c>
      <c r="N177" s="84" t="s">
        <v>138</v>
      </c>
      <c r="O177" s="91">
        <v>45611.694212963</v>
      </c>
      <c r="P177" s="91">
        <v>45615.587662037</v>
      </c>
      <c r="Q177" s="84" t="s">
        <v>117</v>
      </c>
      <c r="R177" s="91">
        <v>46037.5700810185</v>
      </c>
      <c r="S177" s="91">
        <v>46036.7372685185</v>
      </c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5"/>
    </row>
    <row r="178" s="63" customFormat="1" ht="14.4" customHeight="1" spans="1:31">
      <c r="A178" s="68">
        <v>177</v>
      </c>
      <c r="B178" s="69" t="s">
        <v>94</v>
      </c>
      <c r="C178" s="97" t="s">
        <v>274</v>
      </c>
      <c r="D178" s="97" t="s">
        <v>104</v>
      </c>
      <c r="E178" s="95" t="s">
        <v>115</v>
      </c>
      <c r="F178" s="96">
        <v>46249.4450578704</v>
      </c>
      <c r="G178" s="96">
        <v>46247.4452662037</v>
      </c>
      <c r="H178" s="86" t="s">
        <v>99</v>
      </c>
      <c r="I178" s="87">
        <v>12000</v>
      </c>
      <c r="J178" s="83" t="s">
        <v>116</v>
      </c>
      <c r="K178" s="88" t="s">
        <v>117</v>
      </c>
      <c r="L178" s="91">
        <v>45546.6513078704</v>
      </c>
      <c r="M178" s="91">
        <v>45604.7685532407</v>
      </c>
      <c r="N178" s="84" t="s">
        <v>138</v>
      </c>
      <c r="O178" s="91">
        <v>45611.6921180556</v>
      </c>
      <c r="P178" s="91">
        <v>45615.5877199074</v>
      </c>
      <c r="Q178" s="84" t="s">
        <v>117</v>
      </c>
      <c r="R178" s="91">
        <v>45906.4382291667</v>
      </c>
      <c r="S178" s="91">
        <v>45911.7708333333</v>
      </c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5"/>
    </row>
    <row r="179" s="63" customFormat="1" ht="14.4" customHeight="1" spans="1:31">
      <c r="A179" s="68">
        <v>178</v>
      </c>
      <c r="B179" s="69" t="s">
        <v>94</v>
      </c>
      <c r="C179" s="97" t="s">
        <v>274</v>
      </c>
      <c r="D179" s="97" t="s">
        <v>105</v>
      </c>
      <c r="E179" s="95" t="s">
        <v>115</v>
      </c>
      <c r="F179" s="96">
        <v>46141.6910416667</v>
      </c>
      <c r="G179" s="96">
        <v>46139.6912615741</v>
      </c>
      <c r="H179" s="86" t="s">
        <v>99</v>
      </c>
      <c r="I179" s="87">
        <v>12000</v>
      </c>
      <c r="J179" s="83" t="s">
        <v>116</v>
      </c>
      <c r="K179" s="88" t="s">
        <v>117</v>
      </c>
      <c r="L179" s="91">
        <v>45546.6513078704</v>
      </c>
      <c r="M179" s="91">
        <v>45604.7685532407</v>
      </c>
      <c r="N179" s="84" t="s">
        <v>138</v>
      </c>
      <c r="O179" s="91">
        <v>45611.6941319444</v>
      </c>
      <c r="P179" s="91">
        <v>45615.5877777778</v>
      </c>
      <c r="Q179" s="84" t="s">
        <v>117</v>
      </c>
      <c r="R179" s="91">
        <v>45906.4382291667</v>
      </c>
      <c r="S179" s="91">
        <v>45911.7708333333</v>
      </c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5"/>
    </row>
    <row r="180" s="63" customFormat="1" ht="14.4" customHeight="1" spans="1:31">
      <c r="A180" s="68">
        <v>179</v>
      </c>
      <c r="B180" s="69" t="s">
        <v>94</v>
      </c>
      <c r="C180" s="70" t="s">
        <v>274</v>
      </c>
      <c r="D180" s="70" t="s">
        <v>106</v>
      </c>
      <c r="E180" s="84" t="s">
        <v>115</v>
      </c>
      <c r="F180" s="91">
        <v>46005.8821990741</v>
      </c>
      <c r="G180" s="91">
        <v>46004.882337963</v>
      </c>
      <c r="H180" s="86" t="s">
        <v>99</v>
      </c>
      <c r="I180" s="87">
        <v>12000</v>
      </c>
      <c r="J180" s="83" t="s">
        <v>116</v>
      </c>
      <c r="K180" s="88" t="s">
        <v>117</v>
      </c>
      <c r="L180" s="91">
        <v>45546.6513078704</v>
      </c>
      <c r="M180" s="91">
        <v>45604.7685532407</v>
      </c>
      <c r="N180" s="84" t="s">
        <v>138</v>
      </c>
      <c r="O180" s="91">
        <v>45646.6181481481</v>
      </c>
      <c r="P180" s="91">
        <v>45652.6962962963</v>
      </c>
      <c r="Q180" s="84" t="s">
        <v>117</v>
      </c>
      <c r="R180" s="91">
        <v>45906.4382291667</v>
      </c>
      <c r="S180" s="91">
        <v>45911.7708333333</v>
      </c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5"/>
    </row>
    <row r="181" s="63" customFormat="1" ht="14.4" customHeight="1" spans="1:31">
      <c r="A181" s="68">
        <v>180</v>
      </c>
      <c r="B181" s="69" t="s">
        <v>94</v>
      </c>
      <c r="C181" s="70" t="s">
        <v>274</v>
      </c>
      <c r="D181" s="70" t="s">
        <v>107</v>
      </c>
      <c r="E181" s="84" t="s">
        <v>115</v>
      </c>
      <c r="F181" s="91">
        <v>46005.8821990741</v>
      </c>
      <c r="G181" s="91">
        <v>46004.882337963</v>
      </c>
      <c r="H181" s="86" t="s">
        <v>99</v>
      </c>
      <c r="I181" s="87">
        <v>12000</v>
      </c>
      <c r="J181" s="83" t="s">
        <v>116</v>
      </c>
      <c r="K181" s="88" t="s">
        <v>117</v>
      </c>
      <c r="L181" s="91">
        <v>45546.6513078704</v>
      </c>
      <c r="M181" s="91">
        <v>45604.7685532407</v>
      </c>
      <c r="N181" s="84" t="s">
        <v>138</v>
      </c>
      <c r="O181" s="91">
        <v>45646.6181481481</v>
      </c>
      <c r="P181" s="91">
        <v>45652.6962962963</v>
      </c>
      <c r="Q181" s="84" t="s">
        <v>117</v>
      </c>
      <c r="R181" s="91">
        <v>45906.4382291667</v>
      </c>
      <c r="S181" s="91">
        <v>45911.7708333333</v>
      </c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5"/>
    </row>
    <row r="182" s="63" customFormat="1" ht="14.4" customHeight="1" spans="1:31">
      <c r="A182" s="68">
        <v>181</v>
      </c>
      <c r="B182" s="69" t="s">
        <v>94</v>
      </c>
      <c r="C182" s="70" t="s">
        <v>274</v>
      </c>
      <c r="D182" s="70" t="s">
        <v>108</v>
      </c>
      <c r="E182" s="88"/>
      <c r="F182" s="84"/>
      <c r="G182" s="84"/>
      <c r="H182" s="86" t="s">
        <v>99</v>
      </c>
      <c r="I182" s="87">
        <v>12000</v>
      </c>
      <c r="J182" s="84"/>
      <c r="K182" s="89"/>
      <c r="L182" s="90"/>
      <c r="M182" s="82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5"/>
    </row>
    <row r="183" s="63" customFormat="1" ht="14.4" customHeight="1" spans="1:31">
      <c r="A183" s="68">
        <v>182</v>
      </c>
      <c r="B183" s="69" t="s">
        <v>94</v>
      </c>
      <c r="C183" s="70" t="s">
        <v>274</v>
      </c>
      <c r="D183" s="70" t="s">
        <v>109</v>
      </c>
      <c r="E183" s="88"/>
      <c r="F183" s="84"/>
      <c r="G183" s="84"/>
      <c r="H183" s="86" t="s">
        <v>99</v>
      </c>
      <c r="I183" s="87">
        <v>12000</v>
      </c>
      <c r="J183" s="84"/>
      <c r="K183" s="89"/>
      <c r="L183" s="90"/>
      <c r="M183" s="82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5"/>
    </row>
    <row r="184" s="63" customFormat="1" ht="14.4" customHeight="1" spans="1:31">
      <c r="A184" s="68">
        <v>183</v>
      </c>
      <c r="B184" s="69" t="s">
        <v>94</v>
      </c>
      <c r="C184" s="70" t="s">
        <v>274</v>
      </c>
      <c r="D184" s="70" t="s">
        <v>110</v>
      </c>
      <c r="E184" s="88"/>
      <c r="F184" s="84"/>
      <c r="G184" s="84"/>
      <c r="H184" s="86" t="s">
        <v>99</v>
      </c>
      <c r="I184" s="87">
        <v>12000</v>
      </c>
      <c r="J184" s="84"/>
      <c r="K184" s="89"/>
      <c r="L184" s="90"/>
      <c r="M184" s="82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5"/>
    </row>
    <row r="185" s="63" customFormat="1" ht="14.4" customHeight="1" spans="1:31">
      <c r="A185" s="68">
        <v>184</v>
      </c>
      <c r="B185" s="69" t="s">
        <v>94</v>
      </c>
      <c r="C185" s="70" t="s">
        <v>274</v>
      </c>
      <c r="D185" s="70" t="s">
        <v>111</v>
      </c>
      <c r="E185" s="88"/>
      <c r="F185" s="84"/>
      <c r="G185" s="84"/>
      <c r="H185" s="86" t="s">
        <v>99</v>
      </c>
      <c r="I185" s="87">
        <v>12000</v>
      </c>
      <c r="J185" s="84"/>
      <c r="K185" s="89"/>
      <c r="L185" s="90"/>
      <c r="M185" s="82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5"/>
    </row>
    <row r="186" s="63" customFormat="1" ht="14.4" customHeight="1" spans="1:31">
      <c r="A186" s="68">
        <v>185</v>
      </c>
      <c r="B186" s="69" t="s">
        <v>94</v>
      </c>
      <c r="C186" s="70" t="s">
        <v>274</v>
      </c>
      <c r="D186" s="70" t="s">
        <v>112</v>
      </c>
      <c r="E186" s="88"/>
      <c r="F186" s="84"/>
      <c r="G186" s="84"/>
      <c r="H186" s="86" t="s">
        <v>99</v>
      </c>
      <c r="I186" s="87">
        <v>12000</v>
      </c>
      <c r="J186" s="84"/>
      <c r="K186" s="89"/>
      <c r="L186" s="90"/>
      <c r="M186" s="82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5"/>
    </row>
    <row r="187" s="63" customFormat="1" ht="14.4" customHeight="1" spans="1:31">
      <c r="A187" s="68">
        <v>186</v>
      </c>
      <c r="B187" s="69" t="s">
        <v>94</v>
      </c>
      <c r="C187" s="70" t="s">
        <v>274</v>
      </c>
      <c r="D187" s="70" t="s">
        <v>113</v>
      </c>
      <c r="E187" s="88"/>
      <c r="F187" s="84"/>
      <c r="G187" s="84"/>
      <c r="H187" s="86" t="s">
        <v>99</v>
      </c>
      <c r="I187" s="87">
        <v>12000</v>
      </c>
      <c r="J187" s="84"/>
      <c r="K187" s="89"/>
      <c r="L187" s="90"/>
      <c r="M187" s="82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5"/>
    </row>
    <row r="188" s="63" customFormat="1" ht="14.4" customHeight="1" spans="1:31">
      <c r="A188" s="68">
        <v>187</v>
      </c>
      <c r="B188" s="69" t="s">
        <v>94</v>
      </c>
      <c r="C188" s="70" t="s">
        <v>274</v>
      </c>
      <c r="D188" s="70" t="s">
        <v>114</v>
      </c>
      <c r="E188" s="88" t="s">
        <v>121</v>
      </c>
      <c r="F188" s="91">
        <v>45611.5759953704</v>
      </c>
      <c r="G188" s="91">
        <v>45611.7243287037</v>
      </c>
      <c r="H188" s="79" t="s">
        <v>97</v>
      </c>
      <c r="I188" s="80">
        <v>16000</v>
      </c>
      <c r="J188" s="83" t="s">
        <v>116</v>
      </c>
      <c r="K188" s="89"/>
      <c r="L188" s="90"/>
      <c r="M188" s="82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5"/>
    </row>
    <row r="189" s="63" customFormat="1" ht="14.4" customHeight="1" spans="1:31">
      <c r="A189" s="68">
        <v>188</v>
      </c>
      <c r="B189" s="69" t="s">
        <v>94</v>
      </c>
      <c r="C189" s="70" t="s">
        <v>274</v>
      </c>
      <c r="D189" s="70" t="s">
        <v>118</v>
      </c>
      <c r="E189" s="84" t="s">
        <v>115</v>
      </c>
      <c r="F189" s="91">
        <v>45893.8822337963</v>
      </c>
      <c r="G189" s="91">
        <v>45892.8823148148</v>
      </c>
      <c r="H189" s="86" t="s">
        <v>99</v>
      </c>
      <c r="I189" s="87">
        <v>12000</v>
      </c>
      <c r="J189" s="83" t="s">
        <v>116</v>
      </c>
      <c r="K189" s="88" t="s">
        <v>117</v>
      </c>
      <c r="L189" s="91">
        <v>45546.6513078704</v>
      </c>
      <c r="M189" s="91">
        <v>45604.7685532407</v>
      </c>
      <c r="N189" s="84" t="s">
        <v>138</v>
      </c>
      <c r="O189" s="91">
        <v>45605.9125810185</v>
      </c>
      <c r="P189" s="91">
        <v>45609.722662037</v>
      </c>
      <c r="Q189" s="84" t="s">
        <v>117</v>
      </c>
      <c r="R189" s="91">
        <v>45863.7133912037</v>
      </c>
      <c r="S189" s="91">
        <v>45867.7710300926</v>
      </c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5"/>
    </row>
    <row r="190" s="63" customFormat="1" ht="14.4" customHeight="1" spans="1:31">
      <c r="A190" s="68">
        <v>189</v>
      </c>
      <c r="B190" s="69" t="s">
        <v>94</v>
      </c>
      <c r="C190" s="70" t="s">
        <v>274</v>
      </c>
      <c r="D190" s="70" t="s">
        <v>119</v>
      </c>
      <c r="E190" s="84" t="s">
        <v>115</v>
      </c>
      <c r="F190" s="91">
        <v>45892.8822106481</v>
      </c>
      <c r="G190" s="91">
        <v>45891.8822800926</v>
      </c>
      <c r="H190" s="86" t="s">
        <v>99</v>
      </c>
      <c r="I190" s="87">
        <v>12000</v>
      </c>
      <c r="J190" s="83" t="s">
        <v>116</v>
      </c>
      <c r="K190" s="88" t="s">
        <v>117</v>
      </c>
      <c r="L190" s="91">
        <v>45546.6513078704</v>
      </c>
      <c r="M190" s="91">
        <v>45604.7685532407</v>
      </c>
      <c r="N190" s="84" t="s">
        <v>138</v>
      </c>
      <c r="O190" s="91">
        <v>45605.9125810185</v>
      </c>
      <c r="P190" s="91">
        <v>45609.7230092593</v>
      </c>
      <c r="Q190" s="84" t="s">
        <v>117</v>
      </c>
      <c r="R190" s="91">
        <v>45863.7133912037</v>
      </c>
      <c r="S190" s="91">
        <v>45867.7710300926</v>
      </c>
      <c r="T190" s="84"/>
      <c r="U190" s="84"/>
      <c r="V190" s="84"/>
      <c r="W190" s="84"/>
      <c r="X190" s="84"/>
      <c r="Y190" s="84"/>
      <c r="Z190" s="84"/>
      <c r="AA190" s="84"/>
      <c r="AB190" s="84"/>
      <c r="AC190" s="84"/>
      <c r="AD190" s="84"/>
      <c r="AE190" s="85"/>
    </row>
    <row r="191" s="63" customFormat="1" ht="14.4" customHeight="1" spans="1:31">
      <c r="A191" s="68">
        <v>190</v>
      </c>
      <c r="B191" s="69" t="s">
        <v>94</v>
      </c>
      <c r="C191" s="70" t="s">
        <v>274</v>
      </c>
      <c r="D191" s="70" t="s">
        <v>122</v>
      </c>
      <c r="E191" s="84" t="s">
        <v>115</v>
      </c>
      <c r="F191" s="91">
        <v>46047.6392592593</v>
      </c>
      <c r="G191" s="91">
        <v>46045.6393981481</v>
      </c>
      <c r="H191" s="86" t="s">
        <v>99</v>
      </c>
      <c r="I191" s="87">
        <v>12000</v>
      </c>
      <c r="J191" s="83" t="s">
        <v>116</v>
      </c>
      <c r="K191" s="88" t="s">
        <v>117</v>
      </c>
      <c r="L191" s="91">
        <v>45546.6513078704</v>
      </c>
      <c r="M191" s="91">
        <v>45604.7685532407</v>
      </c>
      <c r="N191" s="84" t="s">
        <v>138</v>
      </c>
      <c r="O191" s="91">
        <v>45605.9125810185</v>
      </c>
      <c r="P191" s="91">
        <v>45609.7231018519</v>
      </c>
      <c r="Q191" s="84" t="s">
        <v>117</v>
      </c>
      <c r="R191" s="91">
        <v>46037.5643287037</v>
      </c>
      <c r="S191" s="91">
        <v>46036.7373263889</v>
      </c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5"/>
    </row>
    <row r="192" s="63" customFormat="1" ht="14.4" customHeight="1" spans="1:31">
      <c r="A192" s="68">
        <v>191</v>
      </c>
      <c r="B192" s="69" t="s">
        <v>94</v>
      </c>
      <c r="C192" s="70" t="s">
        <v>274</v>
      </c>
      <c r="D192" s="70" t="s">
        <v>123</v>
      </c>
      <c r="E192" s="84" t="s">
        <v>115</v>
      </c>
      <c r="F192" s="91">
        <v>46056.4332291667</v>
      </c>
      <c r="G192" s="91">
        <v>46054.4333680556</v>
      </c>
      <c r="H192" s="86" t="s">
        <v>99</v>
      </c>
      <c r="I192" s="87">
        <v>12000</v>
      </c>
      <c r="J192" s="83" t="s">
        <v>116</v>
      </c>
      <c r="K192" s="88" t="s">
        <v>117</v>
      </c>
      <c r="L192" s="91">
        <v>45546.6513078704</v>
      </c>
      <c r="M192" s="91">
        <v>45604.7685532407</v>
      </c>
      <c r="N192" s="84" t="s">
        <v>138</v>
      </c>
      <c r="O192" s="91">
        <v>45605.9125810185</v>
      </c>
      <c r="P192" s="91">
        <v>45609.7233449074</v>
      </c>
      <c r="Q192" s="84" t="s">
        <v>117</v>
      </c>
      <c r="R192" s="91">
        <v>46037.5672916667</v>
      </c>
      <c r="S192" s="91">
        <v>46036.7373842593</v>
      </c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5"/>
    </row>
    <row r="193" s="63" customFormat="1" ht="14.4" customHeight="1" spans="1:31">
      <c r="A193" s="68">
        <v>192</v>
      </c>
      <c r="B193" s="69" t="s">
        <v>94</v>
      </c>
      <c r="C193" s="70" t="s">
        <v>274</v>
      </c>
      <c r="D193" s="70" t="s">
        <v>124</v>
      </c>
      <c r="E193" s="84" t="s">
        <v>115</v>
      </c>
      <c r="F193" s="91">
        <v>46047.4914467593</v>
      </c>
      <c r="G193" s="91">
        <v>46045.4915972222</v>
      </c>
      <c r="H193" s="86" t="s">
        <v>99</v>
      </c>
      <c r="I193" s="87">
        <v>12000</v>
      </c>
      <c r="J193" s="83" t="s">
        <v>116</v>
      </c>
      <c r="K193" s="88" t="s">
        <v>117</v>
      </c>
      <c r="L193" s="91">
        <v>45546.6513078704</v>
      </c>
      <c r="M193" s="91">
        <v>45604.7685532407</v>
      </c>
      <c r="N193" s="84" t="s">
        <v>138</v>
      </c>
      <c r="O193" s="91">
        <v>45646.6181481481</v>
      </c>
      <c r="P193" s="91">
        <v>45652.6962962963</v>
      </c>
      <c r="Q193" s="84" t="s">
        <v>117</v>
      </c>
      <c r="R193" s="91">
        <v>46037.5676851852</v>
      </c>
      <c r="S193" s="91">
        <v>46036.7439583333</v>
      </c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5"/>
    </row>
    <row r="194" s="63" customFormat="1" ht="14.4" customHeight="1" spans="1:31">
      <c r="A194" s="68">
        <v>193</v>
      </c>
      <c r="B194" s="69" t="s">
        <v>94</v>
      </c>
      <c r="C194" s="70" t="s">
        <v>274</v>
      </c>
      <c r="D194" s="70" t="s">
        <v>125</v>
      </c>
      <c r="E194" s="84" t="s">
        <v>115</v>
      </c>
      <c r="F194" s="91">
        <v>46047.4948958333</v>
      </c>
      <c r="G194" s="91">
        <v>46045.4950347222</v>
      </c>
      <c r="H194" s="86" t="s">
        <v>99</v>
      </c>
      <c r="I194" s="87">
        <v>12000</v>
      </c>
      <c r="J194" s="83" t="s">
        <v>116</v>
      </c>
      <c r="K194" s="88" t="s">
        <v>117</v>
      </c>
      <c r="L194" s="91">
        <v>45546.6513078704</v>
      </c>
      <c r="M194" s="91">
        <v>45604.7685532407</v>
      </c>
      <c r="N194" s="84" t="s">
        <v>138</v>
      </c>
      <c r="O194" s="91">
        <v>45646.6181481481</v>
      </c>
      <c r="P194" s="91">
        <v>45652.6962962963</v>
      </c>
      <c r="Q194" s="84" t="s">
        <v>117</v>
      </c>
      <c r="R194" s="91">
        <v>46037.5695949074</v>
      </c>
      <c r="S194" s="91">
        <v>46036.7440162037</v>
      </c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5"/>
    </row>
    <row r="195" s="63" customFormat="1" ht="14.4" customHeight="1" spans="1:31">
      <c r="A195" s="68">
        <v>194</v>
      </c>
      <c r="B195" s="69" t="s">
        <v>94</v>
      </c>
      <c r="C195" s="70" t="s">
        <v>274</v>
      </c>
      <c r="D195" s="70" t="s">
        <v>126</v>
      </c>
      <c r="E195" s="84" t="s">
        <v>115</v>
      </c>
      <c r="F195" s="91">
        <v>46012.4438657407</v>
      </c>
      <c r="G195" s="91">
        <v>46010.4440046296</v>
      </c>
      <c r="H195" s="86" t="s">
        <v>99</v>
      </c>
      <c r="I195" s="87">
        <v>12000</v>
      </c>
      <c r="J195" s="83" t="s">
        <v>116</v>
      </c>
      <c r="K195" s="88" t="s">
        <v>117</v>
      </c>
      <c r="L195" s="91">
        <v>45546.6513078704</v>
      </c>
      <c r="M195" s="91">
        <v>45604.7685532407</v>
      </c>
      <c r="N195" s="84" t="s">
        <v>138</v>
      </c>
      <c r="O195" s="91">
        <v>45646.6181481481</v>
      </c>
      <c r="P195" s="91">
        <v>45652.6962962963</v>
      </c>
      <c r="Q195" s="84" t="s">
        <v>117</v>
      </c>
      <c r="R195" s="91">
        <v>45906.4382291667</v>
      </c>
      <c r="S195" s="91">
        <v>45911.7708333333</v>
      </c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5"/>
    </row>
    <row r="196" s="63" customFormat="1" ht="14.4" customHeight="1" spans="1:31">
      <c r="A196" s="68">
        <v>195</v>
      </c>
      <c r="B196" s="69" t="s">
        <v>94</v>
      </c>
      <c r="C196" s="97" t="s">
        <v>274</v>
      </c>
      <c r="D196" s="97" t="s">
        <v>127</v>
      </c>
      <c r="E196" s="95" t="s">
        <v>115</v>
      </c>
      <c r="F196" s="96">
        <v>46249.4666203704</v>
      </c>
      <c r="G196" s="96">
        <v>46247.4668287037</v>
      </c>
      <c r="H196" s="86" t="s">
        <v>99</v>
      </c>
      <c r="I196" s="87">
        <v>12000</v>
      </c>
      <c r="J196" s="83" t="s">
        <v>116</v>
      </c>
      <c r="K196" s="88" t="s">
        <v>117</v>
      </c>
      <c r="L196" s="91">
        <v>45546.6513078704</v>
      </c>
      <c r="M196" s="91">
        <v>45604.7685532407</v>
      </c>
      <c r="N196" s="84" t="s">
        <v>138</v>
      </c>
      <c r="O196" s="91">
        <v>45646.6181481481</v>
      </c>
      <c r="P196" s="91">
        <v>45652.6962962963</v>
      </c>
      <c r="Q196" s="84" t="s">
        <v>117</v>
      </c>
      <c r="R196" s="91">
        <v>45906.4382291667</v>
      </c>
      <c r="S196" s="91">
        <v>45911.7708333333</v>
      </c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5"/>
    </row>
    <row r="197" s="63" customFormat="1" ht="14.4" customHeight="1" spans="1:31">
      <c r="A197" s="68">
        <v>196</v>
      </c>
      <c r="B197" s="69" t="s">
        <v>94</v>
      </c>
      <c r="C197" s="97" t="s">
        <v>274</v>
      </c>
      <c r="D197" s="97" t="s">
        <v>128</v>
      </c>
      <c r="E197" s="95" t="s">
        <v>115</v>
      </c>
      <c r="F197" s="96">
        <v>46142.4478935185</v>
      </c>
      <c r="G197" s="96">
        <v>46140.4481365741</v>
      </c>
      <c r="H197" s="86" t="s">
        <v>99</v>
      </c>
      <c r="I197" s="87">
        <v>12000</v>
      </c>
      <c r="J197" s="83" t="s">
        <v>116</v>
      </c>
      <c r="K197" s="88" t="s">
        <v>117</v>
      </c>
      <c r="L197" s="91">
        <v>45546.6513078704</v>
      </c>
      <c r="M197" s="91">
        <v>45604.7685532407</v>
      </c>
      <c r="N197" s="84" t="s">
        <v>138</v>
      </c>
      <c r="O197" s="91">
        <v>45646.6181481481</v>
      </c>
      <c r="P197" s="91">
        <v>45652.6962962963</v>
      </c>
      <c r="Q197" s="84" t="s">
        <v>117</v>
      </c>
      <c r="R197" s="91">
        <v>45906.4382291667</v>
      </c>
      <c r="S197" s="91">
        <v>45911.7708333333</v>
      </c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5"/>
    </row>
    <row r="198" s="63" customFormat="1" ht="14.4" customHeight="1" spans="1:31">
      <c r="A198" s="68">
        <v>197</v>
      </c>
      <c r="B198" s="69" t="s">
        <v>94</v>
      </c>
      <c r="C198" s="97" t="s">
        <v>274</v>
      </c>
      <c r="D198" s="97" t="s">
        <v>129</v>
      </c>
      <c r="E198" s="95" t="s">
        <v>115</v>
      </c>
      <c r="F198" s="96">
        <v>46142.4478356481</v>
      </c>
      <c r="G198" s="96">
        <v>46140.4480439815</v>
      </c>
      <c r="H198" s="86" t="s">
        <v>99</v>
      </c>
      <c r="I198" s="87">
        <v>12000</v>
      </c>
      <c r="J198" s="83" t="s">
        <v>116</v>
      </c>
      <c r="K198" s="84" t="s">
        <v>117</v>
      </c>
      <c r="L198" s="91">
        <v>45906.4382291667</v>
      </c>
      <c r="M198" s="91">
        <v>45911.7708333333</v>
      </c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5"/>
    </row>
    <row r="199" s="63" customFormat="1" ht="14.4" customHeight="1" spans="1:31">
      <c r="A199" s="68">
        <v>198</v>
      </c>
      <c r="B199" s="69" t="s">
        <v>94</v>
      </c>
      <c r="C199" s="70" t="s">
        <v>274</v>
      </c>
      <c r="D199" s="70" t="s">
        <v>130</v>
      </c>
      <c r="E199" s="88"/>
      <c r="F199" s="84"/>
      <c r="G199" s="84"/>
      <c r="H199" s="86" t="s">
        <v>99</v>
      </c>
      <c r="I199" s="87">
        <v>12000</v>
      </c>
      <c r="J199" s="84"/>
      <c r="K199" s="89"/>
      <c r="L199" s="90"/>
      <c r="M199" s="82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5"/>
    </row>
    <row r="200" s="63" customFormat="1" ht="14.4" customHeight="1" spans="1:31">
      <c r="A200" s="68">
        <v>199</v>
      </c>
      <c r="B200" s="69" t="s">
        <v>94</v>
      </c>
      <c r="C200" s="70" t="s">
        <v>274</v>
      </c>
      <c r="D200" s="70" t="s">
        <v>131</v>
      </c>
      <c r="E200" s="88"/>
      <c r="F200" s="84"/>
      <c r="G200" s="84"/>
      <c r="H200" s="86" t="s">
        <v>99</v>
      </c>
      <c r="I200" s="87">
        <v>12000</v>
      </c>
      <c r="J200" s="84"/>
      <c r="K200" s="89"/>
      <c r="L200" s="90"/>
      <c r="M200" s="82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5"/>
    </row>
    <row r="201" s="63" customFormat="1" ht="14.4" customHeight="1" spans="1:31">
      <c r="A201" s="68">
        <v>200</v>
      </c>
      <c r="B201" s="69" t="s">
        <v>94</v>
      </c>
      <c r="C201" s="70" t="s">
        <v>274</v>
      </c>
      <c r="D201" s="70" t="s">
        <v>132</v>
      </c>
      <c r="E201" s="88"/>
      <c r="F201" s="84"/>
      <c r="G201" s="84"/>
      <c r="H201" s="86" t="s">
        <v>99</v>
      </c>
      <c r="I201" s="87">
        <v>12000</v>
      </c>
      <c r="J201" s="84"/>
      <c r="K201" s="89"/>
      <c r="L201" s="90"/>
      <c r="M201" s="82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5"/>
    </row>
    <row r="202" s="63" customFormat="1" ht="14.4" customHeight="1" spans="1:31">
      <c r="A202" s="68">
        <v>201</v>
      </c>
      <c r="B202" s="69" t="s">
        <v>94</v>
      </c>
      <c r="C202" s="70" t="s">
        <v>274</v>
      </c>
      <c r="D202" s="70" t="s">
        <v>133</v>
      </c>
      <c r="E202" s="88"/>
      <c r="F202" s="84"/>
      <c r="G202" s="84"/>
      <c r="H202" s="86" t="s">
        <v>99</v>
      </c>
      <c r="I202" s="87">
        <v>12000</v>
      </c>
      <c r="J202" s="84"/>
      <c r="K202" s="89"/>
      <c r="L202" s="90"/>
      <c r="M202" s="82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5"/>
    </row>
    <row r="203" s="63" customFormat="1" ht="14.4" customHeight="1" spans="1:31">
      <c r="A203" s="68">
        <v>202</v>
      </c>
      <c r="B203" s="69" t="s">
        <v>94</v>
      </c>
      <c r="C203" s="70" t="s">
        <v>274</v>
      </c>
      <c r="D203" s="70" t="s">
        <v>134</v>
      </c>
      <c r="E203" s="88"/>
      <c r="F203" s="84"/>
      <c r="G203" s="84"/>
      <c r="H203" s="86" t="s">
        <v>99</v>
      </c>
      <c r="I203" s="87">
        <v>12000</v>
      </c>
      <c r="J203" s="84"/>
      <c r="K203" s="89"/>
      <c r="L203" s="90"/>
      <c r="M203" s="82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5"/>
    </row>
    <row r="204" s="63" customFormat="1" ht="14.4" customHeight="1" spans="1:31">
      <c r="A204" s="68">
        <v>203</v>
      </c>
      <c r="B204" s="69" t="s">
        <v>94</v>
      </c>
      <c r="C204" s="70" t="s">
        <v>274</v>
      </c>
      <c r="D204" s="70" t="s">
        <v>135</v>
      </c>
      <c r="E204" s="88"/>
      <c r="F204" s="84"/>
      <c r="G204" s="84"/>
      <c r="H204" s="86" t="s">
        <v>99</v>
      </c>
      <c r="I204" s="87">
        <v>12000</v>
      </c>
      <c r="J204" s="84"/>
      <c r="K204" s="89"/>
      <c r="L204" s="90"/>
      <c r="M204" s="82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5"/>
    </row>
    <row r="205" s="63" customFormat="1" ht="14.4" customHeight="1" spans="1:31">
      <c r="A205" s="68">
        <v>204</v>
      </c>
      <c r="B205" s="69" t="s">
        <v>94</v>
      </c>
      <c r="C205" s="70" t="s">
        <v>274</v>
      </c>
      <c r="D205" s="70" t="s">
        <v>136</v>
      </c>
      <c r="E205" s="88"/>
      <c r="F205" s="84"/>
      <c r="G205" s="84"/>
      <c r="H205" s="86" t="s">
        <v>99</v>
      </c>
      <c r="I205" s="87">
        <v>12000</v>
      </c>
      <c r="J205" s="84"/>
      <c r="K205" s="89"/>
      <c r="L205" s="90"/>
      <c r="M205" s="82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5"/>
    </row>
    <row r="206" s="63" customFormat="1" ht="14.4" customHeight="1" spans="1:31">
      <c r="A206" s="68">
        <v>205</v>
      </c>
      <c r="B206" s="69" t="s">
        <v>94</v>
      </c>
      <c r="C206" s="70" t="s">
        <v>274</v>
      </c>
      <c r="D206" s="84" t="s">
        <v>137</v>
      </c>
      <c r="E206" s="84" t="s">
        <v>115</v>
      </c>
      <c r="F206" s="91">
        <v>45896.7055555556</v>
      </c>
      <c r="G206" s="91">
        <v>45894.7056365741</v>
      </c>
      <c r="H206" s="79" t="s">
        <v>97</v>
      </c>
      <c r="I206" s="80">
        <v>16000</v>
      </c>
      <c r="J206" s="83" t="s">
        <v>116</v>
      </c>
      <c r="K206" s="84" t="s">
        <v>117</v>
      </c>
      <c r="L206" s="91">
        <v>45863.7133912037</v>
      </c>
      <c r="M206" s="91">
        <v>45867.7710300926</v>
      </c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5"/>
    </row>
    <row r="207" s="63" customFormat="1" ht="14.4" customHeight="1" spans="1:31">
      <c r="A207" s="68">
        <v>206</v>
      </c>
      <c r="B207" s="69" t="s">
        <v>94</v>
      </c>
      <c r="C207" s="70" t="s">
        <v>274</v>
      </c>
      <c r="D207" s="84" t="s">
        <v>139</v>
      </c>
      <c r="E207" s="84" t="s">
        <v>115</v>
      </c>
      <c r="F207" s="91">
        <v>45896.7055787037</v>
      </c>
      <c r="G207" s="91">
        <v>45894.7056597222</v>
      </c>
      <c r="H207" s="86" t="s">
        <v>99</v>
      </c>
      <c r="I207" s="87">
        <v>12000</v>
      </c>
      <c r="J207" s="83" t="s">
        <v>116</v>
      </c>
      <c r="K207" s="88" t="s">
        <v>117</v>
      </c>
      <c r="L207" s="91">
        <v>45546.6513078704</v>
      </c>
      <c r="M207" s="91">
        <v>45604.7685532407</v>
      </c>
      <c r="N207" s="84" t="s">
        <v>138</v>
      </c>
      <c r="O207" s="91">
        <v>45646.6181481481</v>
      </c>
      <c r="P207" s="91">
        <v>45652.6962962963</v>
      </c>
      <c r="Q207" s="84" t="s">
        <v>117</v>
      </c>
      <c r="R207" s="91">
        <v>45863.7133912037</v>
      </c>
      <c r="S207" s="91">
        <v>45867.7710300926</v>
      </c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5"/>
    </row>
    <row r="208" s="63" customFormat="1" ht="14.4" customHeight="1" spans="1:31">
      <c r="A208" s="68">
        <v>207</v>
      </c>
      <c r="B208" s="69" t="s">
        <v>94</v>
      </c>
      <c r="C208" s="70" t="s">
        <v>274</v>
      </c>
      <c r="D208" s="84" t="s">
        <v>140</v>
      </c>
      <c r="E208" s="84" t="s">
        <v>115</v>
      </c>
      <c r="F208" s="91">
        <v>45896.7055555556</v>
      </c>
      <c r="G208" s="91">
        <v>45894.7056365741</v>
      </c>
      <c r="H208" s="86" t="s">
        <v>99</v>
      </c>
      <c r="I208" s="87">
        <v>12000</v>
      </c>
      <c r="J208" s="83" t="s">
        <v>116</v>
      </c>
      <c r="K208" s="88" t="s">
        <v>117</v>
      </c>
      <c r="L208" s="91">
        <v>45546.6513078704</v>
      </c>
      <c r="M208" s="91">
        <v>45604.7685532407</v>
      </c>
      <c r="N208" s="84" t="s">
        <v>138</v>
      </c>
      <c r="O208" s="91">
        <v>45646.6181481481</v>
      </c>
      <c r="P208" s="91">
        <v>45652.6962962963</v>
      </c>
      <c r="Q208" s="84" t="s">
        <v>117</v>
      </c>
      <c r="R208" s="91">
        <v>45863.7133912037</v>
      </c>
      <c r="S208" s="91">
        <v>45867.7710300926</v>
      </c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5"/>
    </row>
    <row r="209" s="63" customFormat="1" ht="14.4" customHeight="1" spans="1:31">
      <c r="A209" s="68">
        <v>208</v>
      </c>
      <c r="B209" s="69" t="s">
        <v>94</v>
      </c>
      <c r="C209" s="70" t="s">
        <v>274</v>
      </c>
      <c r="D209" s="84" t="s">
        <v>141</v>
      </c>
      <c r="E209" s="84" t="s">
        <v>115</v>
      </c>
      <c r="F209" s="91">
        <v>45896.7055555556</v>
      </c>
      <c r="G209" s="91">
        <v>45894.7056365741</v>
      </c>
      <c r="H209" s="86" t="s">
        <v>99</v>
      </c>
      <c r="I209" s="87">
        <v>12000</v>
      </c>
      <c r="J209" s="83" t="s">
        <v>116</v>
      </c>
      <c r="K209" s="88" t="s">
        <v>117</v>
      </c>
      <c r="L209" s="91">
        <v>45546.6513078704</v>
      </c>
      <c r="M209" s="91">
        <v>45604.7685532407</v>
      </c>
      <c r="N209" s="84" t="s">
        <v>138</v>
      </c>
      <c r="O209" s="91">
        <v>45646.6181481481</v>
      </c>
      <c r="P209" s="91">
        <v>45652.6962962963</v>
      </c>
      <c r="Q209" s="84" t="s">
        <v>117</v>
      </c>
      <c r="R209" s="91">
        <v>45863.7133912037</v>
      </c>
      <c r="S209" s="91">
        <v>45867.7710300926</v>
      </c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5"/>
    </row>
    <row r="210" s="63" customFormat="1" ht="14.4" customHeight="1" spans="1:31">
      <c r="A210" s="68">
        <v>209</v>
      </c>
      <c r="B210" s="69" t="s">
        <v>94</v>
      </c>
      <c r="C210" s="70" t="s">
        <v>274</v>
      </c>
      <c r="D210" s="84" t="s">
        <v>142</v>
      </c>
      <c r="E210" s="84" t="s">
        <v>115</v>
      </c>
      <c r="F210" s="91">
        <v>45896.7055671296</v>
      </c>
      <c r="G210" s="91">
        <v>45894.7056481481</v>
      </c>
      <c r="H210" s="86" t="s">
        <v>99</v>
      </c>
      <c r="I210" s="87">
        <v>12000</v>
      </c>
      <c r="J210" s="83" t="s">
        <v>116</v>
      </c>
      <c r="K210" s="88" t="s">
        <v>117</v>
      </c>
      <c r="L210" s="91">
        <v>45546.6513078704</v>
      </c>
      <c r="M210" s="91">
        <v>45604.7685532407</v>
      </c>
      <c r="N210" s="84" t="s">
        <v>138</v>
      </c>
      <c r="O210" s="91">
        <v>45646.6181481481</v>
      </c>
      <c r="P210" s="91">
        <v>45652.6962962963</v>
      </c>
      <c r="Q210" s="84" t="s">
        <v>117</v>
      </c>
      <c r="R210" s="91">
        <v>45863.7133912037</v>
      </c>
      <c r="S210" s="91">
        <v>45867.7710300926</v>
      </c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5"/>
    </row>
    <row r="211" s="63" customFormat="1" ht="14.4" customHeight="1" spans="1:31">
      <c r="A211" s="68">
        <v>210</v>
      </c>
      <c r="B211" s="69" t="s">
        <v>94</v>
      </c>
      <c r="C211" s="70" t="s">
        <v>274</v>
      </c>
      <c r="D211" s="84" t="s">
        <v>143</v>
      </c>
      <c r="E211" s="84" t="s">
        <v>115</v>
      </c>
      <c r="F211" s="91">
        <v>45896.7055902778</v>
      </c>
      <c r="G211" s="91">
        <v>45894.7056712963</v>
      </c>
      <c r="H211" s="86" t="s">
        <v>99</v>
      </c>
      <c r="I211" s="87">
        <v>12000</v>
      </c>
      <c r="J211" s="83" t="s">
        <v>116</v>
      </c>
      <c r="K211" s="88" t="s">
        <v>117</v>
      </c>
      <c r="L211" s="91">
        <v>45546.6513078704</v>
      </c>
      <c r="M211" s="91">
        <v>45604.7685532407</v>
      </c>
      <c r="N211" s="84" t="s">
        <v>138</v>
      </c>
      <c r="O211" s="91">
        <v>45646.6181481481</v>
      </c>
      <c r="P211" s="91">
        <v>45652.6962962963</v>
      </c>
      <c r="Q211" s="84" t="s">
        <v>117</v>
      </c>
      <c r="R211" s="91">
        <v>45863.7133912037</v>
      </c>
      <c r="S211" s="91">
        <v>45867.7710300926</v>
      </c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5"/>
    </row>
    <row r="212" s="63" customFormat="1" ht="14.4" customHeight="1" spans="1:31">
      <c r="A212" s="68">
        <v>211</v>
      </c>
      <c r="B212" s="69" t="s">
        <v>94</v>
      </c>
      <c r="C212" s="70" t="s">
        <v>274</v>
      </c>
      <c r="D212" s="84" t="s">
        <v>144</v>
      </c>
      <c r="E212" s="84" t="s">
        <v>115</v>
      </c>
      <c r="F212" s="91">
        <v>45896.7055671296</v>
      </c>
      <c r="G212" s="91">
        <v>45894.7056481481</v>
      </c>
      <c r="H212" s="86" t="s">
        <v>99</v>
      </c>
      <c r="I212" s="87">
        <v>12000</v>
      </c>
      <c r="J212" s="83" t="s">
        <v>116</v>
      </c>
      <c r="K212" s="88" t="s">
        <v>117</v>
      </c>
      <c r="L212" s="91">
        <v>45546.6513078704</v>
      </c>
      <c r="M212" s="91">
        <v>45604.7685532407</v>
      </c>
      <c r="N212" s="84" t="s">
        <v>138</v>
      </c>
      <c r="O212" s="91">
        <v>45646.6181481481</v>
      </c>
      <c r="P212" s="91">
        <v>45652.6962962963</v>
      </c>
      <c r="Q212" s="84" t="s">
        <v>117</v>
      </c>
      <c r="R212" s="91">
        <v>45863.7133912037</v>
      </c>
      <c r="S212" s="91">
        <v>45867.7710300926</v>
      </c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5"/>
    </row>
    <row r="213" s="63" customFormat="1" ht="14.4" customHeight="1" spans="1:31">
      <c r="A213" s="68">
        <v>212</v>
      </c>
      <c r="B213" s="69" t="s">
        <v>94</v>
      </c>
      <c r="C213" s="70" t="s">
        <v>274</v>
      </c>
      <c r="D213" s="84" t="s">
        <v>145</v>
      </c>
      <c r="E213" s="84" t="s">
        <v>115</v>
      </c>
      <c r="F213" s="91">
        <v>45896.7055787037</v>
      </c>
      <c r="G213" s="91">
        <v>45894.7056597222</v>
      </c>
      <c r="H213" s="86" t="s">
        <v>99</v>
      </c>
      <c r="I213" s="87">
        <v>12000</v>
      </c>
      <c r="J213" s="83" t="s">
        <v>116</v>
      </c>
      <c r="K213" s="88" t="s">
        <v>117</v>
      </c>
      <c r="L213" s="91">
        <v>45546.6513078704</v>
      </c>
      <c r="M213" s="91">
        <v>45604.7685532407</v>
      </c>
      <c r="N213" s="84" t="s">
        <v>138</v>
      </c>
      <c r="O213" s="91">
        <v>45646.6181481481</v>
      </c>
      <c r="P213" s="91">
        <v>45652.6962962963</v>
      </c>
      <c r="Q213" s="84" t="s">
        <v>117</v>
      </c>
      <c r="R213" s="91">
        <v>45863.7133912037</v>
      </c>
      <c r="S213" s="91">
        <v>45867.7710300926</v>
      </c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5"/>
    </row>
    <row r="214" s="63" customFormat="1" ht="14.4" customHeight="1" spans="1:31">
      <c r="A214" s="68">
        <v>213</v>
      </c>
      <c r="B214" s="69" t="s">
        <v>94</v>
      </c>
      <c r="C214" s="70" t="s">
        <v>274</v>
      </c>
      <c r="D214" s="84" t="s">
        <v>146</v>
      </c>
      <c r="E214" s="84" t="s">
        <v>115</v>
      </c>
      <c r="F214" s="91">
        <v>45896.7055902778</v>
      </c>
      <c r="G214" s="91">
        <v>45894.7056944444</v>
      </c>
      <c r="H214" s="86" t="s">
        <v>99</v>
      </c>
      <c r="I214" s="87">
        <v>12000</v>
      </c>
      <c r="J214" s="83" t="s">
        <v>116</v>
      </c>
      <c r="K214" s="88" t="s">
        <v>117</v>
      </c>
      <c r="L214" s="91">
        <v>45546.6513078704</v>
      </c>
      <c r="M214" s="91">
        <v>45604.7685532407</v>
      </c>
      <c r="N214" s="84" t="s">
        <v>138</v>
      </c>
      <c r="O214" s="91">
        <v>45646.6181481481</v>
      </c>
      <c r="P214" s="91">
        <v>45652.6962962963</v>
      </c>
      <c r="Q214" s="84" t="s">
        <v>117</v>
      </c>
      <c r="R214" s="91">
        <v>45863.7133912037</v>
      </c>
      <c r="S214" s="91">
        <v>45867.7710300926</v>
      </c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5"/>
    </row>
    <row r="215" s="63" customFormat="1" ht="14.4" customHeight="1" spans="1:31">
      <c r="A215" s="68">
        <v>214</v>
      </c>
      <c r="B215" s="69" t="s">
        <v>94</v>
      </c>
      <c r="C215" s="70" t="s">
        <v>274</v>
      </c>
      <c r="D215" s="84" t="s">
        <v>147</v>
      </c>
      <c r="E215" s="84" t="s">
        <v>115</v>
      </c>
      <c r="F215" s="91">
        <v>45896.7130555556</v>
      </c>
      <c r="G215" s="91">
        <v>45894.7131365741</v>
      </c>
      <c r="H215" s="86" t="s">
        <v>99</v>
      </c>
      <c r="I215" s="87">
        <v>12000</v>
      </c>
      <c r="J215" s="83" t="s">
        <v>116</v>
      </c>
      <c r="K215" s="88" t="s">
        <v>117</v>
      </c>
      <c r="L215" s="91">
        <v>45546.6513078704</v>
      </c>
      <c r="M215" s="91">
        <v>45604.7685532407</v>
      </c>
      <c r="N215" s="84" t="s">
        <v>138</v>
      </c>
      <c r="O215" s="91">
        <v>45646.6181481481</v>
      </c>
      <c r="P215" s="91">
        <v>45652.6962962963</v>
      </c>
      <c r="Q215" s="84" t="s">
        <v>117</v>
      </c>
      <c r="R215" s="91">
        <v>45863.7133912037</v>
      </c>
      <c r="S215" s="91">
        <v>45867.7710300926</v>
      </c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5"/>
    </row>
    <row r="216" s="63" customFormat="1" ht="14.4" customHeight="1" spans="1:31">
      <c r="A216" s="68">
        <v>215</v>
      </c>
      <c r="B216" s="69" t="s">
        <v>94</v>
      </c>
      <c r="C216" s="70" t="s">
        <v>274</v>
      </c>
      <c r="D216" s="84" t="s">
        <v>148</v>
      </c>
      <c r="E216" s="88"/>
      <c r="F216" s="84"/>
      <c r="G216" s="84"/>
      <c r="H216" s="86" t="s">
        <v>99</v>
      </c>
      <c r="I216" s="87">
        <v>12000</v>
      </c>
      <c r="J216" s="84"/>
      <c r="K216" s="89"/>
      <c r="L216" s="90"/>
      <c r="M216" s="82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5"/>
    </row>
    <row r="217" s="63" customFormat="1" ht="14.4" customHeight="1" spans="1:31">
      <c r="A217" s="68">
        <v>216</v>
      </c>
      <c r="B217" s="69" t="s">
        <v>94</v>
      </c>
      <c r="C217" s="70" t="s">
        <v>274</v>
      </c>
      <c r="D217" s="84" t="s">
        <v>149</v>
      </c>
      <c r="E217" s="88"/>
      <c r="F217" s="84"/>
      <c r="G217" s="84"/>
      <c r="H217" s="86" t="s">
        <v>99</v>
      </c>
      <c r="I217" s="87">
        <v>12000</v>
      </c>
      <c r="J217" s="84"/>
      <c r="K217" s="89"/>
      <c r="L217" s="90"/>
      <c r="M217" s="82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5"/>
    </row>
    <row r="218" s="63" customFormat="1" ht="14.4" customHeight="1" spans="1:31">
      <c r="A218" s="68">
        <v>217</v>
      </c>
      <c r="B218" s="69" t="s">
        <v>94</v>
      </c>
      <c r="C218" s="70" t="s">
        <v>274</v>
      </c>
      <c r="D218" s="84" t="s">
        <v>150</v>
      </c>
      <c r="E218" s="88"/>
      <c r="F218" s="84"/>
      <c r="G218" s="84"/>
      <c r="H218" s="86" t="s">
        <v>99</v>
      </c>
      <c r="I218" s="87">
        <v>12000</v>
      </c>
      <c r="J218" s="84"/>
      <c r="K218" s="89"/>
      <c r="L218" s="90"/>
      <c r="M218" s="82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5"/>
    </row>
    <row r="219" s="63" customFormat="1" ht="14.4" customHeight="1" spans="1:31">
      <c r="A219" s="68">
        <v>218</v>
      </c>
      <c r="B219" s="69" t="s">
        <v>94</v>
      </c>
      <c r="C219" s="70" t="s">
        <v>274</v>
      </c>
      <c r="D219" s="84" t="s">
        <v>151</v>
      </c>
      <c r="E219" s="88"/>
      <c r="F219" s="84"/>
      <c r="G219" s="84"/>
      <c r="H219" s="86" t="s">
        <v>99</v>
      </c>
      <c r="I219" s="87">
        <v>12000</v>
      </c>
      <c r="J219" s="84"/>
      <c r="K219" s="89"/>
      <c r="L219" s="90"/>
      <c r="M219" s="82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5"/>
    </row>
    <row r="220" s="63" customFormat="1" ht="14.4" customHeight="1" spans="1:31">
      <c r="A220" s="68">
        <v>219</v>
      </c>
      <c r="B220" s="69" t="s">
        <v>94</v>
      </c>
      <c r="C220" s="70" t="s">
        <v>274</v>
      </c>
      <c r="D220" s="84" t="s">
        <v>152</v>
      </c>
      <c r="E220" s="88"/>
      <c r="F220" s="84"/>
      <c r="G220" s="84"/>
      <c r="H220" s="86" t="s">
        <v>99</v>
      </c>
      <c r="I220" s="87">
        <v>12000</v>
      </c>
      <c r="J220" s="84"/>
      <c r="K220" s="89"/>
      <c r="L220" s="90"/>
      <c r="M220" s="82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5"/>
    </row>
    <row r="221" s="63" customFormat="1" ht="14.4" customHeight="1" spans="1:31">
      <c r="A221" s="68">
        <v>220</v>
      </c>
      <c r="B221" s="69" t="s">
        <v>94</v>
      </c>
      <c r="C221" s="70" t="s">
        <v>274</v>
      </c>
      <c r="D221" s="84" t="s">
        <v>153</v>
      </c>
      <c r="E221" s="88"/>
      <c r="F221" s="84"/>
      <c r="G221" s="84"/>
      <c r="H221" s="86" t="s">
        <v>99</v>
      </c>
      <c r="I221" s="87">
        <v>12000</v>
      </c>
      <c r="J221" s="84"/>
      <c r="K221" s="89"/>
      <c r="L221" s="90"/>
      <c r="M221" s="82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5"/>
    </row>
    <row r="222" s="63" customFormat="1" ht="14.4" customHeight="1" spans="1:31">
      <c r="A222" s="68">
        <v>221</v>
      </c>
      <c r="B222" s="69" t="s">
        <v>94</v>
      </c>
      <c r="C222" s="70" t="s">
        <v>274</v>
      </c>
      <c r="D222" s="84" t="s">
        <v>154</v>
      </c>
      <c r="E222" s="88" t="s">
        <v>121</v>
      </c>
      <c r="F222" s="91">
        <v>45611.5759953704</v>
      </c>
      <c r="G222" s="91">
        <v>45611.7243865741</v>
      </c>
      <c r="H222" s="79" t="s">
        <v>97</v>
      </c>
      <c r="I222" s="80">
        <v>16000</v>
      </c>
      <c r="J222" s="83" t="s">
        <v>116</v>
      </c>
      <c r="K222" s="89"/>
      <c r="L222" s="90"/>
      <c r="M222" s="82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5"/>
    </row>
    <row r="223" s="63" customFormat="1" ht="14.4" customHeight="1" spans="1:31">
      <c r="A223" s="68">
        <v>222</v>
      </c>
      <c r="B223" s="69" t="s">
        <v>94</v>
      </c>
      <c r="C223" s="70" t="s">
        <v>274</v>
      </c>
      <c r="D223" s="84" t="s">
        <v>155</v>
      </c>
      <c r="E223" s="84" t="s">
        <v>115</v>
      </c>
      <c r="F223" s="91">
        <v>45745.6584722222</v>
      </c>
      <c r="G223" s="91">
        <v>45743.658587963</v>
      </c>
      <c r="H223" s="86" t="s">
        <v>99</v>
      </c>
      <c r="I223" s="87">
        <v>12000</v>
      </c>
      <c r="J223" s="83" t="s">
        <v>116</v>
      </c>
      <c r="K223" s="88" t="s">
        <v>117</v>
      </c>
      <c r="L223" s="91">
        <v>45546.6492476852</v>
      </c>
      <c r="M223" s="91">
        <v>45617.4707638889</v>
      </c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5"/>
    </row>
    <row r="224" s="63" customFormat="1" ht="14.4" customHeight="1" spans="1:31">
      <c r="A224" s="68">
        <v>223</v>
      </c>
      <c r="B224" s="69" t="s">
        <v>94</v>
      </c>
      <c r="C224" s="70" t="s">
        <v>274</v>
      </c>
      <c r="D224" s="84" t="s">
        <v>156</v>
      </c>
      <c r="E224" s="84" t="s">
        <v>115</v>
      </c>
      <c r="F224" s="91">
        <v>45745.6620138889</v>
      </c>
      <c r="G224" s="91">
        <v>45743.6621180556</v>
      </c>
      <c r="H224" s="86" t="s">
        <v>99</v>
      </c>
      <c r="I224" s="87">
        <v>12000</v>
      </c>
      <c r="J224" s="83" t="s">
        <v>116</v>
      </c>
      <c r="K224" s="88" t="s">
        <v>117</v>
      </c>
      <c r="L224" s="91">
        <v>45546.6506134259</v>
      </c>
      <c r="M224" s="91">
        <v>45604.765150463</v>
      </c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  <c r="AC224" s="84"/>
      <c r="AD224" s="84"/>
      <c r="AE224" s="85"/>
    </row>
    <row r="225" s="63" customFormat="1" ht="14.4" customHeight="1" spans="1:31">
      <c r="A225" s="68">
        <v>224</v>
      </c>
      <c r="B225" s="69" t="s">
        <v>94</v>
      </c>
      <c r="C225" s="70" t="s">
        <v>274</v>
      </c>
      <c r="D225" s="84" t="s">
        <v>157</v>
      </c>
      <c r="E225" s="84" t="s">
        <v>115</v>
      </c>
      <c r="F225" s="91">
        <v>45745.6620949074</v>
      </c>
      <c r="G225" s="91">
        <v>45743.6622106481</v>
      </c>
      <c r="H225" s="86" t="s">
        <v>99</v>
      </c>
      <c r="I225" s="87">
        <v>12000</v>
      </c>
      <c r="J225" s="83" t="s">
        <v>116</v>
      </c>
      <c r="K225" s="88" t="s">
        <v>117</v>
      </c>
      <c r="L225" s="91">
        <v>45546.6506134259</v>
      </c>
      <c r="M225" s="91">
        <v>45604.765150463</v>
      </c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5"/>
    </row>
    <row r="226" s="63" customFormat="1" ht="14.4" customHeight="1" spans="1:31">
      <c r="A226" s="68">
        <v>225</v>
      </c>
      <c r="B226" s="69" t="s">
        <v>94</v>
      </c>
      <c r="C226" s="70" t="s">
        <v>274</v>
      </c>
      <c r="D226" s="84" t="s">
        <v>158</v>
      </c>
      <c r="E226" s="84" t="s">
        <v>115</v>
      </c>
      <c r="F226" s="91">
        <v>45745.6621180556</v>
      </c>
      <c r="G226" s="91">
        <v>45743.6622222222</v>
      </c>
      <c r="H226" s="86" t="s">
        <v>99</v>
      </c>
      <c r="I226" s="87">
        <v>12000</v>
      </c>
      <c r="J226" s="83" t="s">
        <v>116</v>
      </c>
      <c r="K226" s="88" t="s">
        <v>117</v>
      </c>
      <c r="L226" s="91">
        <v>45546.6506134259</v>
      </c>
      <c r="M226" s="91">
        <v>45604.765150463</v>
      </c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5"/>
    </row>
    <row r="227" s="63" customFormat="1" ht="14.4" customHeight="1" spans="1:31">
      <c r="A227" s="68">
        <v>226</v>
      </c>
      <c r="B227" s="69" t="s">
        <v>94</v>
      </c>
      <c r="C227" s="70" t="s">
        <v>274</v>
      </c>
      <c r="D227" s="84" t="s">
        <v>159</v>
      </c>
      <c r="E227" s="84" t="s">
        <v>115</v>
      </c>
      <c r="F227" s="91">
        <v>45634.7157986111</v>
      </c>
      <c r="G227" s="91">
        <v>45632.7159027778</v>
      </c>
      <c r="H227" s="86" t="s">
        <v>99</v>
      </c>
      <c r="I227" s="87">
        <v>12000</v>
      </c>
      <c r="J227" s="83" t="s">
        <v>116</v>
      </c>
      <c r="K227" s="88" t="s">
        <v>117</v>
      </c>
      <c r="L227" s="91">
        <v>45546.6506134259</v>
      </c>
      <c r="M227" s="91">
        <v>45604.765150463</v>
      </c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5"/>
    </row>
    <row r="228" s="63" customFormat="1" ht="14.4" customHeight="1" spans="1:31">
      <c r="A228" s="68">
        <v>227</v>
      </c>
      <c r="B228" s="69" t="s">
        <v>94</v>
      </c>
      <c r="C228" s="70" t="s">
        <v>274</v>
      </c>
      <c r="D228" s="84" t="s">
        <v>160</v>
      </c>
      <c r="E228" s="84" t="s">
        <v>115</v>
      </c>
      <c r="F228" s="91">
        <v>45634.7331944444</v>
      </c>
      <c r="G228" s="91">
        <v>45632.7333101852</v>
      </c>
      <c r="H228" s="86" t="s">
        <v>99</v>
      </c>
      <c r="I228" s="87">
        <v>12000</v>
      </c>
      <c r="J228" s="83" t="s">
        <v>116</v>
      </c>
      <c r="K228" s="88" t="s">
        <v>117</v>
      </c>
      <c r="L228" s="91">
        <v>45546.6497800926</v>
      </c>
      <c r="M228" s="91">
        <v>45604.764224537</v>
      </c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5"/>
    </row>
    <row r="229" s="63" customFormat="1" ht="14.4" customHeight="1" spans="1:31">
      <c r="A229" s="68">
        <v>228</v>
      </c>
      <c r="B229" s="69" t="s">
        <v>94</v>
      </c>
      <c r="C229" s="70" t="s">
        <v>274</v>
      </c>
      <c r="D229" s="84" t="s">
        <v>161</v>
      </c>
      <c r="E229" s="84" t="s">
        <v>115</v>
      </c>
      <c r="F229" s="91">
        <v>45634.7193865741</v>
      </c>
      <c r="G229" s="91">
        <v>45632.7195023148</v>
      </c>
      <c r="H229" s="86" t="s">
        <v>99</v>
      </c>
      <c r="I229" s="87">
        <v>12000</v>
      </c>
      <c r="J229" s="83" t="s">
        <v>116</v>
      </c>
      <c r="K229" s="88" t="s">
        <v>117</v>
      </c>
      <c r="L229" s="91">
        <v>45546.649837963</v>
      </c>
      <c r="M229" s="91">
        <v>45604.7643981481</v>
      </c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5"/>
    </row>
    <row r="230" s="63" customFormat="1" ht="14.4" customHeight="1" spans="1:31">
      <c r="A230" s="68">
        <v>229</v>
      </c>
      <c r="B230" s="69" t="s">
        <v>94</v>
      </c>
      <c r="C230" s="70" t="s">
        <v>274</v>
      </c>
      <c r="D230" s="84" t="s">
        <v>162</v>
      </c>
      <c r="E230" s="84" t="s">
        <v>115</v>
      </c>
      <c r="F230" s="91">
        <v>45634.7231712963</v>
      </c>
      <c r="G230" s="91">
        <v>45632.723287037</v>
      </c>
      <c r="H230" s="86" t="s">
        <v>99</v>
      </c>
      <c r="I230" s="87">
        <v>12000</v>
      </c>
      <c r="J230" s="83" t="s">
        <v>116</v>
      </c>
      <c r="K230" s="88" t="s">
        <v>117</v>
      </c>
      <c r="L230" s="91">
        <v>45546.6505439815</v>
      </c>
      <c r="M230" s="91">
        <v>45604.7646296296</v>
      </c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5"/>
    </row>
    <row r="231" s="63" customFormat="1" ht="14.4" customHeight="1" spans="1:31">
      <c r="A231" s="68">
        <v>230</v>
      </c>
      <c r="B231" s="69" t="s">
        <v>94</v>
      </c>
      <c r="C231" s="70" t="s">
        <v>274</v>
      </c>
      <c r="D231" s="84" t="s">
        <v>163</v>
      </c>
      <c r="E231" s="84" t="s">
        <v>115</v>
      </c>
      <c r="F231" s="91">
        <v>45745.8822106481</v>
      </c>
      <c r="G231" s="91">
        <v>45744.8823263889</v>
      </c>
      <c r="H231" s="86" t="s">
        <v>99</v>
      </c>
      <c r="I231" s="87">
        <v>12000</v>
      </c>
      <c r="J231" s="83" t="s">
        <v>116</v>
      </c>
      <c r="K231" s="88" t="s">
        <v>117</v>
      </c>
      <c r="L231" s="91">
        <v>45546.6505439815</v>
      </c>
      <c r="M231" s="91">
        <v>45604.7648032407</v>
      </c>
      <c r="N231" s="84" t="s">
        <v>138</v>
      </c>
      <c r="O231" s="91">
        <v>45706.75</v>
      </c>
      <c r="P231" s="91">
        <v>45706.6041666667</v>
      </c>
      <c r="Q231" s="84" t="s">
        <v>117</v>
      </c>
      <c r="R231" s="91">
        <v>45728.6771527778</v>
      </c>
      <c r="S231" s="91">
        <v>45729.4791666667</v>
      </c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5"/>
    </row>
    <row r="232" s="63" customFormat="1" ht="14.4" customHeight="1" spans="1:31">
      <c r="A232" s="68">
        <v>231</v>
      </c>
      <c r="B232" s="69" t="s">
        <v>94</v>
      </c>
      <c r="C232" s="70" t="s">
        <v>274</v>
      </c>
      <c r="D232" s="84" t="s">
        <v>164</v>
      </c>
      <c r="E232" s="84" t="s">
        <v>115</v>
      </c>
      <c r="F232" s="91">
        <v>45896.7130787037</v>
      </c>
      <c r="G232" s="91">
        <v>45894.7131481481</v>
      </c>
      <c r="H232" s="86" t="s">
        <v>99</v>
      </c>
      <c r="I232" s="87">
        <v>12000</v>
      </c>
      <c r="J232" s="83" t="s">
        <v>116</v>
      </c>
      <c r="K232" s="84" t="s">
        <v>117</v>
      </c>
      <c r="L232" s="91">
        <v>45863.7133912037</v>
      </c>
      <c r="M232" s="91">
        <v>45867.7710300926</v>
      </c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5"/>
    </row>
    <row r="233" s="63" customFormat="1" ht="14.4" customHeight="1" spans="1:31">
      <c r="A233" s="68">
        <v>232</v>
      </c>
      <c r="B233" s="69" t="s">
        <v>94</v>
      </c>
      <c r="C233" s="70" t="s">
        <v>274</v>
      </c>
      <c r="D233" s="84" t="s">
        <v>165</v>
      </c>
      <c r="E233" s="84" t="s">
        <v>115</v>
      </c>
      <c r="F233" s="91">
        <v>45896.7167708333</v>
      </c>
      <c r="G233" s="91">
        <v>45894.7168402778</v>
      </c>
      <c r="H233" s="86" t="s">
        <v>99</v>
      </c>
      <c r="I233" s="87">
        <v>12000</v>
      </c>
      <c r="J233" s="83" t="s">
        <v>116</v>
      </c>
      <c r="K233" s="84" t="s">
        <v>117</v>
      </c>
      <c r="L233" s="91">
        <v>45863.7133912037</v>
      </c>
      <c r="M233" s="91">
        <v>45867.7710300926</v>
      </c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5"/>
    </row>
    <row r="234" s="63" customFormat="1" ht="14.4" customHeight="1" spans="1:31">
      <c r="A234" s="68">
        <v>233</v>
      </c>
      <c r="B234" s="69" t="s">
        <v>94</v>
      </c>
      <c r="C234" s="70" t="s">
        <v>274</v>
      </c>
      <c r="D234" s="84" t="s">
        <v>166</v>
      </c>
      <c r="E234" s="84" t="s">
        <v>115</v>
      </c>
      <c r="F234" s="91">
        <v>45896.7239583333</v>
      </c>
      <c r="G234" s="91">
        <v>45894.7240393519</v>
      </c>
      <c r="H234" s="86" t="s">
        <v>99</v>
      </c>
      <c r="I234" s="87">
        <v>12000</v>
      </c>
      <c r="J234" s="83" t="s">
        <v>116</v>
      </c>
      <c r="K234" s="84" t="s">
        <v>117</v>
      </c>
      <c r="L234" s="91">
        <v>45863.7133912037</v>
      </c>
      <c r="M234" s="91">
        <v>45867.7710300926</v>
      </c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5"/>
    </row>
    <row r="235" s="63" customFormat="1" ht="14.4" customHeight="1" spans="1:31">
      <c r="A235" s="68">
        <v>234</v>
      </c>
      <c r="B235" s="69" t="s">
        <v>94</v>
      </c>
      <c r="C235" s="70" t="s">
        <v>274</v>
      </c>
      <c r="D235" s="84" t="s">
        <v>167</v>
      </c>
      <c r="E235" s="84" t="s">
        <v>115</v>
      </c>
      <c r="F235" s="91">
        <v>45896.7202777778</v>
      </c>
      <c r="G235" s="91">
        <v>45894.7203587963</v>
      </c>
      <c r="H235" s="86" t="s">
        <v>99</v>
      </c>
      <c r="I235" s="87">
        <v>12000</v>
      </c>
      <c r="J235" s="83" t="s">
        <v>116</v>
      </c>
      <c r="K235" s="84" t="s">
        <v>117</v>
      </c>
      <c r="L235" s="91">
        <v>45863.7133912037</v>
      </c>
      <c r="M235" s="91">
        <v>45867.7710300926</v>
      </c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5"/>
    </row>
    <row r="236" s="63" customFormat="1" ht="14.4" customHeight="1" spans="1:31">
      <c r="A236" s="68">
        <v>235</v>
      </c>
      <c r="B236" s="69" t="s">
        <v>94</v>
      </c>
      <c r="C236" s="70" t="s">
        <v>274</v>
      </c>
      <c r="D236" s="84" t="s">
        <v>168</v>
      </c>
      <c r="E236" s="84" t="s">
        <v>115</v>
      </c>
      <c r="F236" s="91">
        <v>45896.723287037</v>
      </c>
      <c r="G236" s="91">
        <v>45894.7233680556</v>
      </c>
      <c r="H236" s="86" t="s">
        <v>99</v>
      </c>
      <c r="I236" s="87">
        <v>12000</v>
      </c>
      <c r="J236" s="83" t="s">
        <v>116</v>
      </c>
      <c r="K236" s="84" t="s">
        <v>117</v>
      </c>
      <c r="L236" s="91">
        <v>45887.3751967593</v>
      </c>
      <c r="M236" s="91">
        <v>45887.7710300926</v>
      </c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5"/>
    </row>
    <row r="237" s="63" customFormat="1" ht="14.4" customHeight="1" spans="1:31">
      <c r="A237" s="68">
        <v>236</v>
      </c>
      <c r="B237" s="69" t="s">
        <v>94</v>
      </c>
      <c r="C237" s="70" t="s">
        <v>274</v>
      </c>
      <c r="D237" s="84" t="s">
        <v>169</v>
      </c>
      <c r="E237" s="84" t="s">
        <v>115</v>
      </c>
      <c r="F237" s="91">
        <v>45877.8821875</v>
      </c>
      <c r="G237" s="91">
        <v>45876.8822685185</v>
      </c>
      <c r="H237" s="86" t="s">
        <v>99</v>
      </c>
      <c r="I237" s="87">
        <v>12000</v>
      </c>
      <c r="J237" s="83" t="s">
        <v>116</v>
      </c>
      <c r="K237" s="84" t="s">
        <v>117</v>
      </c>
      <c r="L237" s="91">
        <v>45863.7133912037</v>
      </c>
      <c r="M237" s="91">
        <v>45867.7710300926</v>
      </c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5"/>
    </row>
    <row r="238" s="63" customFormat="1" ht="14.4" customHeight="1" spans="1:31">
      <c r="A238" s="68">
        <v>237</v>
      </c>
      <c r="B238" s="69" t="s">
        <v>94</v>
      </c>
      <c r="C238" s="70" t="s">
        <v>274</v>
      </c>
      <c r="D238" s="84" t="s">
        <v>170</v>
      </c>
      <c r="E238" s="84" t="s">
        <v>115</v>
      </c>
      <c r="F238" s="91">
        <v>45896.7239930556</v>
      </c>
      <c r="G238" s="91">
        <v>45894.7240740741</v>
      </c>
      <c r="H238" s="86" t="s">
        <v>99</v>
      </c>
      <c r="I238" s="87">
        <v>12000</v>
      </c>
      <c r="J238" s="83" t="s">
        <v>116</v>
      </c>
      <c r="K238" s="84" t="s">
        <v>117</v>
      </c>
      <c r="L238" s="91">
        <v>45887.3751967593</v>
      </c>
      <c r="M238" s="91">
        <v>45887.7710300926</v>
      </c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5"/>
    </row>
    <row r="239" s="63" customFormat="1" ht="14.4" customHeight="1" spans="1:31">
      <c r="A239" s="68">
        <v>238</v>
      </c>
      <c r="B239" s="69" t="s">
        <v>94</v>
      </c>
      <c r="C239" s="70" t="s">
        <v>274</v>
      </c>
      <c r="D239" s="84" t="s">
        <v>171</v>
      </c>
      <c r="E239" s="88"/>
      <c r="F239" s="84"/>
      <c r="G239" s="84"/>
      <c r="H239" s="86" t="s">
        <v>99</v>
      </c>
      <c r="I239" s="87">
        <v>12000</v>
      </c>
      <c r="J239" s="84"/>
      <c r="K239" s="89"/>
      <c r="L239" s="90"/>
      <c r="M239" s="82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5"/>
    </row>
    <row r="240" s="63" customFormat="1" ht="14.4" customHeight="1" spans="1:31">
      <c r="A240" s="68">
        <v>239</v>
      </c>
      <c r="B240" s="69" t="s">
        <v>94</v>
      </c>
      <c r="C240" s="70" t="s">
        <v>274</v>
      </c>
      <c r="D240" s="84" t="s">
        <v>172</v>
      </c>
      <c r="E240" s="84" t="s">
        <v>115</v>
      </c>
      <c r="F240" s="91">
        <v>45745.6868055556</v>
      </c>
      <c r="G240" s="91">
        <v>45743.6869097222</v>
      </c>
      <c r="H240" s="79" t="s">
        <v>97</v>
      </c>
      <c r="I240" s="80">
        <v>16000</v>
      </c>
      <c r="J240" s="83" t="s">
        <v>116</v>
      </c>
      <c r="K240" s="88" t="s">
        <v>121</v>
      </c>
      <c r="L240" s="91">
        <v>45615.6204398148</v>
      </c>
      <c r="M240" s="91">
        <v>45617.470162037</v>
      </c>
      <c r="N240" s="84" t="s">
        <v>120</v>
      </c>
      <c r="O240" s="91">
        <v>45621.8340277778</v>
      </c>
      <c r="P240" s="91">
        <v>45620.8341435185</v>
      </c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5"/>
    </row>
    <row r="241" s="63" customFormat="1" ht="14.4" customHeight="1" spans="1:31">
      <c r="A241" s="68">
        <v>240</v>
      </c>
      <c r="B241" s="69" t="s">
        <v>94</v>
      </c>
      <c r="C241" s="70" t="s">
        <v>274</v>
      </c>
      <c r="D241" s="84" t="s">
        <v>173</v>
      </c>
      <c r="E241" s="84" t="s">
        <v>115</v>
      </c>
      <c r="F241" s="91">
        <v>45745.6903009259</v>
      </c>
      <c r="G241" s="91">
        <v>45743.6904166667</v>
      </c>
      <c r="H241" s="86" t="s">
        <v>99</v>
      </c>
      <c r="I241" s="87">
        <v>12000</v>
      </c>
      <c r="J241" s="83" t="s">
        <v>116</v>
      </c>
      <c r="K241" s="88" t="s">
        <v>117</v>
      </c>
      <c r="L241" s="91">
        <v>45546.6501388889</v>
      </c>
      <c r="M241" s="91">
        <v>45604.7659027778</v>
      </c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5"/>
    </row>
    <row r="242" s="63" customFormat="1" ht="14.4" customHeight="1" spans="1:31">
      <c r="A242" s="68">
        <v>241</v>
      </c>
      <c r="B242" s="69" t="s">
        <v>94</v>
      </c>
      <c r="C242" s="70" t="s">
        <v>274</v>
      </c>
      <c r="D242" s="84" t="s">
        <v>174</v>
      </c>
      <c r="E242" s="84" t="s">
        <v>115</v>
      </c>
      <c r="F242" s="91">
        <v>45745.6938078704</v>
      </c>
      <c r="G242" s="91">
        <v>45743.693912037</v>
      </c>
      <c r="H242" s="86" t="s">
        <v>99</v>
      </c>
      <c r="I242" s="87">
        <v>12000</v>
      </c>
      <c r="J242" s="83" t="s">
        <v>116</v>
      </c>
      <c r="K242" s="88" t="s">
        <v>117</v>
      </c>
      <c r="L242" s="91">
        <v>45546.6502083333</v>
      </c>
      <c r="M242" s="91">
        <v>45604.7660185185</v>
      </c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5"/>
    </row>
    <row r="243" s="63" customFormat="1" ht="14.4" customHeight="1" spans="1:31">
      <c r="A243" s="68">
        <v>242</v>
      </c>
      <c r="B243" s="69" t="s">
        <v>94</v>
      </c>
      <c r="C243" s="70" t="s">
        <v>274</v>
      </c>
      <c r="D243" s="84" t="s">
        <v>175</v>
      </c>
      <c r="E243" s="84" t="s">
        <v>115</v>
      </c>
      <c r="F243" s="91">
        <v>45745.6938310185</v>
      </c>
      <c r="G243" s="91">
        <v>45743.6939467593</v>
      </c>
      <c r="H243" s="86" t="s">
        <v>99</v>
      </c>
      <c r="I243" s="87">
        <v>12000</v>
      </c>
      <c r="J243" s="83" t="s">
        <v>116</v>
      </c>
      <c r="K243" s="88" t="s">
        <v>117</v>
      </c>
      <c r="L243" s="91">
        <v>45713.7502083333</v>
      </c>
      <c r="M243" s="91">
        <v>45713.5835416667</v>
      </c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5"/>
    </row>
    <row r="244" s="63" customFormat="1" ht="14.4" customHeight="1" spans="1:31">
      <c r="A244" s="68">
        <v>243</v>
      </c>
      <c r="B244" s="69" t="s">
        <v>94</v>
      </c>
      <c r="C244" s="70" t="s">
        <v>274</v>
      </c>
      <c r="D244" s="84" t="s">
        <v>176</v>
      </c>
      <c r="E244" s="84" t="s">
        <v>115</v>
      </c>
      <c r="F244" s="91">
        <v>45745.6938310185</v>
      </c>
      <c r="G244" s="91">
        <v>45743.6939351852</v>
      </c>
      <c r="H244" s="86" t="s">
        <v>99</v>
      </c>
      <c r="I244" s="87">
        <v>12000</v>
      </c>
      <c r="J244" s="83" t="s">
        <v>116</v>
      </c>
      <c r="K244" s="88" t="s">
        <v>117</v>
      </c>
      <c r="L244" s="91">
        <v>45546.6506712963</v>
      </c>
      <c r="M244" s="91">
        <v>45604.7674537037</v>
      </c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5"/>
    </row>
    <row r="245" s="63" customFormat="1" ht="14.4" customHeight="1" spans="1:31">
      <c r="A245" s="68">
        <v>244</v>
      </c>
      <c r="B245" s="69" t="s">
        <v>94</v>
      </c>
      <c r="C245" s="70" t="s">
        <v>274</v>
      </c>
      <c r="D245" s="84" t="s">
        <v>177</v>
      </c>
      <c r="E245" s="84" t="s">
        <v>115</v>
      </c>
      <c r="F245" s="91">
        <v>45745.6938310185</v>
      </c>
      <c r="G245" s="91">
        <v>45743.6939351852</v>
      </c>
      <c r="H245" s="86" t="s">
        <v>99</v>
      </c>
      <c r="I245" s="87">
        <v>12000</v>
      </c>
      <c r="J245" s="83" t="s">
        <v>116</v>
      </c>
      <c r="K245" s="88" t="s">
        <v>117</v>
      </c>
      <c r="L245" s="91">
        <v>45546.6508101852</v>
      </c>
      <c r="M245" s="91">
        <v>45604.7673263889</v>
      </c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5"/>
    </row>
    <row r="246" s="63" customFormat="1" ht="14.4" customHeight="1" spans="1:31">
      <c r="A246" s="68">
        <v>245</v>
      </c>
      <c r="B246" s="69" t="s">
        <v>94</v>
      </c>
      <c r="C246" s="70" t="s">
        <v>274</v>
      </c>
      <c r="D246" s="84" t="s">
        <v>178</v>
      </c>
      <c r="E246" s="84" t="s">
        <v>115</v>
      </c>
      <c r="F246" s="91">
        <v>45634.7190393519</v>
      </c>
      <c r="G246" s="91">
        <v>45632.7191550926</v>
      </c>
      <c r="H246" s="86" t="s">
        <v>99</v>
      </c>
      <c r="I246" s="87">
        <v>12000</v>
      </c>
      <c r="J246" s="83" t="s">
        <v>116</v>
      </c>
      <c r="K246" s="88" t="s">
        <v>117</v>
      </c>
      <c r="L246" s="91">
        <v>45546.6507407407</v>
      </c>
      <c r="M246" s="91">
        <v>45604.767337963</v>
      </c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5"/>
    </row>
    <row r="247" s="63" customFormat="1" ht="14.4" customHeight="1" spans="1:31">
      <c r="A247" s="68">
        <v>246</v>
      </c>
      <c r="B247" s="69" t="s">
        <v>94</v>
      </c>
      <c r="C247" s="70" t="s">
        <v>274</v>
      </c>
      <c r="D247" s="84" t="s">
        <v>179</v>
      </c>
      <c r="E247" s="84" t="s">
        <v>115</v>
      </c>
      <c r="F247" s="91">
        <v>45634.7260763889</v>
      </c>
      <c r="G247" s="91">
        <v>45632.7261805556</v>
      </c>
      <c r="H247" s="86" t="s">
        <v>99</v>
      </c>
      <c r="I247" s="87">
        <v>12000</v>
      </c>
      <c r="J247" s="83" t="s">
        <v>116</v>
      </c>
      <c r="K247" s="88" t="s">
        <v>117</v>
      </c>
      <c r="L247" s="91">
        <v>45546.6506712963</v>
      </c>
      <c r="M247" s="91">
        <v>45604.7674537037</v>
      </c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5"/>
    </row>
    <row r="248" s="63" customFormat="1" ht="14.4" customHeight="1" spans="1:31">
      <c r="A248" s="68">
        <v>247</v>
      </c>
      <c r="B248" s="69" t="s">
        <v>94</v>
      </c>
      <c r="C248" s="70" t="s">
        <v>274</v>
      </c>
      <c r="D248" s="84" t="s">
        <v>180</v>
      </c>
      <c r="E248" s="84" t="s">
        <v>115</v>
      </c>
      <c r="F248" s="91">
        <v>45634.7261458333</v>
      </c>
      <c r="G248" s="91">
        <v>45632.72625</v>
      </c>
      <c r="H248" s="86" t="s">
        <v>99</v>
      </c>
      <c r="I248" s="87">
        <v>12000</v>
      </c>
      <c r="J248" s="83" t="s">
        <v>116</v>
      </c>
      <c r="K248" s="88" t="s">
        <v>117</v>
      </c>
      <c r="L248" s="91">
        <v>45546.6509259259</v>
      </c>
      <c r="M248" s="91">
        <v>45604.7677083333</v>
      </c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5"/>
    </row>
    <row r="249" s="63" customFormat="1" ht="14.4" customHeight="1" spans="1:31">
      <c r="A249" s="68">
        <v>248</v>
      </c>
      <c r="B249" s="69" t="s">
        <v>94</v>
      </c>
      <c r="C249" s="70" t="s">
        <v>274</v>
      </c>
      <c r="D249" s="84" t="s">
        <v>181</v>
      </c>
      <c r="E249" s="84" t="s">
        <v>115</v>
      </c>
      <c r="F249" s="91">
        <v>45634.7260763889</v>
      </c>
      <c r="G249" s="91">
        <v>45632.7261805556</v>
      </c>
      <c r="H249" s="86" t="s">
        <v>99</v>
      </c>
      <c r="I249" s="87">
        <v>12000</v>
      </c>
      <c r="J249" s="83" t="s">
        <v>116</v>
      </c>
      <c r="K249" s="88" t="s">
        <v>117</v>
      </c>
      <c r="L249" s="91">
        <v>45546.6509837963</v>
      </c>
      <c r="M249" s="91">
        <v>45604.7678356481</v>
      </c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5"/>
    </row>
    <row r="250" s="63" customFormat="1" ht="14.4" customHeight="1" spans="1:31">
      <c r="A250" s="68">
        <v>249</v>
      </c>
      <c r="B250" s="69" t="s">
        <v>94</v>
      </c>
      <c r="C250" s="70" t="s">
        <v>274</v>
      </c>
      <c r="D250" s="84" t="s">
        <v>182</v>
      </c>
      <c r="E250" s="84" t="s">
        <v>115</v>
      </c>
      <c r="F250" s="91">
        <v>45996.8821759259</v>
      </c>
      <c r="G250" s="91">
        <v>45995.8823148148</v>
      </c>
      <c r="H250" s="86" t="s">
        <v>99</v>
      </c>
      <c r="I250" s="87">
        <v>12000</v>
      </c>
      <c r="J250" s="83" t="s">
        <v>116</v>
      </c>
      <c r="K250" s="88" t="s">
        <v>121</v>
      </c>
      <c r="L250" s="91">
        <v>45617.7020717593</v>
      </c>
      <c r="M250" s="91">
        <v>45618.6300462963</v>
      </c>
      <c r="N250" s="84" t="s">
        <v>120</v>
      </c>
      <c r="O250" s="91">
        <v>45621.8340277778</v>
      </c>
      <c r="P250" s="91">
        <v>45620.8341435185</v>
      </c>
      <c r="Q250" s="84" t="s">
        <v>138</v>
      </c>
      <c r="R250" s="91">
        <v>45706.75</v>
      </c>
      <c r="S250" s="91">
        <v>45706.6041666667</v>
      </c>
      <c r="T250" s="84" t="s">
        <v>117</v>
      </c>
      <c r="U250" s="91">
        <v>45728.6771527778</v>
      </c>
      <c r="V250" s="91">
        <v>45729.4791666667</v>
      </c>
      <c r="W250" s="84" t="s">
        <v>115</v>
      </c>
      <c r="X250" s="91">
        <v>45745.8822106481</v>
      </c>
      <c r="Y250" s="91">
        <v>45744.8823263889</v>
      </c>
      <c r="Z250" s="83" t="s">
        <v>275</v>
      </c>
      <c r="AA250" s="91">
        <v>45860.3834490741</v>
      </c>
      <c r="AB250" s="91">
        <v>45860.7709490741</v>
      </c>
      <c r="AC250" s="84" t="s">
        <v>117</v>
      </c>
      <c r="AD250" s="91">
        <v>45989</v>
      </c>
      <c r="AE250" s="99">
        <v>45989.7889351852</v>
      </c>
    </row>
    <row r="251" s="63" customFormat="1" ht="14.4" customHeight="1" spans="1:31">
      <c r="A251" s="68">
        <v>250</v>
      </c>
      <c r="B251" s="69" t="s">
        <v>94</v>
      </c>
      <c r="C251" s="70" t="s">
        <v>274</v>
      </c>
      <c r="D251" s="84" t="s">
        <v>183</v>
      </c>
      <c r="E251" s="84" t="s">
        <v>115</v>
      </c>
      <c r="F251" s="91">
        <v>45896.7232638889</v>
      </c>
      <c r="G251" s="91">
        <v>45894.7233333333</v>
      </c>
      <c r="H251" s="86" t="s">
        <v>99</v>
      </c>
      <c r="I251" s="87">
        <v>12000</v>
      </c>
      <c r="J251" s="83" t="s">
        <v>116</v>
      </c>
      <c r="K251" s="84" t="s">
        <v>117</v>
      </c>
      <c r="L251" s="91">
        <v>45863.7133912037</v>
      </c>
      <c r="M251" s="91">
        <v>45867.7710300926</v>
      </c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5"/>
    </row>
    <row r="252" s="63" customFormat="1" ht="14.4" customHeight="1" spans="1:31">
      <c r="A252" s="68">
        <v>251</v>
      </c>
      <c r="B252" s="69" t="s">
        <v>94</v>
      </c>
      <c r="C252" s="70" t="s">
        <v>274</v>
      </c>
      <c r="D252" s="84" t="s">
        <v>184</v>
      </c>
      <c r="E252" s="84" t="s">
        <v>115</v>
      </c>
      <c r="F252" s="91">
        <v>45896.7267361111</v>
      </c>
      <c r="G252" s="91">
        <v>45894.7268171296</v>
      </c>
      <c r="H252" s="86" t="s">
        <v>99</v>
      </c>
      <c r="I252" s="87">
        <v>12000</v>
      </c>
      <c r="J252" s="83" t="s">
        <v>116</v>
      </c>
      <c r="K252" s="84" t="s">
        <v>117</v>
      </c>
      <c r="L252" s="91">
        <v>45863.7133912037</v>
      </c>
      <c r="M252" s="91">
        <v>45867.7710300926</v>
      </c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5"/>
    </row>
    <row r="253" s="63" customFormat="1" ht="14.4" customHeight="1" spans="1:31">
      <c r="A253" s="68">
        <v>252</v>
      </c>
      <c r="B253" s="69" t="s">
        <v>94</v>
      </c>
      <c r="C253" s="70" t="s">
        <v>274</v>
      </c>
      <c r="D253" s="84" t="s">
        <v>185</v>
      </c>
      <c r="E253" s="84" t="s">
        <v>115</v>
      </c>
      <c r="F253" s="91">
        <v>45896.7303356481</v>
      </c>
      <c r="G253" s="91">
        <v>45894.7304166667</v>
      </c>
      <c r="H253" s="86" t="s">
        <v>99</v>
      </c>
      <c r="I253" s="87">
        <v>12000</v>
      </c>
      <c r="J253" s="83" t="s">
        <v>116</v>
      </c>
      <c r="K253" s="84" t="s">
        <v>117</v>
      </c>
      <c r="L253" s="91">
        <v>45863.7133912037</v>
      </c>
      <c r="M253" s="91">
        <v>45867.7710300926</v>
      </c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5"/>
    </row>
    <row r="254" s="63" customFormat="1" ht="14.4" customHeight="1" spans="1:31">
      <c r="A254" s="68">
        <v>253</v>
      </c>
      <c r="B254" s="69" t="s">
        <v>94</v>
      </c>
      <c r="C254" s="70" t="s">
        <v>274</v>
      </c>
      <c r="D254" s="84" t="s">
        <v>186</v>
      </c>
      <c r="E254" s="84" t="s">
        <v>115</v>
      </c>
      <c r="F254" s="91">
        <v>45896.7267939815</v>
      </c>
      <c r="G254" s="91">
        <v>45894.726875</v>
      </c>
      <c r="H254" s="86" t="s">
        <v>99</v>
      </c>
      <c r="I254" s="87">
        <v>12000</v>
      </c>
      <c r="J254" s="83" t="s">
        <v>116</v>
      </c>
      <c r="K254" s="84" t="s">
        <v>117</v>
      </c>
      <c r="L254" s="91">
        <v>45863.7133912037</v>
      </c>
      <c r="M254" s="91">
        <v>45867.7710300926</v>
      </c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5"/>
    </row>
    <row r="255" s="63" customFormat="1" ht="14.4" customHeight="1" spans="1:31">
      <c r="A255" s="68">
        <v>254</v>
      </c>
      <c r="B255" s="69" t="s">
        <v>94</v>
      </c>
      <c r="C255" s="70" t="s">
        <v>274</v>
      </c>
      <c r="D255" s="84" t="s">
        <v>187</v>
      </c>
      <c r="E255" s="84" t="s">
        <v>138</v>
      </c>
      <c r="F255" s="91">
        <v>45814.6181828704</v>
      </c>
      <c r="G255" s="91">
        <v>45819.3699768518</v>
      </c>
      <c r="H255" s="86" t="s">
        <v>99</v>
      </c>
      <c r="I255" s="87">
        <v>12000</v>
      </c>
      <c r="J255" s="83" t="s">
        <v>116</v>
      </c>
      <c r="K255" s="100" t="s">
        <v>117</v>
      </c>
      <c r="L255" s="91">
        <v>45793.6849768519</v>
      </c>
      <c r="M255" s="91">
        <v>45794.7502546296</v>
      </c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5"/>
    </row>
    <row r="256" s="63" customFormat="1" ht="14.4" customHeight="1" spans="1:31">
      <c r="A256" s="68">
        <v>255</v>
      </c>
      <c r="B256" s="69" t="s">
        <v>94</v>
      </c>
      <c r="C256" s="70" t="s">
        <v>274</v>
      </c>
      <c r="D256" s="84" t="s">
        <v>188</v>
      </c>
      <c r="E256" s="88" t="s">
        <v>121</v>
      </c>
      <c r="F256" s="91">
        <v>45611.5759953704</v>
      </c>
      <c r="G256" s="91">
        <v>45611.7244444444</v>
      </c>
      <c r="H256" s="79" t="s">
        <v>97</v>
      </c>
      <c r="I256" s="80">
        <v>16000</v>
      </c>
      <c r="J256" s="83" t="s">
        <v>116</v>
      </c>
      <c r="K256" s="89"/>
      <c r="L256" s="90"/>
      <c r="M256" s="82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5"/>
    </row>
    <row r="257" s="63" customFormat="1" ht="14.4" customHeight="1" spans="1:31">
      <c r="A257" s="68">
        <v>256</v>
      </c>
      <c r="B257" s="69" t="s">
        <v>94</v>
      </c>
      <c r="C257" s="70" t="s">
        <v>274</v>
      </c>
      <c r="D257" s="84" t="s">
        <v>189</v>
      </c>
      <c r="E257" s="84" t="s">
        <v>115</v>
      </c>
      <c r="F257" s="91">
        <v>45745.7029398148</v>
      </c>
      <c r="G257" s="91">
        <v>45743.7030555556</v>
      </c>
      <c r="H257" s="86" t="s">
        <v>99</v>
      </c>
      <c r="I257" s="87">
        <v>12000</v>
      </c>
      <c r="J257" s="83" t="s">
        <v>116</v>
      </c>
      <c r="K257" s="88" t="s">
        <v>117</v>
      </c>
      <c r="L257" s="91">
        <v>45546.6513425926</v>
      </c>
      <c r="M257" s="91">
        <v>45604.7681944444</v>
      </c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5"/>
    </row>
    <row r="258" s="63" customFormat="1" ht="14.4" customHeight="1" spans="1:31">
      <c r="A258" s="68">
        <v>257</v>
      </c>
      <c r="B258" s="69" t="s">
        <v>94</v>
      </c>
      <c r="C258" s="70" t="s">
        <v>274</v>
      </c>
      <c r="D258" s="84" t="s">
        <v>190</v>
      </c>
      <c r="E258" s="84" t="s">
        <v>115</v>
      </c>
      <c r="F258" s="91">
        <v>45745.7044328704</v>
      </c>
      <c r="G258" s="91">
        <v>45743.7045486111</v>
      </c>
      <c r="H258" s="86" t="s">
        <v>99</v>
      </c>
      <c r="I258" s="87">
        <v>12000</v>
      </c>
      <c r="J258" s="83" t="s">
        <v>116</v>
      </c>
      <c r="K258" s="88" t="s">
        <v>117</v>
      </c>
      <c r="L258" s="91">
        <v>45546.6513425926</v>
      </c>
      <c r="M258" s="91">
        <v>45604.7681944444</v>
      </c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5"/>
    </row>
    <row r="259" s="63" customFormat="1" ht="14.4" customHeight="1" spans="1:31">
      <c r="A259" s="68">
        <v>258</v>
      </c>
      <c r="B259" s="69" t="s">
        <v>94</v>
      </c>
      <c r="C259" s="70" t="s">
        <v>274</v>
      </c>
      <c r="D259" s="84" t="s">
        <v>191</v>
      </c>
      <c r="E259" s="84" t="s">
        <v>115</v>
      </c>
      <c r="F259" s="91">
        <v>45746.7795949074</v>
      </c>
      <c r="G259" s="91">
        <v>45744.7796990741</v>
      </c>
      <c r="H259" s="86" t="s">
        <v>99</v>
      </c>
      <c r="I259" s="87">
        <v>12000</v>
      </c>
      <c r="J259" s="83" t="s">
        <v>116</v>
      </c>
      <c r="K259" s="88" t="s">
        <v>117</v>
      </c>
      <c r="L259" s="91">
        <v>45546.6513425926</v>
      </c>
      <c r="M259" s="91">
        <v>45604.7681944444</v>
      </c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5"/>
    </row>
    <row r="260" s="63" customFormat="1" ht="14.4" customHeight="1" spans="1:31">
      <c r="A260" s="68">
        <v>259</v>
      </c>
      <c r="B260" s="69" t="s">
        <v>94</v>
      </c>
      <c r="C260" s="70" t="s">
        <v>274</v>
      </c>
      <c r="D260" s="84" t="s">
        <v>192</v>
      </c>
      <c r="E260" s="84" t="s">
        <v>115</v>
      </c>
      <c r="F260" s="91">
        <v>45746.7866666667</v>
      </c>
      <c r="G260" s="91">
        <v>45744.7867708333</v>
      </c>
      <c r="H260" s="86" t="s">
        <v>99</v>
      </c>
      <c r="I260" s="87">
        <v>12000</v>
      </c>
      <c r="J260" s="83" t="s">
        <v>116</v>
      </c>
      <c r="K260" s="88" t="s">
        <v>117</v>
      </c>
      <c r="L260" s="91">
        <v>45546.6513425926</v>
      </c>
      <c r="M260" s="91">
        <v>45604.7681944444</v>
      </c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5"/>
    </row>
    <row r="261" s="63" customFormat="1" ht="14.4" customHeight="1" spans="1:31">
      <c r="A261" s="68">
        <v>260</v>
      </c>
      <c r="B261" s="69" t="s">
        <v>94</v>
      </c>
      <c r="C261" s="70" t="s">
        <v>274</v>
      </c>
      <c r="D261" s="84" t="s">
        <v>193</v>
      </c>
      <c r="E261" s="84" t="s">
        <v>115</v>
      </c>
      <c r="F261" s="91">
        <v>45634.7159606482</v>
      </c>
      <c r="G261" s="91">
        <v>45632.7160763889</v>
      </c>
      <c r="H261" s="86" t="s">
        <v>99</v>
      </c>
      <c r="I261" s="87">
        <v>12000</v>
      </c>
      <c r="J261" s="83" t="s">
        <v>116</v>
      </c>
      <c r="K261" s="88" t="s">
        <v>117</v>
      </c>
      <c r="L261" s="91">
        <v>45546.6513078704</v>
      </c>
      <c r="M261" s="91">
        <v>45604.7685532407</v>
      </c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5"/>
    </row>
    <row r="262" s="63" customFormat="1" ht="14.4" customHeight="1" spans="1:31">
      <c r="A262" s="68">
        <v>261</v>
      </c>
      <c r="B262" s="69" t="s">
        <v>94</v>
      </c>
      <c r="C262" s="70" t="s">
        <v>274</v>
      </c>
      <c r="D262" s="84" t="s">
        <v>194</v>
      </c>
      <c r="E262" s="84" t="s">
        <v>115</v>
      </c>
      <c r="F262" s="91">
        <v>45634.7265625</v>
      </c>
      <c r="G262" s="91">
        <v>45632.7266782407</v>
      </c>
      <c r="H262" s="86" t="s">
        <v>99</v>
      </c>
      <c r="I262" s="87">
        <v>12000</v>
      </c>
      <c r="J262" s="83" t="s">
        <v>116</v>
      </c>
      <c r="K262" s="88" t="s">
        <v>117</v>
      </c>
      <c r="L262" s="91">
        <v>45546.6513425926</v>
      </c>
      <c r="M262" s="91">
        <v>45604.7681944444</v>
      </c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5"/>
    </row>
    <row r="263" s="63" customFormat="1" ht="14.4" customHeight="1" spans="1:31">
      <c r="A263" s="68">
        <v>262</v>
      </c>
      <c r="B263" s="69" t="s">
        <v>94</v>
      </c>
      <c r="C263" s="70" t="s">
        <v>274</v>
      </c>
      <c r="D263" s="84" t="s">
        <v>195</v>
      </c>
      <c r="E263" s="84" t="s">
        <v>115</v>
      </c>
      <c r="F263" s="91">
        <v>45634.7301388889</v>
      </c>
      <c r="G263" s="91">
        <v>45632.7302546296</v>
      </c>
      <c r="H263" s="86" t="s">
        <v>99</v>
      </c>
      <c r="I263" s="87">
        <v>12000</v>
      </c>
      <c r="J263" s="83" t="s">
        <v>116</v>
      </c>
      <c r="K263" s="88" t="s">
        <v>117</v>
      </c>
      <c r="L263" s="91">
        <v>45546.6546412037</v>
      </c>
      <c r="M263" s="91">
        <v>45604.7687962963</v>
      </c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5"/>
    </row>
    <row r="264" s="63" customFormat="1" ht="14.4" customHeight="1" spans="1:31">
      <c r="A264" s="68">
        <v>263</v>
      </c>
      <c r="B264" s="69" t="s">
        <v>94</v>
      </c>
      <c r="C264" s="70" t="s">
        <v>274</v>
      </c>
      <c r="D264" s="84" t="s">
        <v>196</v>
      </c>
      <c r="E264" s="84" t="s">
        <v>115</v>
      </c>
      <c r="F264" s="91">
        <v>45634.73375</v>
      </c>
      <c r="G264" s="91">
        <v>45632.7338657407</v>
      </c>
      <c r="H264" s="86" t="s">
        <v>99</v>
      </c>
      <c r="I264" s="87">
        <v>12000</v>
      </c>
      <c r="J264" s="83" t="s">
        <v>116</v>
      </c>
      <c r="K264" s="88" t="s">
        <v>117</v>
      </c>
      <c r="L264" s="91">
        <v>45546.6547222222</v>
      </c>
      <c r="M264" s="91">
        <v>45604.7689351852</v>
      </c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5"/>
    </row>
    <row r="265" s="63" customFormat="1" ht="14.4" customHeight="1" spans="1:31">
      <c r="A265" s="68">
        <v>264</v>
      </c>
      <c r="B265" s="69" t="s">
        <v>94</v>
      </c>
      <c r="C265" s="70" t="s">
        <v>274</v>
      </c>
      <c r="D265" s="84" t="s">
        <v>197</v>
      </c>
      <c r="E265" s="84" t="s">
        <v>115</v>
      </c>
      <c r="F265" s="91">
        <v>45634.7302777778</v>
      </c>
      <c r="G265" s="91">
        <v>45632.7303935185</v>
      </c>
      <c r="H265" s="86" t="s">
        <v>99</v>
      </c>
      <c r="I265" s="87">
        <v>12000</v>
      </c>
      <c r="J265" s="83" t="s">
        <v>116</v>
      </c>
      <c r="K265" s="88" t="s">
        <v>117</v>
      </c>
      <c r="L265" s="91">
        <v>45546.6547916667</v>
      </c>
      <c r="M265" s="91">
        <v>45604.7690856481</v>
      </c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5"/>
    </row>
    <row r="266" s="63" customFormat="1" ht="14.4" customHeight="1" spans="1:31">
      <c r="A266" s="68">
        <v>265</v>
      </c>
      <c r="B266" s="69" t="s">
        <v>94</v>
      </c>
      <c r="C266" s="70" t="s">
        <v>274</v>
      </c>
      <c r="D266" s="84" t="s">
        <v>198</v>
      </c>
      <c r="E266" s="84" t="s">
        <v>115</v>
      </c>
      <c r="F266" s="91">
        <v>45634.7334259259</v>
      </c>
      <c r="G266" s="91">
        <v>45632.7335416667</v>
      </c>
      <c r="H266" s="86" t="s">
        <v>99</v>
      </c>
      <c r="I266" s="87">
        <v>12000</v>
      </c>
      <c r="J266" s="83" t="s">
        <v>116</v>
      </c>
      <c r="K266" s="88" t="s">
        <v>117</v>
      </c>
      <c r="L266" s="91">
        <v>45617.6126273148</v>
      </c>
      <c r="M266" s="91">
        <v>45618.6301273148</v>
      </c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5"/>
    </row>
    <row r="267" s="63" customFormat="1" ht="14.4" customHeight="1" spans="1:31">
      <c r="A267" s="68">
        <v>266</v>
      </c>
      <c r="B267" s="69" t="s">
        <v>94</v>
      </c>
      <c r="C267" s="70" t="s">
        <v>274</v>
      </c>
      <c r="D267" s="84" t="s">
        <v>199</v>
      </c>
      <c r="E267" s="84" t="s">
        <v>115</v>
      </c>
      <c r="F267" s="91">
        <v>45993.8821875</v>
      </c>
      <c r="G267" s="91">
        <v>45992.8823263889</v>
      </c>
      <c r="H267" s="86" t="s">
        <v>99</v>
      </c>
      <c r="I267" s="87">
        <v>12000</v>
      </c>
      <c r="J267" s="83" t="s">
        <v>116</v>
      </c>
      <c r="K267" s="88" t="s">
        <v>121</v>
      </c>
      <c r="L267" s="91">
        <v>45617.7023726852</v>
      </c>
      <c r="M267" s="91">
        <v>45618.6302083333</v>
      </c>
      <c r="N267" s="84" t="s">
        <v>120</v>
      </c>
      <c r="O267" s="91">
        <v>45621.8340277778</v>
      </c>
      <c r="P267" s="91">
        <v>45620.8341435185</v>
      </c>
      <c r="Q267" s="84" t="s">
        <v>138</v>
      </c>
      <c r="R267" s="91">
        <v>45706.75</v>
      </c>
      <c r="S267" s="91">
        <v>45706.6041666667</v>
      </c>
      <c r="T267" s="84" t="s">
        <v>117</v>
      </c>
      <c r="U267" s="91">
        <v>45728.6771527778</v>
      </c>
      <c r="V267" s="91">
        <v>45729.4791666667</v>
      </c>
      <c r="W267" s="84" t="s">
        <v>115</v>
      </c>
      <c r="X267" s="91">
        <v>45745.8822106481</v>
      </c>
      <c r="Y267" s="91">
        <v>45744.8823263889</v>
      </c>
      <c r="Z267" s="83" t="s">
        <v>275</v>
      </c>
      <c r="AA267" s="91">
        <v>45801.6183333333</v>
      </c>
      <c r="AB267" s="91">
        <v>45812.7711111111</v>
      </c>
      <c r="AC267" s="84" t="s">
        <v>117</v>
      </c>
      <c r="AD267" s="91">
        <v>45989</v>
      </c>
      <c r="AE267" s="99">
        <v>45989.7890162037</v>
      </c>
    </row>
    <row r="268" s="63" customFormat="1" ht="14.4" customHeight="1" spans="1:31">
      <c r="A268" s="68">
        <v>267</v>
      </c>
      <c r="B268" s="69" t="s">
        <v>94</v>
      </c>
      <c r="C268" s="70" t="s">
        <v>274</v>
      </c>
      <c r="D268" s="84" t="s">
        <v>200</v>
      </c>
      <c r="E268" s="84" t="s">
        <v>115</v>
      </c>
      <c r="F268" s="91">
        <v>45829.8821643519</v>
      </c>
      <c r="G268" s="91">
        <v>45828.8822337963</v>
      </c>
      <c r="H268" s="86" t="s">
        <v>99</v>
      </c>
      <c r="I268" s="87">
        <v>12000</v>
      </c>
      <c r="J268" s="83" t="s">
        <v>116</v>
      </c>
      <c r="K268" s="88" t="s">
        <v>117</v>
      </c>
      <c r="L268" s="91">
        <v>45806.5877083333</v>
      </c>
      <c r="M268" s="91">
        <v>45812.7711111111</v>
      </c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5"/>
    </row>
    <row r="269" s="63" customFormat="1" ht="14.4" customHeight="1" spans="1:31">
      <c r="A269" s="68">
        <v>268</v>
      </c>
      <c r="B269" s="69" t="s">
        <v>94</v>
      </c>
      <c r="C269" s="70" t="s">
        <v>274</v>
      </c>
      <c r="D269" s="84" t="s">
        <v>201</v>
      </c>
      <c r="E269" s="84" t="s">
        <v>115</v>
      </c>
      <c r="F269" s="91">
        <v>46017.6341087963</v>
      </c>
      <c r="G269" s="91">
        <v>46015.6342476852</v>
      </c>
      <c r="H269" s="86" t="s">
        <v>99</v>
      </c>
      <c r="I269" s="87">
        <v>12000</v>
      </c>
      <c r="J269" s="83" t="s">
        <v>116</v>
      </c>
      <c r="K269" s="88" t="s">
        <v>117</v>
      </c>
      <c r="L269" s="91">
        <v>45806.5877083333</v>
      </c>
      <c r="M269" s="91">
        <v>45812.7711111111</v>
      </c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5"/>
    </row>
    <row r="270" s="63" customFormat="1" ht="14.4" customHeight="1" spans="1:31">
      <c r="A270" s="68">
        <v>269</v>
      </c>
      <c r="B270" s="69" t="s">
        <v>94</v>
      </c>
      <c r="C270" s="70" t="s">
        <v>274</v>
      </c>
      <c r="D270" s="84" t="s">
        <v>202</v>
      </c>
      <c r="E270" s="84" t="s">
        <v>115</v>
      </c>
      <c r="F270" s="91">
        <v>45896.7339467593</v>
      </c>
      <c r="G270" s="91">
        <v>45894.7340162037</v>
      </c>
      <c r="H270" s="86" t="s">
        <v>99</v>
      </c>
      <c r="I270" s="87">
        <v>12000</v>
      </c>
      <c r="J270" s="83" t="s">
        <v>116</v>
      </c>
      <c r="K270" s="84" t="s">
        <v>117</v>
      </c>
      <c r="L270" s="91">
        <v>45863.7133912037</v>
      </c>
      <c r="M270" s="91">
        <v>45867.7710300926</v>
      </c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5"/>
    </row>
    <row r="271" s="63" customFormat="1" ht="14.4" customHeight="1" spans="1:31">
      <c r="A271" s="68">
        <v>270</v>
      </c>
      <c r="B271" s="69" t="s">
        <v>94</v>
      </c>
      <c r="C271" s="70" t="s">
        <v>274</v>
      </c>
      <c r="D271" s="84" t="s">
        <v>203</v>
      </c>
      <c r="E271" s="84" t="s">
        <v>115</v>
      </c>
      <c r="F271" s="91">
        <v>45896.7371296296</v>
      </c>
      <c r="G271" s="91">
        <v>45894.7372106481</v>
      </c>
      <c r="H271" s="86" t="s">
        <v>99</v>
      </c>
      <c r="I271" s="87">
        <v>12000</v>
      </c>
      <c r="J271" s="83" t="s">
        <v>116</v>
      </c>
      <c r="K271" s="84" t="s">
        <v>117</v>
      </c>
      <c r="L271" s="91">
        <v>45863.7133912037</v>
      </c>
      <c r="M271" s="91">
        <v>45867.7710300926</v>
      </c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5"/>
    </row>
    <row r="272" s="63" customFormat="1" ht="14.4" customHeight="1" spans="1:31">
      <c r="A272" s="68">
        <v>271</v>
      </c>
      <c r="B272" s="69" t="s">
        <v>94</v>
      </c>
      <c r="C272" s="70" t="s">
        <v>274</v>
      </c>
      <c r="D272" s="84" t="s">
        <v>204</v>
      </c>
      <c r="E272" s="84" t="s">
        <v>115</v>
      </c>
      <c r="F272" s="91">
        <v>45896.7303356481</v>
      </c>
      <c r="G272" s="91">
        <v>45894.7312152778</v>
      </c>
      <c r="H272" s="86" t="s">
        <v>99</v>
      </c>
      <c r="I272" s="87">
        <v>12000</v>
      </c>
      <c r="J272" s="83" t="s">
        <v>116</v>
      </c>
      <c r="K272" s="84" t="s">
        <v>117</v>
      </c>
      <c r="L272" s="91">
        <v>45863.7133912037</v>
      </c>
      <c r="M272" s="91">
        <v>45867.7710300926</v>
      </c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5"/>
    </row>
    <row r="273" s="63" customFormat="1" ht="14.4" customHeight="1" spans="1:31">
      <c r="A273" s="68">
        <v>272</v>
      </c>
      <c r="B273" s="69" t="s">
        <v>94</v>
      </c>
      <c r="C273" s="70" t="s">
        <v>274</v>
      </c>
      <c r="D273" s="84" t="s">
        <v>205</v>
      </c>
      <c r="E273" s="84" t="s">
        <v>115</v>
      </c>
      <c r="F273" s="91">
        <v>45896.7303356481</v>
      </c>
      <c r="G273" s="91">
        <v>45894.7304166667</v>
      </c>
      <c r="H273" s="86" t="s">
        <v>99</v>
      </c>
      <c r="I273" s="87">
        <v>12000</v>
      </c>
      <c r="J273" s="83" t="s">
        <v>116</v>
      </c>
      <c r="K273" s="84" t="s">
        <v>117</v>
      </c>
      <c r="L273" s="91">
        <v>45863.7133912037</v>
      </c>
      <c r="M273" s="91">
        <v>45867.7710300926</v>
      </c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5"/>
    </row>
    <row r="274" s="63" customFormat="1" ht="14.4" customHeight="1" spans="1:31">
      <c r="A274" s="68">
        <v>273</v>
      </c>
      <c r="B274" s="69" t="s">
        <v>94</v>
      </c>
      <c r="C274" s="70" t="s">
        <v>274</v>
      </c>
      <c r="D274" s="84" t="s">
        <v>206</v>
      </c>
      <c r="E274" s="84" t="s">
        <v>115</v>
      </c>
      <c r="F274" s="91">
        <v>45746.783125</v>
      </c>
      <c r="G274" s="91">
        <v>45744.7832407407</v>
      </c>
      <c r="H274" s="79" t="s">
        <v>97</v>
      </c>
      <c r="I274" s="80">
        <v>16000</v>
      </c>
      <c r="J274" s="83" t="s">
        <v>116</v>
      </c>
      <c r="K274" s="88" t="s">
        <v>121</v>
      </c>
      <c r="L274" s="91">
        <v>45615.6205555556</v>
      </c>
      <c r="M274" s="91">
        <v>45617.4702430556</v>
      </c>
      <c r="N274" s="84" t="s">
        <v>120</v>
      </c>
      <c r="O274" s="91">
        <v>45621.8340277778</v>
      </c>
      <c r="P274" s="91">
        <v>45620.8341435185</v>
      </c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5"/>
    </row>
    <row r="275" s="63" customFormat="1" ht="14.4" customHeight="1" spans="1:31">
      <c r="A275" s="68">
        <v>274</v>
      </c>
      <c r="B275" s="69" t="s">
        <v>94</v>
      </c>
      <c r="C275" s="70" t="s">
        <v>274</v>
      </c>
      <c r="D275" s="84" t="s">
        <v>207</v>
      </c>
      <c r="E275" s="84" t="s">
        <v>115</v>
      </c>
      <c r="F275" s="91">
        <v>45746.7866666667</v>
      </c>
      <c r="G275" s="91">
        <v>45744.7867708333</v>
      </c>
      <c r="H275" s="86" t="s">
        <v>99</v>
      </c>
      <c r="I275" s="87">
        <v>12000</v>
      </c>
      <c r="J275" s="83" t="s">
        <v>116</v>
      </c>
      <c r="K275" s="88" t="s">
        <v>117</v>
      </c>
      <c r="L275" s="91">
        <v>45546.6550925926</v>
      </c>
      <c r="M275" s="91">
        <v>45604.7695949074</v>
      </c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5"/>
    </row>
    <row r="276" s="63" customFormat="1" ht="14.4" customHeight="1" spans="1:31">
      <c r="A276" s="68">
        <v>275</v>
      </c>
      <c r="B276" s="69" t="s">
        <v>94</v>
      </c>
      <c r="C276" s="70" t="s">
        <v>274</v>
      </c>
      <c r="D276" s="84" t="s">
        <v>208</v>
      </c>
      <c r="E276" s="84" t="s">
        <v>115</v>
      </c>
      <c r="F276" s="91">
        <v>45746.783125</v>
      </c>
      <c r="G276" s="91">
        <v>45744.7832407407</v>
      </c>
      <c r="H276" s="86" t="s">
        <v>99</v>
      </c>
      <c r="I276" s="87">
        <v>12000</v>
      </c>
      <c r="J276" s="83" t="s">
        <v>116</v>
      </c>
      <c r="K276" s="88" t="s">
        <v>117</v>
      </c>
      <c r="L276" s="91">
        <v>45546.655162037</v>
      </c>
      <c r="M276" s="91">
        <v>45604.7697222222</v>
      </c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5"/>
    </row>
    <row r="277" s="63" customFormat="1" ht="14.4" customHeight="1" spans="1:31">
      <c r="A277" s="68">
        <v>276</v>
      </c>
      <c r="B277" s="69" t="s">
        <v>94</v>
      </c>
      <c r="C277" s="70" t="s">
        <v>274</v>
      </c>
      <c r="D277" s="84" t="s">
        <v>209</v>
      </c>
      <c r="E277" s="84" t="s">
        <v>115</v>
      </c>
      <c r="F277" s="91">
        <v>45746.7798263889</v>
      </c>
      <c r="G277" s="91">
        <v>45744.7799305556</v>
      </c>
      <c r="H277" s="86" t="s">
        <v>99</v>
      </c>
      <c r="I277" s="87">
        <v>12000</v>
      </c>
      <c r="J277" s="83" t="s">
        <v>116</v>
      </c>
      <c r="K277" s="88" t="s">
        <v>117</v>
      </c>
      <c r="L277" s="91">
        <v>45546.6552314815</v>
      </c>
      <c r="M277" s="91">
        <v>45604.7698263889</v>
      </c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5"/>
    </row>
    <row r="278" s="63" customFormat="1" ht="14.4" customHeight="1" spans="1:31">
      <c r="A278" s="68">
        <v>277</v>
      </c>
      <c r="B278" s="69" t="s">
        <v>94</v>
      </c>
      <c r="C278" s="70" t="s">
        <v>274</v>
      </c>
      <c r="D278" s="84" t="s">
        <v>210</v>
      </c>
      <c r="E278" s="84" t="s">
        <v>115</v>
      </c>
      <c r="F278" s="91">
        <v>45746.7831481481</v>
      </c>
      <c r="G278" s="91">
        <v>45744.7832638889</v>
      </c>
      <c r="H278" s="86" t="s">
        <v>99</v>
      </c>
      <c r="I278" s="87">
        <v>12000</v>
      </c>
      <c r="J278" s="83" t="s">
        <v>116</v>
      </c>
      <c r="K278" s="88" t="s">
        <v>117</v>
      </c>
      <c r="L278" s="91">
        <v>45546.6552893519</v>
      </c>
      <c r="M278" s="91">
        <v>45604.7699305556</v>
      </c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5"/>
    </row>
    <row r="279" s="63" customFormat="1" ht="14.4" customHeight="1" spans="1:31">
      <c r="A279" s="68">
        <v>278</v>
      </c>
      <c r="B279" s="69" t="s">
        <v>94</v>
      </c>
      <c r="C279" s="70" t="s">
        <v>274</v>
      </c>
      <c r="D279" s="84" t="s">
        <v>211</v>
      </c>
      <c r="E279" s="84" t="s">
        <v>115</v>
      </c>
      <c r="F279" s="91">
        <v>45746.7831944444</v>
      </c>
      <c r="G279" s="91">
        <v>45744.7833101852</v>
      </c>
      <c r="H279" s="86" t="s">
        <v>99</v>
      </c>
      <c r="I279" s="87">
        <v>12000</v>
      </c>
      <c r="J279" s="83" t="s">
        <v>116</v>
      </c>
      <c r="K279" s="88" t="s">
        <v>117</v>
      </c>
      <c r="L279" s="91">
        <v>45546.6550925926</v>
      </c>
      <c r="M279" s="91">
        <v>45604.7695949074</v>
      </c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5"/>
    </row>
    <row r="280" s="63" customFormat="1" ht="14.4" customHeight="1" spans="1:31">
      <c r="A280" s="68">
        <v>279</v>
      </c>
      <c r="B280" s="69" t="s">
        <v>94</v>
      </c>
      <c r="C280" s="70" t="s">
        <v>274</v>
      </c>
      <c r="D280" s="84" t="s">
        <v>212</v>
      </c>
      <c r="E280" s="84" t="s">
        <v>115</v>
      </c>
      <c r="F280" s="91">
        <v>45633.6700578704</v>
      </c>
      <c r="G280" s="91">
        <v>45631.6701736111</v>
      </c>
      <c r="H280" s="86" t="s">
        <v>99</v>
      </c>
      <c r="I280" s="87">
        <v>12000</v>
      </c>
      <c r="J280" s="83" t="s">
        <v>116</v>
      </c>
      <c r="K280" s="88" t="s">
        <v>117</v>
      </c>
      <c r="L280" s="91">
        <v>45546.6550925926</v>
      </c>
      <c r="M280" s="91">
        <v>45604.7695949074</v>
      </c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5"/>
    </row>
    <row r="281" s="63" customFormat="1" ht="14.4" customHeight="1" spans="1:31">
      <c r="A281" s="68">
        <v>280</v>
      </c>
      <c r="B281" s="69" t="s">
        <v>94</v>
      </c>
      <c r="C281" s="70" t="s">
        <v>274</v>
      </c>
      <c r="D281" s="84" t="s">
        <v>213</v>
      </c>
      <c r="E281" s="84" t="s">
        <v>115</v>
      </c>
      <c r="F281" s="91">
        <v>45633.6700578704</v>
      </c>
      <c r="G281" s="91">
        <v>45631.6701736111</v>
      </c>
      <c r="H281" s="86" t="s">
        <v>99</v>
      </c>
      <c r="I281" s="87">
        <v>12000</v>
      </c>
      <c r="J281" s="83" t="s">
        <v>116</v>
      </c>
      <c r="K281" s="88" t="s">
        <v>117</v>
      </c>
      <c r="L281" s="91">
        <v>45546.6550925926</v>
      </c>
      <c r="M281" s="91">
        <v>45604.7695949074</v>
      </c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5"/>
    </row>
    <row r="282" s="63" customFormat="1" ht="14.4" customHeight="1" spans="1:31">
      <c r="A282" s="68">
        <v>281</v>
      </c>
      <c r="B282" s="69" t="s">
        <v>94</v>
      </c>
      <c r="C282" s="70" t="s">
        <v>274</v>
      </c>
      <c r="D282" s="84" t="s">
        <v>214</v>
      </c>
      <c r="E282" s="84" t="s">
        <v>115</v>
      </c>
      <c r="F282" s="91">
        <v>45633.6701157407</v>
      </c>
      <c r="G282" s="91">
        <v>45631.6702199074</v>
      </c>
      <c r="H282" s="86" t="s">
        <v>99</v>
      </c>
      <c r="I282" s="87">
        <v>12000</v>
      </c>
      <c r="J282" s="83" t="s">
        <v>116</v>
      </c>
      <c r="K282" s="88" t="s">
        <v>117</v>
      </c>
      <c r="L282" s="91">
        <v>45546.6550925926</v>
      </c>
      <c r="M282" s="91">
        <v>45604.7695949074</v>
      </c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5"/>
    </row>
    <row r="283" s="63" customFormat="1" ht="14.4" customHeight="1" spans="1:31">
      <c r="A283" s="68">
        <v>282</v>
      </c>
      <c r="B283" s="69" t="s">
        <v>94</v>
      </c>
      <c r="C283" s="70" t="s">
        <v>274</v>
      </c>
      <c r="D283" s="84" t="s">
        <v>215</v>
      </c>
      <c r="E283" s="84" t="s">
        <v>115</v>
      </c>
      <c r="F283" s="91">
        <v>45633.6700578704</v>
      </c>
      <c r="G283" s="91">
        <v>45631.6701736111</v>
      </c>
      <c r="H283" s="86" t="s">
        <v>99</v>
      </c>
      <c r="I283" s="87">
        <v>12000</v>
      </c>
      <c r="J283" s="83" t="s">
        <v>116</v>
      </c>
      <c r="K283" s="88" t="s">
        <v>117</v>
      </c>
      <c r="L283" s="91">
        <v>45546.6550925926</v>
      </c>
      <c r="M283" s="91">
        <v>45604.7695949074</v>
      </c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5"/>
    </row>
    <row r="284" s="63" customFormat="1" ht="14.4" customHeight="1" spans="1:31">
      <c r="A284" s="68">
        <v>283</v>
      </c>
      <c r="B284" s="69" t="s">
        <v>94</v>
      </c>
      <c r="C284" s="70" t="s">
        <v>274</v>
      </c>
      <c r="D284" s="84" t="s">
        <v>216</v>
      </c>
      <c r="E284" s="84" t="s">
        <v>115</v>
      </c>
      <c r="F284" s="91">
        <v>45745.8822106481</v>
      </c>
      <c r="G284" s="91">
        <v>45744.8823263889</v>
      </c>
      <c r="H284" s="86" t="s">
        <v>99</v>
      </c>
      <c r="I284" s="87">
        <v>12000</v>
      </c>
      <c r="J284" s="83" t="s">
        <v>116</v>
      </c>
      <c r="K284" s="88" t="s">
        <v>121</v>
      </c>
      <c r="L284" s="91">
        <v>45617.7026851852</v>
      </c>
      <c r="M284" s="91">
        <v>45618.6302893519</v>
      </c>
      <c r="N284" s="84" t="s">
        <v>120</v>
      </c>
      <c r="O284" s="91">
        <v>45621.8340277778</v>
      </c>
      <c r="P284" s="91">
        <v>45620.8341435185</v>
      </c>
      <c r="Q284" s="84" t="s">
        <v>138</v>
      </c>
      <c r="R284" s="91">
        <v>45706.75</v>
      </c>
      <c r="S284" s="91">
        <v>45706.6041666667</v>
      </c>
      <c r="T284" s="84" t="s">
        <v>117</v>
      </c>
      <c r="U284" s="91">
        <v>45728.6771527778</v>
      </c>
      <c r="V284" s="91">
        <v>45729.4791666667</v>
      </c>
      <c r="W284" s="84"/>
      <c r="X284" s="84"/>
      <c r="Y284" s="84"/>
      <c r="Z284" s="84"/>
      <c r="AA284" s="84"/>
      <c r="AB284" s="84"/>
      <c r="AC284" s="84"/>
      <c r="AD284" s="84"/>
      <c r="AE284" s="85"/>
    </row>
    <row r="285" s="63" customFormat="1" ht="14.4" customHeight="1" spans="1:31">
      <c r="A285" s="68">
        <v>284</v>
      </c>
      <c r="B285" s="69" t="s">
        <v>94</v>
      </c>
      <c r="C285" s="70" t="s">
        <v>274</v>
      </c>
      <c r="D285" s="84" t="s">
        <v>217</v>
      </c>
      <c r="E285" s="84" t="s">
        <v>115</v>
      </c>
      <c r="F285" s="91">
        <v>45829.8821643519</v>
      </c>
      <c r="G285" s="91">
        <v>45828.8822337963</v>
      </c>
      <c r="H285" s="86" t="s">
        <v>99</v>
      </c>
      <c r="I285" s="87">
        <v>12000</v>
      </c>
      <c r="J285" s="83" t="s">
        <v>116</v>
      </c>
      <c r="K285" s="88" t="s">
        <v>117</v>
      </c>
      <c r="L285" s="91">
        <v>45806.5877083333</v>
      </c>
      <c r="M285" s="91">
        <v>45812.7711111111</v>
      </c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5"/>
    </row>
    <row r="286" s="63" customFormat="1" ht="14.4" customHeight="1" spans="1:31">
      <c r="A286" s="68">
        <v>285</v>
      </c>
      <c r="B286" s="69" t="s">
        <v>94</v>
      </c>
      <c r="C286" s="70" t="s">
        <v>274</v>
      </c>
      <c r="D286" s="84" t="s">
        <v>218</v>
      </c>
      <c r="E286" s="84" t="s">
        <v>115</v>
      </c>
      <c r="F286" s="91">
        <v>45829.8821643519</v>
      </c>
      <c r="G286" s="91">
        <v>45828.8822337963</v>
      </c>
      <c r="H286" s="86" t="s">
        <v>99</v>
      </c>
      <c r="I286" s="87">
        <v>12000</v>
      </c>
      <c r="J286" s="83" t="s">
        <v>116</v>
      </c>
      <c r="K286" s="88" t="s">
        <v>117</v>
      </c>
      <c r="L286" s="91">
        <v>45806.5877083333</v>
      </c>
      <c r="M286" s="91">
        <v>45812.7711111111</v>
      </c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5"/>
    </row>
    <row r="287" s="63" customFormat="1" ht="14.4" customHeight="1" spans="1:31">
      <c r="A287" s="68">
        <v>286</v>
      </c>
      <c r="B287" s="69" t="s">
        <v>94</v>
      </c>
      <c r="C287" s="70" t="s">
        <v>274</v>
      </c>
      <c r="D287" s="84" t="s">
        <v>219</v>
      </c>
      <c r="E287" s="84" t="s">
        <v>115</v>
      </c>
      <c r="F287" s="91">
        <v>45896.7339467593</v>
      </c>
      <c r="G287" s="91">
        <v>45894.7340162037</v>
      </c>
      <c r="H287" s="86" t="s">
        <v>99</v>
      </c>
      <c r="I287" s="87">
        <v>12000</v>
      </c>
      <c r="J287" s="83" t="s">
        <v>116</v>
      </c>
      <c r="K287" s="84" t="s">
        <v>117</v>
      </c>
      <c r="L287" s="91">
        <v>45863.7133912037</v>
      </c>
      <c r="M287" s="91">
        <v>45867.7710300926</v>
      </c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5"/>
    </row>
    <row r="288" s="63" customFormat="1" ht="14.4" customHeight="1" spans="1:31">
      <c r="A288" s="68">
        <v>287</v>
      </c>
      <c r="B288" s="69" t="s">
        <v>94</v>
      </c>
      <c r="C288" s="70" t="s">
        <v>274</v>
      </c>
      <c r="D288" s="84" t="s">
        <v>220</v>
      </c>
      <c r="E288" s="84" t="s">
        <v>115</v>
      </c>
      <c r="F288" s="91">
        <v>45896.733912037</v>
      </c>
      <c r="G288" s="91">
        <v>45894.7339930556</v>
      </c>
      <c r="H288" s="86" t="s">
        <v>99</v>
      </c>
      <c r="I288" s="87">
        <v>12000</v>
      </c>
      <c r="J288" s="83" t="s">
        <v>116</v>
      </c>
      <c r="K288" s="84" t="s">
        <v>117</v>
      </c>
      <c r="L288" s="91">
        <v>45863.7133912037</v>
      </c>
      <c r="M288" s="91">
        <v>45867.7710300926</v>
      </c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5"/>
    </row>
    <row r="289" s="63" customFormat="1" ht="14.4" customHeight="1" spans="1:31">
      <c r="A289" s="68">
        <v>288</v>
      </c>
      <c r="B289" s="69" t="s">
        <v>94</v>
      </c>
      <c r="C289" s="70" t="s">
        <v>274</v>
      </c>
      <c r="D289" s="84" t="s">
        <v>221</v>
      </c>
      <c r="E289" s="88"/>
      <c r="F289" s="84"/>
      <c r="G289" s="84"/>
      <c r="H289" s="86" t="s">
        <v>99</v>
      </c>
      <c r="I289" s="87">
        <v>12000</v>
      </c>
      <c r="J289" s="83" t="s">
        <v>116</v>
      </c>
      <c r="K289" s="89"/>
      <c r="L289" s="90"/>
      <c r="M289" s="82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5"/>
    </row>
    <row r="290" s="63" customFormat="1" ht="14.4" customHeight="1" spans="1:31">
      <c r="A290" s="68">
        <v>289</v>
      </c>
      <c r="B290" s="69" t="s">
        <v>94</v>
      </c>
      <c r="C290" s="70" t="s">
        <v>274</v>
      </c>
      <c r="D290" s="84" t="s">
        <v>222</v>
      </c>
      <c r="E290" s="88" t="s">
        <v>121</v>
      </c>
      <c r="F290" s="91">
        <v>45611.5759953704</v>
      </c>
      <c r="G290" s="91">
        <v>45611.7244907407</v>
      </c>
      <c r="H290" s="79" t="s">
        <v>97</v>
      </c>
      <c r="I290" s="80">
        <v>16000</v>
      </c>
      <c r="J290" s="83" t="s">
        <v>116</v>
      </c>
      <c r="K290" s="89"/>
      <c r="L290" s="90"/>
      <c r="M290" s="82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5"/>
    </row>
    <row r="291" s="63" customFormat="1" ht="14.4" customHeight="1" spans="1:31">
      <c r="A291" s="68">
        <v>290</v>
      </c>
      <c r="B291" s="69" t="s">
        <v>94</v>
      </c>
      <c r="C291" s="70" t="s">
        <v>274</v>
      </c>
      <c r="D291" s="84" t="s">
        <v>223</v>
      </c>
      <c r="E291" s="84" t="s">
        <v>115</v>
      </c>
      <c r="F291" s="91">
        <v>45746.7796643519</v>
      </c>
      <c r="G291" s="91">
        <v>45744.7797685185</v>
      </c>
      <c r="H291" s="86" t="s">
        <v>99</v>
      </c>
      <c r="I291" s="87">
        <v>12000</v>
      </c>
      <c r="J291" s="83" t="s">
        <v>116</v>
      </c>
      <c r="K291" s="88" t="s">
        <v>117</v>
      </c>
      <c r="L291" s="91">
        <v>45546.6556481481</v>
      </c>
      <c r="M291" s="91">
        <v>45604.7726851852</v>
      </c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5"/>
    </row>
    <row r="292" s="63" customFormat="1" ht="14.4" customHeight="1" spans="1:31">
      <c r="A292" s="68">
        <v>291</v>
      </c>
      <c r="B292" s="69" t="s">
        <v>94</v>
      </c>
      <c r="C292" s="70" t="s">
        <v>274</v>
      </c>
      <c r="D292" s="84" t="s">
        <v>224</v>
      </c>
      <c r="E292" s="84" t="s">
        <v>115</v>
      </c>
      <c r="F292" s="91">
        <v>45746.7796643519</v>
      </c>
      <c r="G292" s="91">
        <v>45744.7797685185</v>
      </c>
      <c r="H292" s="86" t="s">
        <v>99</v>
      </c>
      <c r="I292" s="87">
        <v>12000</v>
      </c>
      <c r="J292" s="83" t="s">
        <v>116</v>
      </c>
      <c r="K292" s="88" t="s">
        <v>117</v>
      </c>
      <c r="L292" s="91">
        <v>45604.6747800926</v>
      </c>
      <c r="M292" s="91">
        <v>45609.7245601852</v>
      </c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5"/>
    </row>
    <row r="293" s="63" customFormat="1" ht="14.4" customHeight="1" spans="1:31">
      <c r="A293" s="68">
        <v>292</v>
      </c>
      <c r="B293" s="69" t="s">
        <v>94</v>
      </c>
      <c r="C293" s="70" t="s">
        <v>274</v>
      </c>
      <c r="D293" s="84" t="s">
        <v>225</v>
      </c>
      <c r="E293" s="84" t="s">
        <v>115</v>
      </c>
      <c r="F293" s="91">
        <v>45746.7796643519</v>
      </c>
      <c r="G293" s="91">
        <v>45744.7797685185</v>
      </c>
      <c r="H293" s="86" t="s">
        <v>99</v>
      </c>
      <c r="I293" s="87">
        <v>12000</v>
      </c>
      <c r="J293" s="83" t="s">
        <v>116</v>
      </c>
      <c r="K293" s="88" t="s">
        <v>117</v>
      </c>
      <c r="L293" s="91">
        <v>45546.655787037</v>
      </c>
      <c r="M293" s="91">
        <v>45604.7728009259</v>
      </c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5"/>
    </row>
    <row r="294" s="63" customFormat="1" ht="14.4" customHeight="1" spans="1:31">
      <c r="A294" s="68">
        <v>293</v>
      </c>
      <c r="B294" s="69" t="s">
        <v>94</v>
      </c>
      <c r="C294" s="70" t="s">
        <v>274</v>
      </c>
      <c r="D294" s="84" t="s">
        <v>226</v>
      </c>
      <c r="E294" s="84" t="s">
        <v>115</v>
      </c>
      <c r="F294" s="91">
        <v>45746.7796990741</v>
      </c>
      <c r="G294" s="91">
        <v>45744.7798032407</v>
      </c>
      <c r="H294" s="86" t="s">
        <v>99</v>
      </c>
      <c r="I294" s="87">
        <v>12000</v>
      </c>
      <c r="J294" s="83" t="s">
        <v>116</v>
      </c>
      <c r="K294" s="88" t="s">
        <v>117</v>
      </c>
      <c r="L294" s="91">
        <v>45546.655787037</v>
      </c>
      <c r="M294" s="91">
        <v>45604.7728009259</v>
      </c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5"/>
    </row>
    <row r="295" s="63" customFormat="1" ht="14.4" customHeight="1" spans="1:31">
      <c r="A295" s="68">
        <v>294</v>
      </c>
      <c r="B295" s="69" t="s">
        <v>94</v>
      </c>
      <c r="C295" s="70" t="s">
        <v>274</v>
      </c>
      <c r="D295" s="84" t="s">
        <v>227</v>
      </c>
      <c r="E295" s="84" t="s">
        <v>115</v>
      </c>
      <c r="F295" s="91">
        <v>45633.6737152778</v>
      </c>
      <c r="G295" s="91">
        <v>45631.6738310185</v>
      </c>
      <c r="H295" s="86" t="s">
        <v>99</v>
      </c>
      <c r="I295" s="87">
        <v>12000</v>
      </c>
      <c r="J295" s="83" t="s">
        <v>116</v>
      </c>
      <c r="K295" s="88" t="s">
        <v>117</v>
      </c>
      <c r="L295" s="91">
        <v>45546.655787037</v>
      </c>
      <c r="M295" s="91">
        <v>45604.7728009259</v>
      </c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5"/>
    </row>
    <row r="296" s="63" customFormat="1" ht="14.4" customHeight="1" spans="1:31">
      <c r="A296" s="68">
        <v>295</v>
      </c>
      <c r="B296" s="69" t="s">
        <v>94</v>
      </c>
      <c r="C296" s="70" t="s">
        <v>274</v>
      </c>
      <c r="D296" s="84" t="s">
        <v>228</v>
      </c>
      <c r="E296" s="84" t="s">
        <v>115</v>
      </c>
      <c r="F296" s="91">
        <v>45633.6737152778</v>
      </c>
      <c r="G296" s="91">
        <v>45631.6738310185</v>
      </c>
      <c r="H296" s="86" t="s">
        <v>99</v>
      </c>
      <c r="I296" s="87">
        <v>12000</v>
      </c>
      <c r="J296" s="83" t="s">
        <v>116</v>
      </c>
      <c r="K296" s="88" t="s">
        <v>117</v>
      </c>
      <c r="L296" s="91">
        <v>45546.655787037</v>
      </c>
      <c r="M296" s="91">
        <v>45604.7728009259</v>
      </c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5"/>
    </row>
    <row r="297" s="63" customFormat="1" ht="14.4" customHeight="1" spans="1:31">
      <c r="A297" s="68">
        <v>296</v>
      </c>
      <c r="B297" s="69" t="s">
        <v>94</v>
      </c>
      <c r="C297" s="70" t="s">
        <v>274</v>
      </c>
      <c r="D297" s="84" t="s">
        <v>229</v>
      </c>
      <c r="E297" s="84" t="s">
        <v>115</v>
      </c>
      <c r="F297" s="91">
        <v>45633.6736805556</v>
      </c>
      <c r="G297" s="91">
        <v>45631.6737847222</v>
      </c>
      <c r="H297" s="86" t="s">
        <v>99</v>
      </c>
      <c r="I297" s="87">
        <v>12000</v>
      </c>
      <c r="J297" s="83" t="s">
        <v>116</v>
      </c>
      <c r="K297" s="88" t="s">
        <v>117</v>
      </c>
      <c r="L297" s="91">
        <v>45546.655787037</v>
      </c>
      <c r="M297" s="91">
        <v>45604.7728009259</v>
      </c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5"/>
    </row>
    <row r="298" s="63" customFormat="1" ht="14.4" customHeight="1" spans="1:31">
      <c r="A298" s="68">
        <v>297</v>
      </c>
      <c r="B298" s="69" t="s">
        <v>94</v>
      </c>
      <c r="C298" s="70" t="s">
        <v>274</v>
      </c>
      <c r="D298" s="84" t="s">
        <v>230</v>
      </c>
      <c r="E298" s="84" t="s">
        <v>115</v>
      </c>
      <c r="F298" s="91">
        <v>45633.6736805556</v>
      </c>
      <c r="G298" s="91">
        <v>45631.6737847222</v>
      </c>
      <c r="H298" s="86" t="s">
        <v>99</v>
      </c>
      <c r="I298" s="87">
        <v>12000</v>
      </c>
      <c r="J298" s="83" t="s">
        <v>116</v>
      </c>
      <c r="K298" s="88" t="s">
        <v>117</v>
      </c>
      <c r="L298" s="91">
        <v>45546.6568055556</v>
      </c>
      <c r="M298" s="91">
        <v>45604.7734953704</v>
      </c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5"/>
    </row>
    <row r="299" s="63" customFormat="1" ht="14.4" customHeight="1" spans="1:31">
      <c r="A299" s="68">
        <v>298</v>
      </c>
      <c r="B299" s="69" t="s">
        <v>94</v>
      </c>
      <c r="C299" s="70" t="s">
        <v>274</v>
      </c>
      <c r="D299" s="84" t="s">
        <v>231</v>
      </c>
      <c r="E299" s="84" t="s">
        <v>115</v>
      </c>
      <c r="F299" s="91">
        <v>45633.6736805556</v>
      </c>
      <c r="G299" s="91">
        <v>45631.6737847222</v>
      </c>
      <c r="H299" s="86" t="s">
        <v>99</v>
      </c>
      <c r="I299" s="87">
        <v>12000</v>
      </c>
      <c r="J299" s="83" t="s">
        <v>116</v>
      </c>
      <c r="K299" s="88" t="s">
        <v>117</v>
      </c>
      <c r="L299" s="91">
        <v>45546.6568055556</v>
      </c>
      <c r="M299" s="91">
        <v>45604.7734953704</v>
      </c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5"/>
    </row>
    <row r="300" s="63" customFormat="1" ht="14.4" customHeight="1" spans="1:31">
      <c r="A300" s="68">
        <v>299</v>
      </c>
      <c r="B300" s="69" t="s">
        <v>94</v>
      </c>
      <c r="C300" s="70" t="s">
        <v>274</v>
      </c>
      <c r="D300" s="84" t="s">
        <v>232</v>
      </c>
      <c r="E300" s="84" t="s">
        <v>115</v>
      </c>
      <c r="F300" s="91">
        <v>45633.6736805556</v>
      </c>
      <c r="G300" s="91">
        <v>45631.6737847222</v>
      </c>
      <c r="H300" s="86" t="s">
        <v>99</v>
      </c>
      <c r="I300" s="87">
        <v>12000</v>
      </c>
      <c r="J300" s="83" t="s">
        <v>116</v>
      </c>
      <c r="K300" s="88" t="s">
        <v>117</v>
      </c>
      <c r="L300" s="91">
        <v>45617.6062962963</v>
      </c>
      <c r="M300" s="91">
        <v>45618.6303819444</v>
      </c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5"/>
    </row>
    <row r="301" s="63" customFormat="1" ht="14.4" customHeight="1" spans="1:31">
      <c r="A301" s="68">
        <v>300</v>
      </c>
      <c r="B301" s="69" t="s">
        <v>94</v>
      </c>
      <c r="C301" s="70" t="s">
        <v>274</v>
      </c>
      <c r="D301" s="84" t="s">
        <v>233</v>
      </c>
      <c r="E301" s="84" t="s">
        <v>115</v>
      </c>
      <c r="F301" s="91">
        <v>45993.8821875</v>
      </c>
      <c r="G301" s="91">
        <v>45992.8823263889</v>
      </c>
      <c r="H301" s="86" t="s">
        <v>99</v>
      </c>
      <c r="I301" s="87">
        <v>12000</v>
      </c>
      <c r="J301" s="83" t="s">
        <v>116</v>
      </c>
      <c r="K301" s="88" t="s">
        <v>121</v>
      </c>
      <c r="L301" s="91">
        <v>45617.7028819444</v>
      </c>
      <c r="M301" s="91">
        <v>45618.630462963</v>
      </c>
      <c r="N301" s="84" t="s">
        <v>120</v>
      </c>
      <c r="O301" s="91">
        <v>45621.8340277778</v>
      </c>
      <c r="P301" s="91">
        <v>45620.8341435185</v>
      </c>
      <c r="Q301" s="84" t="s">
        <v>138</v>
      </c>
      <c r="R301" s="91">
        <v>45706.75</v>
      </c>
      <c r="S301" s="91">
        <v>45706.6041666667</v>
      </c>
      <c r="T301" s="84" t="s">
        <v>117</v>
      </c>
      <c r="U301" s="91">
        <v>45728.6771527778</v>
      </c>
      <c r="V301" s="91">
        <v>45729.4791666667</v>
      </c>
      <c r="W301" s="84" t="s">
        <v>115</v>
      </c>
      <c r="X301" s="91">
        <v>45746.8821990741</v>
      </c>
      <c r="Y301" s="91">
        <v>45745.8823032407</v>
      </c>
      <c r="Z301" s="83" t="s">
        <v>275</v>
      </c>
      <c r="AA301" s="91">
        <v>45860.3834490741</v>
      </c>
      <c r="AB301" s="91">
        <v>45860.7709490741</v>
      </c>
      <c r="AC301" s="84" t="s">
        <v>117</v>
      </c>
      <c r="AD301" s="91">
        <v>45989</v>
      </c>
      <c r="AE301" s="99">
        <v>45989.7895601852</v>
      </c>
    </row>
    <row r="302" s="63" customFormat="1" ht="14.4" customHeight="1" spans="1:31">
      <c r="A302" s="68">
        <v>301</v>
      </c>
      <c r="B302" s="69" t="s">
        <v>94</v>
      </c>
      <c r="C302" s="70" t="s">
        <v>274</v>
      </c>
      <c r="D302" s="84" t="s">
        <v>234</v>
      </c>
      <c r="E302" s="84" t="s">
        <v>115</v>
      </c>
      <c r="F302" s="91">
        <v>45830.8822106481</v>
      </c>
      <c r="G302" s="91">
        <v>45829.8822800926</v>
      </c>
      <c r="H302" s="86" t="s">
        <v>99</v>
      </c>
      <c r="I302" s="87">
        <v>12000</v>
      </c>
      <c r="J302" s="83" t="s">
        <v>116</v>
      </c>
      <c r="K302" s="88" t="s">
        <v>117</v>
      </c>
      <c r="L302" s="91">
        <v>45806.5877083333</v>
      </c>
      <c r="M302" s="91">
        <v>45812.7711111111</v>
      </c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5"/>
    </row>
    <row r="303" s="63" customFormat="1" ht="14.4" customHeight="1" spans="1:31">
      <c r="A303" s="68">
        <v>302</v>
      </c>
      <c r="B303" s="69" t="s">
        <v>94</v>
      </c>
      <c r="C303" s="70" t="s">
        <v>274</v>
      </c>
      <c r="D303" s="84" t="s">
        <v>235</v>
      </c>
      <c r="E303" s="84" t="s">
        <v>115</v>
      </c>
      <c r="F303" s="91">
        <v>45830.8822106481</v>
      </c>
      <c r="G303" s="91">
        <v>45829.8822800926</v>
      </c>
      <c r="H303" s="86" t="s">
        <v>99</v>
      </c>
      <c r="I303" s="87">
        <v>12000</v>
      </c>
      <c r="J303" s="83" t="s">
        <v>116</v>
      </c>
      <c r="K303" s="88" t="s">
        <v>117</v>
      </c>
      <c r="L303" s="91">
        <v>45806.5877083333</v>
      </c>
      <c r="M303" s="91">
        <v>45812.7711111111</v>
      </c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5"/>
    </row>
    <row r="304" s="63" customFormat="1" ht="14.4" customHeight="1" spans="1:31">
      <c r="A304" s="68">
        <v>303</v>
      </c>
      <c r="B304" s="69" t="s">
        <v>94</v>
      </c>
      <c r="C304" s="70" t="s">
        <v>274</v>
      </c>
      <c r="D304" s="84" t="s">
        <v>236</v>
      </c>
      <c r="E304" s="84" t="s">
        <v>115</v>
      </c>
      <c r="F304" s="91">
        <v>45877.8821875</v>
      </c>
      <c r="G304" s="91">
        <v>45876.8822685185</v>
      </c>
      <c r="H304" s="86" t="s">
        <v>99</v>
      </c>
      <c r="I304" s="87">
        <v>12000</v>
      </c>
      <c r="J304" s="83" t="s">
        <v>116</v>
      </c>
      <c r="K304" s="84" t="s">
        <v>117</v>
      </c>
      <c r="L304" s="91">
        <v>45863.7133912037</v>
      </c>
      <c r="M304" s="91">
        <v>45867.7710300926</v>
      </c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5"/>
    </row>
    <row r="305" s="63" customFormat="1" ht="14.4" customHeight="1" spans="1:31">
      <c r="A305" s="68">
        <v>304</v>
      </c>
      <c r="B305" s="69" t="s">
        <v>94</v>
      </c>
      <c r="C305" s="70" t="s">
        <v>274</v>
      </c>
      <c r="D305" s="84" t="s">
        <v>237</v>
      </c>
      <c r="E305" s="84" t="s">
        <v>115</v>
      </c>
      <c r="F305" s="91">
        <v>45877.8821875</v>
      </c>
      <c r="G305" s="91">
        <v>45876.8822685185</v>
      </c>
      <c r="H305" s="86" t="s">
        <v>99</v>
      </c>
      <c r="I305" s="87">
        <v>12000</v>
      </c>
      <c r="J305" s="83" t="s">
        <v>116</v>
      </c>
      <c r="K305" s="84" t="s">
        <v>117</v>
      </c>
      <c r="L305" s="91">
        <v>45863.7133912037</v>
      </c>
      <c r="M305" s="91">
        <v>45867.7710300926</v>
      </c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5"/>
    </row>
    <row r="306" s="63" customFormat="1" ht="14.4" customHeight="1" spans="1:31">
      <c r="A306" s="68">
        <v>305</v>
      </c>
      <c r="B306" s="69" t="s">
        <v>94</v>
      </c>
      <c r="C306" s="70" t="s">
        <v>274</v>
      </c>
      <c r="D306" s="84" t="s">
        <v>238</v>
      </c>
      <c r="E306" s="84" t="s">
        <v>115</v>
      </c>
      <c r="F306" s="91">
        <v>45896.7405787037</v>
      </c>
      <c r="G306" s="91">
        <v>45894.7406597222</v>
      </c>
      <c r="H306" s="86" t="s">
        <v>99</v>
      </c>
      <c r="I306" s="87">
        <v>12000</v>
      </c>
      <c r="J306" s="83" t="s">
        <v>116</v>
      </c>
      <c r="K306" s="84" t="s">
        <v>117</v>
      </c>
      <c r="L306" s="91">
        <v>45863.7133912037</v>
      </c>
      <c r="M306" s="91">
        <v>45867.7710300926</v>
      </c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5"/>
    </row>
    <row r="307" s="63" customFormat="1" ht="14.4" customHeight="1" spans="1:31">
      <c r="A307" s="68">
        <v>306</v>
      </c>
      <c r="B307" s="69" t="s">
        <v>94</v>
      </c>
      <c r="C307" s="70" t="s">
        <v>274</v>
      </c>
      <c r="D307" s="84" t="s">
        <v>239</v>
      </c>
      <c r="E307" s="84" t="s">
        <v>115</v>
      </c>
      <c r="F307" s="91">
        <v>45896.7411921296</v>
      </c>
      <c r="G307" s="91">
        <v>45894.7412615741</v>
      </c>
      <c r="H307" s="86" t="s">
        <v>99</v>
      </c>
      <c r="I307" s="87">
        <v>12000</v>
      </c>
      <c r="J307" s="83" t="s">
        <v>116</v>
      </c>
      <c r="K307" s="84" t="s">
        <v>117</v>
      </c>
      <c r="L307" s="91">
        <v>45863.7133912037</v>
      </c>
      <c r="M307" s="91">
        <v>45867.7710300926</v>
      </c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5"/>
    </row>
    <row r="308" s="63" customFormat="1" ht="14.4" customHeight="1" spans="1:31">
      <c r="A308" s="68">
        <v>307</v>
      </c>
      <c r="B308" s="69" t="s">
        <v>94</v>
      </c>
      <c r="C308" s="70" t="s">
        <v>274</v>
      </c>
      <c r="D308" s="84" t="s">
        <v>240</v>
      </c>
      <c r="E308" s="84" t="s">
        <v>115</v>
      </c>
      <c r="F308" s="91">
        <v>45746.7655902778</v>
      </c>
      <c r="G308" s="91">
        <v>45744.7656944444</v>
      </c>
      <c r="H308" s="79" t="s">
        <v>97</v>
      </c>
      <c r="I308" s="80">
        <v>16000</v>
      </c>
      <c r="J308" s="83" t="s">
        <v>116</v>
      </c>
      <c r="K308" s="88" t="s">
        <v>121</v>
      </c>
      <c r="L308" s="91">
        <v>45615.6207986111</v>
      </c>
      <c r="M308" s="91">
        <v>45617.4703935185</v>
      </c>
      <c r="N308" s="84" t="s">
        <v>120</v>
      </c>
      <c r="O308" s="91">
        <v>45621.8340277778</v>
      </c>
      <c r="P308" s="91">
        <v>45620.8341435185</v>
      </c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5"/>
    </row>
    <row r="309" s="63" customFormat="1" ht="14.4" customHeight="1" spans="1:31">
      <c r="A309" s="68">
        <v>308</v>
      </c>
      <c r="B309" s="69" t="s">
        <v>94</v>
      </c>
      <c r="C309" s="70" t="s">
        <v>274</v>
      </c>
      <c r="D309" s="84" t="s">
        <v>241</v>
      </c>
      <c r="E309" s="84" t="s">
        <v>115</v>
      </c>
      <c r="F309" s="91">
        <v>45739.7871412037</v>
      </c>
      <c r="G309" s="91">
        <v>45737.7872569444</v>
      </c>
      <c r="H309" s="86" t="s">
        <v>99</v>
      </c>
      <c r="I309" s="87">
        <v>12000</v>
      </c>
      <c r="J309" s="83" t="s">
        <v>116</v>
      </c>
      <c r="K309" s="88" t="s">
        <v>117</v>
      </c>
      <c r="L309" s="91">
        <v>45546.6578240741</v>
      </c>
      <c r="M309" s="91">
        <v>45604.7743634259</v>
      </c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5"/>
    </row>
    <row r="310" s="63" customFormat="1" ht="14.4" customHeight="1" spans="1:31">
      <c r="A310" s="68">
        <v>309</v>
      </c>
      <c r="B310" s="69" t="s">
        <v>94</v>
      </c>
      <c r="C310" s="70" t="s">
        <v>274</v>
      </c>
      <c r="D310" s="84" t="s">
        <v>242</v>
      </c>
      <c r="E310" s="84" t="s">
        <v>115</v>
      </c>
      <c r="F310" s="91">
        <v>45739.7801851852</v>
      </c>
      <c r="G310" s="91">
        <v>45737.7803356481</v>
      </c>
      <c r="H310" s="86" t="s">
        <v>99</v>
      </c>
      <c r="I310" s="87">
        <v>12000</v>
      </c>
      <c r="J310" s="83" t="s">
        <v>116</v>
      </c>
      <c r="K310" s="88" t="s">
        <v>117</v>
      </c>
      <c r="L310" s="91">
        <v>45546.6578240741</v>
      </c>
      <c r="M310" s="91">
        <v>45604.7743634259</v>
      </c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5"/>
    </row>
    <row r="311" s="63" customFormat="1" ht="14.4" customHeight="1" spans="1:31">
      <c r="A311" s="68">
        <v>310</v>
      </c>
      <c r="B311" s="69" t="s">
        <v>94</v>
      </c>
      <c r="C311" s="70" t="s">
        <v>274</v>
      </c>
      <c r="D311" s="84" t="s">
        <v>243</v>
      </c>
      <c r="E311" s="84" t="s">
        <v>115</v>
      </c>
      <c r="F311" s="91">
        <v>45739.7801388889</v>
      </c>
      <c r="G311" s="91">
        <v>45737.7802546296</v>
      </c>
      <c r="H311" s="86" t="s">
        <v>99</v>
      </c>
      <c r="I311" s="87">
        <v>12000</v>
      </c>
      <c r="J311" s="83" t="s">
        <v>116</v>
      </c>
      <c r="K311" s="88" t="s">
        <v>117</v>
      </c>
      <c r="L311" s="91">
        <v>45546.6578240741</v>
      </c>
      <c r="M311" s="91">
        <v>45604.7743634259</v>
      </c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5"/>
    </row>
    <row r="312" s="63" customFormat="1" ht="14.4" customHeight="1" spans="1:31">
      <c r="A312" s="68">
        <v>311</v>
      </c>
      <c r="B312" s="69" t="s">
        <v>94</v>
      </c>
      <c r="C312" s="70" t="s">
        <v>274</v>
      </c>
      <c r="D312" s="84" t="s">
        <v>244</v>
      </c>
      <c r="E312" s="84" t="s">
        <v>115</v>
      </c>
      <c r="F312" s="91">
        <v>45739.7801736111</v>
      </c>
      <c r="G312" s="91">
        <v>45737.7803356481</v>
      </c>
      <c r="H312" s="86" t="s">
        <v>99</v>
      </c>
      <c r="I312" s="87">
        <v>12000</v>
      </c>
      <c r="J312" s="83" t="s">
        <v>116</v>
      </c>
      <c r="K312" s="88" t="s">
        <v>117</v>
      </c>
      <c r="L312" s="91">
        <v>45546.6578240741</v>
      </c>
      <c r="M312" s="91">
        <v>45604.7743634259</v>
      </c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5"/>
    </row>
    <row r="313" s="63" customFormat="1" ht="14.4" customHeight="1" spans="1:31">
      <c r="A313" s="68">
        <v>312</v>
      </c>
      <c r="B313" s="69" t="s">
        <v>94</v>
      </c>
      <c r="C313" s="70" t="s">
        <v>274</v>
      </c>
      <c r="D313" s="84" t="s">
        <v>245</v>
      </c>
      <c r="E313" s="84" t="s">
        <v>115</v>
      </c>
      <c r="F313" s="91">
        <v>45739.7836574074</v>
      </c>
      <c r="G313" s="91">
        <v>45791.5235532407</v>
      </c>
      <c r="H313" s="86" t="s">
        <v>99</v>
      </c>
      <c r="I313" s="87">
        <v>12000</v>
      </c>
      <c r="J313" s="83" t="s">
        <v>116</v>
      </c>
      <c r="K313" s="88" t="s">
        <v>117</v>
      </c>
      <c r="L313" s="91">
        <v>45546.6578819444</v>
      </c>
      <c r="M313" s="91">
        <v>45604.7744791667</v>
      </c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5"/>
    </row>
    <row r="314" s="63" customFormat="1" ht="14.4" customHeight="1" spans="1:31">
      <c r="A314" s="68">
        <v>313</v>
      </c>
      <c r="B314" s="69" t="s">
        <v>94</v>
      </c>
      <c r="C314" s="70" t="s">
        <v>274</v>
      </c>
      <c r="D314" s="84" t="s">
        <v>246</v>
      </c>
      <c r="E314" s="84" t="s">
        <v>115</v>
      </c>
      <c r="F314" s="91">
        <v>45633.6771643519</v>
      </c>
      <c r="G314" s="91">
        <v>45631.6772685185</v>
      </c>
      <c r="H314" s="86" t="s">
        <v>99</v>
      </c>
      <c r="I314" s="87">
        <v>12000</v>
      </c>
      <c r="J314" s="83" t="s">
        <v>116</v>
      </c>
      <c r="K314" s="88" t="s">
        <v>117</v>
      </c>
      <c r="L314" s="91">
        <v>45546.6579398148</v>
      </c>
      <c r="M314" s="91">
        <v>45604.7745833333</v>
      </c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5"/>
    </row>
    <row r="315" s="63" customFormat="1" ht="14.4" customHeight="1" spans="1:31">
      <c r="A315" s="68">
        <v>314</v>
      </c>
      <c r="B315" s="69" t="s">
        <v>94</v>
      </c>
      <c r="C315" s="70" t="s">
        <v>274</v>
      </c>
      <c r="D315" s="84" t="s">
        <v>247</v>
      </c>
      <c r="E315" s="84" t="s">
        <v>115</v>
      </c>
      <c r="F315" s="91">
        <v>45633.6771990741</v>
      </c>
      <c r="G315" s="91">
        <v>45631.6773032407</v>
      </c>
      <c r="H315" s="86" t="s">
        <v>99</v>
      </c>
      <c r="I315" s="87">
        <v>12000</v>
      </c>
      <c r="J315" s="83" t="s">
        <v>116</v>
      </c>
      <c r="K315" s="88" t="s">
        <v>117</v>
      </c>
      <c r="L315" s="91">
        <v>45546.6579976852</v>
      </c>
      <c r="M315" s="91">
        <v>45604.7746990741</v>
      </c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5"/>
    </row>
    <row r="316" s="63" customFormat="1" ht="14.4" customHeight="1" spans="1:31">
      <c r="A316" s="68">
        <v>315</v>
      </c>
      <c r="B316" s="69" t="s">
        <v>94</v>
      </c>
      <c r="C316" s="70" t="s">
        <v>274</v>
      </c>
      <c r="D316" s="84" t="s">
        <v>248</v>
      </c>
      <c r="E316" s="84" t="s">
        <v>115</v>
      </c>
      <c r="F316" s="91">
        <v>45633.6771643519</v>
      </c>
      <c r="G316" s="91">
        <v>45631.6772685185</v>
      </c>
      <c r="H316" s="86" t="s">
        <v>99</v>
      </c>
      <c r="I316" s="87">
        <v>12000</v>
      </c>
      <c r="J316" s="83" t="s">
        <v>116</v>
      </c>
      <c r="K316" s="88" t="s">
        <v>117</v>
      </c>
      <c r="L316" s="91">
        <v>45546.6580555556</v>
      </c>
      <c r="M316" s="91">
        <v>45604.774837963</v>
      </c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5"/>
    </row>
    <row r="317" s="63" customFormat="1" ht="14.4" customHeight="1" spans="1:31">
      <c r="A317" s="68">
        <v>316</v>
      </c>
      <c r="B317" s="69" t="s">
        <v>94</v>
      </c>
      <c r="C317" s="70" t="s">
        <v>274</v>
      </c>
      <c r="D317" s="84" t="s">
        <v>249</v>
      </c>
      <c r="E317" s="84" t="s">
        <v>115</v>
      </c>
      <c r="F317" s="91">
        <v>45633.6772685185</v>
      </c>
      <c r="G317" s="91">
        <v>45631.6773726852</v>
      </c>
      <c r="H317" s="86" t="s">
        <v>99</v>
      </c>
      <c r="I317" s="87">
        <v>12000</v>
      </c>
      <c r="J317" s="83" t="s">
        <v>116</v>
      </c>
      <c r="K317" s="88" t="s">
        <v>117</v>
      </c>
      <c r="L317" s="91">
        <v>45546.6581134259</v>
      </c>
      <c r="M317" s="91">
        <v>45604.7749421296</v>
      </c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5"/>
    </row>
    <row r="318" s="63" customFormat="1" ht="14.4" customHeight="1" spans="1:31">
      <c r="A318" s="68">
        <v>317</v>
      </c>
      <c r="B318" s="69" t="s">
        <v>94</v>
      </c>
      <c r="C318" s="70" t="s">
        <v>274</v>
      </c>
      <c r="D318" s="84" t="s">
        <v>250</v>
      </c>
      <c r="E318" s="84" t="s">
        <v>115</v>
      </c>
      <c r="F318" s="91">
        <v>45829.8821643519</v>
      </c>
      <c r="G318" s="91">
        <v>45828.8822337963</v>
      </c>
      <c r="H318" s="86" t="s">
        <v>99</v>
      </c>
      <c r="I318" s="87">
        <v>12000</v>
      </c>
      <c r="J318" s="83" t="s">
        <v>116</v>
      </c>
      <c r="K318" s="88" t="s">
        <v>117</v>
      </c>
      <c r="L318" s="91">
        <v>45806.5877083333</v>
      </c>
      <c r="M318" s="91">
        <v>45812.7711111111</v>
      </c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5"/>
    </row>
    <row r="319" s="63" customFormat="1" ht="14.4" customHeight="1" spans="1:31">
      <c r="A319" s="68">
        <v>318</v>
      </c>
      <c r="B319" s="69" t="s">
        <v>94</v>
      </c>
      <c r="C319" s="70" t="s">
        <v>274</v>
      </c>
      <c r="D319" s="84" t="s">
        <v>251</v>
      </c>
      <c r="E319" s="84" t="s">
        <v>115</v>
      </c>
      <c r="F319" s="91">
        <v>45829.8821643519</v>
      </c>
      <c r="G319" s="91">
        <v>45828.8822337963</v>
      </c>
      <c r="H319" s="86" t="s">
        <v>99</v>
      </c>
      <c r="I319" s="87">
        <v>12000</v>
      </c>
      <c r="J319" s="83" t="s">
        <v>116</v>
      </c>
      <c r="K319" s="88" t="s">
        <v>117</v>
      </c>
      <c r="L319" s="91">
        <v>45806.5877083333</v>
      </c>
      <c r="M319" s="91">
        <v>45812.7711111111</v>
      </c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5"/>
    </row>
    <row r="320" s="63" customFormat="1" ht="14.4" customHeight="1" spans="1:31">
      <c r="A320" s="68">
        <v>319</v>
      </c>
      <c r="B320" s="69" t="s">
        <v>94</v>
      </c>
      <c r="C320" s="70" t="s">
        <v>274</v>
      </c>
      <c r="D320" s="84" t="s">
        <v>252</v>
      </c>
      <c r="E320" s="84" t="s">
        <v>115</v>
      </c>
      <c r="F320" s="91">
        <v>45877.8821875</v>
      </c>
      <c r="G320" s="91">
        <v>45876.8822685185</v>
      </c>
      <c r="H320" s="86" t="s">
        <v>99</v>
      </c>
      <c r="I320" s="87">
        <v>12000</v>
      </c>
      <c r="J320" s="83" t="s">
        <v>116</v>
      </c>
      <c r="K320" s="84" t="s">
        <v>117</v>
      </c>
      <c r="L320" s="91">
        <v>45863.7133912037</v>
      </c>
      <c r="M320" s="91">
        <v>45867.7710300926</v>
      </c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5"/>
    </row>
    <row r="321" s="63" customFormat="1" ht="14.4" customHeight="1" spans="1:31">
      <c r="A321" s="68">
        <v>320</v>
      </c>
      <c r="B321" s="69" t="s">
        <v>94</v>
      </c>
      <c r="C321" s="70" t="s">
        <v>274</v>
      </c>
      <c r="D321" s="84" t="s">
        <v>253</v>
      </c>
      <c r="E321" s="84" t="s">
        <v>115</v>
      </c>
      <c r="F321" s="91">
        <v>45877.8821875</v>
      </c>
      <c r="G321" s="91">
        <v>45876.8822685185</v>
      </c>
      <c r="H321" s="86" t="s">
        <v>99</v>
      </c>
      <c r="I321" s="87">
        <v>12000</v>
      </c>
      <c r="J321" s="83" t="s">
        <v>116</v>
      </c>
      <c r="K321" s="84" t="s">
        <v>117</v>
      </c>
      <c r="L321" s="91">
        <v>45863.7133912037</v>
      </c>
      <c r="M321" s="91">
        <v>45868.7710300926</v>
      </c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5"/>
    </row>
    <row r="322" s="63" customFormat="1" ht="14.4" customHeight="1" spans="1:31">
      <c r="A322" s="68">
        <v>321</v>
      </c>
      <c r="B322" s="69" t="s">
        <v>94</v>
      </c>
      <c r="C322" s="70" t="s">
        <v>274</v>
      </c>
      <c r="D322" s="84" t="s">
        <v>254</v>
      </c>
      <c r="E322" s="84" t="s">
        <v>115</v>
      </c>
      <c r="F322" s="91">
        <v>45877.8821875</v>
      </c>
      <c r="G322" s="91">
        <v>45876.8822685185</v>
      </c>
      <c r="H322" s="86" t="s">
        <v>99</v>
      </c>
      <c r="I322" s="87">
        <v>12000</v>
      </c>
      <c r="J322" s="83" t="s">
        <v>116</v>
      </c>
      <c r="K322" s="84" t="s">
        <v>117</v>
      </c>
      <c r="L322" s="91">
        <v>45863.7133912037</v>
      </c>
      <c r="M322" s="91">
        <v>45867.7710300926</v>
      </c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5"/>
    </row>
    <row r="323" s="63" customFormat="1" ht="14.4" customHeight="1" spans="1:31">
      <c r="A323" s="68">
        <v>322</v>
      </c>
      <c r="B323" s="69" t="s">
        <v>94</v>
      </c>
      <c r="C323" s="70" t="s">
        <v>274</v>
      </c>
      <c r="D323" s="84" t="s">
        <v>255</v>
      </c>
      <c r="E323" s="84" t="s">
        <v>115</v>
      </c>
      <c r="F323" s="91">
        <v>45877.8821875</v>
      </c>
      <c r="G323" s="91">
        <v>45876.8822685185</v>
      </c>
      <c r="H323" s="86" t="s">
        <v>99</v>
      </c>
      <c r="I323" s="87">
        <v>12000</v>
      </c>
      <c r="J323" s="83" t="s">
        <v>116</v>
      </c>
      <c r="K323" s="84" t="s">
        <v>117</v>
      </c>
      <c r="L323" s="91">
        <v>45863.7133912037</v>
      </c>
      <c r="M323" s="91">
        <v>45867.7710300926</v>
      </c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5"/>
    </row>
    <row r="324" s="63" customFormat="1" ht="14.4" customHeight="1" spans="1:31">
      <c r="A324" s="68">
        <v>323</v>
      </c>
      <c r="B324" s="69" t="s">
        <v>94</v>
      </c>
      <c r="C324" s="70" t="s">
        <v>274</v>
      </c>
      <c r="D324" s="84" t="s">
        <v>256</v>
      </c>
      <c r="E324" s="84" t="s">
        <v>115</v>
      </c>
      <c r="F324" s="91">
        <v>45745.7151736111</v>
      </c>
      <c r="G324" s="91">
        <v>45743.7152777778</v>
      </c>
      <c r="H324" s="79" t="s">
        <v>97</v>
      </c>
      <c r="I324" s="80">
        <v>16000</v>
      </c>
      <c r="J324" s="83" t="s">
        <v>116</v>
      </c>
      <c r="K324" s="88" t="s">
        <v>121</v>
      </c>
      <c r="L324" s="91">
        <v>45615.6209837963</v>
      </c>
      <c r="M324" s="91">
        <v>45617.4703356481</v>
      </c>
      <c r="N324" s="84" t="s">
        <v>120</v>
      </c>
      <c r="O324" s="91">
        <v>45621.8340277778</v>
      </c>
      <c r="P324" s="91">
        <v>45620.8341435185</v>
      </c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5"/>
    </row>
    <row r="325" s="63" customFormat="1" ht="14.4" customHeight="1" spans="1:31">
      <c r="A325" s="68">
        <v>324</v>
      </c>
      <c r="B325" s="69" t="s">
        <v>94</v>
      </c>
      <c r="C325" s="70" t="s">
        <v>274</v>
      </c>
      <c r="D325" s="84" t="s">
        <v>257</v>
      </c>
      <c r="E325" s="84" t="s">
        <v>115</v>
      </c>
      <c r="F325" s="91">
        <v>45745.7114814815</v>
      </c>
      <c r="G325" s="91">
        <v>45743.7115972222</v>
      </c>
      <c r="H325" s="86" t="s">
        <v>99</v>
      </c>
      <c r="I325" s="87">
        <v>12000</v>
      </c>
      <c r="J325" s="83" t="s">
        <v>116</v>
      </c>
      <c r="K325" s="88" t="s">
        <v>117</v>
      </c>
      <c r="L325" s="91">
        <v>45546.6582986111</v>
      </c>
      <c r="M325" s="91">
        <v>45604.7754282407</v>
      </c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5"/>
    </row>
    <row r="326" s="63" customFormat="1" ht="14.4" customHeight="1" spans="1:31">
      <c r="A326" s="68">
        <v>325</v>
      </c>
      <c r="B326" s="69" t="s">
        <v>94</v>
      </c>
      <c r="C326" s="70" t="s">
        <v>274</v>
      </c>
      <c r="D326" s="84" t="s">
        <v>258</v>
      </c>
      <c r="E326" s="84" t="s">
        <v>115</v>
      </c>
      <c r="F326" s="91">
        <v>45745.715</v>
      </c>
      <c r="G326" s="91">
        <v>45743.7151041667</v>
      </c>
      <c r="H326" s="86" t="s">
        <v>99</v>
      </c>
      <c r="I326" s="87">
        <v>12000</v>
      </c>
      <c r="J326" s="83" t="s">
        <v>116</v>
      </c>
      <c r="K326" s="88" t="s">
        <v>117</v>
      </c>
      <c r="L326" s="91">
        <v>45546.6582986111</v>
      </c>
      <c r="M326" s="91">
        <v>45604.7754282407</v>
      </c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5"/>
    </row>
    <row r="327" s="63" customFormat="1" ht="14.4" customHeight="1" spans="1:31">
      <c r="A327" s="68">
        <v>326</v>
      </c>
      <c r="B327" s="69" t="s">
        <v>94</v>
      </c>
      <c r="C327" s="70" t="s">
        <v>274</v>
      </c>
      <c r="D327" s="84" t="s">
        <v>259</v>
      </c>
      <c r="E327" s="84" t="s">
        <v>115</v>
      </c>
      <c r="F327" s="91">
        <v>45745.715</v>
      </c>
      <c r="G327" s="91">
        <v>45743.7151157407</v>
      </c>
      <c r="H327" s="86" t="s">
        <v>99</v>
      </c>
      <c r="I327" s="87">
        <v>12000</v>
      </c>
      <c r="J327" s="83" t="s">
        <v>116</v>
      </c>
      <c r="K327" s="88" t="s">
        <v>117</v>
      </c>
      <c r="L327" s="91">
        <v>45546.6582986111</v>
      </c>
      <c r="M327" s="91">
        <v>45604.7754282407</v>
      </c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5"/>
    </row>
    <row r="328" s="63" customFormat="1" ht="14.4" customHeight="1" spans="1:31">
      <c r="A328" s="68">
        <v>327</v>
      </c>
      <c r="B328" s="69" t="s">
        <v>94</v>
      </c>
      <c r="C328" s="70" t="s">
        <v>274</v>
      </c>
      <c r="D328" s="84" t="s">
        <v>260</v>
      </c>
      <c r="E328" s="84" t="s">
        <v>115</v>
      </c>
      <c r="F328" s="91">
        <v>45745.715</v>
      </c>
      <c r="G328" s="91">
        <v>45743.7151157407</v>
      </c>
      <c r="H328" s="86" t="s">
        <v>99</v>
      </c>
      <c r="I328" s="87">
        <v>12000</v>
      </c>
      <c r="J328" s="83" t="s">
        <v>116</v>
      </c>
      <c r="K328" s="88" t="s">
        <v>117</v>
      </c>
      <c r="L328" s="91">
        <v>45546.6583564815</v>
      </c>
      <c r="M328" s="91">
        <v>45604.7755439815</v>
      </c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5"/>
    </row>
    <row r="329" s="63" customFormat="1" ht="14.4" customHeight="1" spans="1:31">
      <c r="A329" s="68">
        <v>328</v>
      </c>
      <c r="B329" s="69" t="s">
        <v>94</v>
      </c>
      <c r="C329" s="70" t="s">
        <v>274</v>
      </c>
      <c r="D329" s="84" t="s">
        <v>261</v>
      </c>
      <c r="E329" s="84" t="s">
        <v>115</v>
      </c>
      <c r="F329" s="91">
        <v>45745.7184953704</v>
      </c>
      <c r="G329" s="91">
        <v>45743.7186111111</v>
      </c>
      <c r="H329" s="86" t="s">
        <v>99</v>
      </c>
      <c r="I329" s="87">
        <v>12000</v>
      </c>
      <c r="J329" s="83" t="s">
        <v>116</v>
      </c>
      <c r="K329" s="88" t="s">
        <v>117</v>
      </c>
      <c r="L329" s="91">
        <v>45546.6584027778</v>
      </c>
      <c r="M329" s="91">
        <v>45604.7756597222</v>
      </c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5"/>
    </row>
    <row r="330" s="63" customFormat="1" ht="14.4" customHeight="1" spans="1:31">
      <c r="A330" s="68">
        <v>329</v>
      </c>
      <c r="B330" s="69" t="s">
        <v>94</v>
      </c>
      <c r="C330" s="70" t="s">
        <v>274</v>
      </c>
      <c r="D330" s="84" t="s">
        <v>262</v>
      </c>
      <c r="E330" s="84" t="s">
        <v>115</v>
      </c>
      <c r="F330" s="91">
        <v>45633.6773032407</v>
      </c>
      <c r="G330" s="91">
        <v>45631.6774074074</v>
      </c>
      <c r="H330" s="86" t="s">
        <v>99</v>
      </c>
      <c r="I330" s="87">
        <v>12000</v>
      </c>
      <c r="J330" s="83" t="s">
        <v>116</v>
      </c>
      <c r="K330" s="88" t="s">
        <v>117</v>
      </c>
      <c r="L330" s="91">
        <v>45546.6584606481</v>
      </c>
      <c r="M330" s="91">
        <v>45604.7757638889</v>
      </c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5"/>
    </row>
    <row r="331" s="63" customFormat="1" ht="14.4" customHeight="1" spans="1:31">
      <c r="A331" s="68">
        <v>330</v>
      </c>
      <c r="B331" s="69" t="s">
        <v>94</v>
      </c>
      <c r="C331" s="70" t="s">
        <v>274</v>
      </c>
      <c r="D331" s="84" t="s">
        <v>263</v>
      </c>
      <c r="E331" s="84" t="s">
        <v>115</v>
      </c>
      <c r="F331" s="91">
        <v>45633.6807407407</v>
      </c>
      <c r="G331" s="91">
        <v>45631.6808449074</v>
      </c>
      <c r="H331" s="86" t="s">
        <v>99</v>
      </c>
      <c r="I331" s="87">
        <v>12000</v>
      </c>
      <c r="J331" s="83" t="s">
        <v>116</v>
      </c>
      <c r="K331" s="88" t="s">
        <v>117</v>
      </c>
      <c r="L331" s="91">
        <v>45546.6582986111</v>
      </c>
      <c r="M331" s="91">
        <v>45604.7754282407</v>
      </c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5"/>
    </row>
    <row r="332" s="63" customFormat="1" ht="14.4" customHeight="1" spans="1:31">
      <c r="A332" s="68">
        <v>331</v>
      </c>
      <c r="B332" s="69" t="s">
        <v>94</v>
      </c>
      <c r="C332" s="70" t="s">
        <v>274</v>
      </c>
      <c r="D332" s="84" t="s">
        <v>264</v>
      </c>
      <c r="E332" s="84" t="s">
        <v>115</v>
      </c>
      <c r="F332" s="91">
        <v>45633.6806944444</v>
      </c>
      <c r="G332" s="91">
        <v>45631.6808101852</v>
      </c>
      <c r="H332" s="86" t="s">
        <v>99</v>
      </c>
      <c r="I332" s="87">
        <v>12000</v>
      </c>
      <c r="J332" s="83" t="s">
        <v>116</v>
      </c>
      <c r="K332" s="88" t="s">
        <v>117</v>
      </c>
      <c r="L332" s="91">
        <v>45546.6582986111</v>
      </c>
      <c r="M332" s="91">
        <v>45604.7754282407</v>
      </c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5"/>
    </row>
    <row r="333" s="63" customFormat="1" ht="14.4" customHeight="1" spans="1:31">
      <c r="A333" s="68">
        <v>332</v>
      </c>
      <c r="B333" s="69" t="s">
        <v>94</v>
      </c>
      <c r="C333" s="70" t="s">
        <v>274</v>
      </c>
      <c r="D333" s="84" t="s">
        <v>265</v>
      </c>
      <c r="E333" s="84" t="s">
        <v>115</v>
      </c>
      <c r="F333" s="91">
        <v>45634.7194212963</v>
      </c>
      <c r="G333" s="91">
        <v>45632.719537037</v>
      </c>
      <c r="H333" s="86" t="s">
        <v>99</v>
      </c>
      <c r="I333" s="87">
        <v>12000</v>
      </c>
      <c r="J333" s="83" t="s">
        <v>116</v>
      </c>
      <c r="K333" s="88" t="s">
        <v>117</v>
      </c>
      <c r="L333" s="91">
        <v>45546.6582986111</v>
      </c>
      <c r="M333" s="91">
        <v>45604.7754282407</v>
      </c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5"/>
    </row>
    <row r="334" s="63" customFormat="1" ht="14.4" customHeight="1" spans="1:31">
      <c r="A334" s="68">
        <v>333</v>
      </c>
      <c r="B334" s="69" t="s">
        <v>94</v>
      </c>
      <c r="C334" s="70" t="s">
        <v>274</v>
      </c>
      <c r="D334" s="84" t="s">
        <v>266</v>
      </c>
      <c r="E334" s="84" t="s">
        <v>115</v>
      </c>
      <c r="F334" s="91">
        <v>45993.8821875</v>
      </c>
      <c r="G334" s="91">
        <v>45992.8823263889</v>
      </c>
      <c r="H334" s="86" t="s">
        <v>99</v>
      </c>
      <c r="I334" s="87">
        <v>12000</v>
      </c>
      <c r="J334" s="83" t="s">
        <v>116</v>
      </c>
      <c r="K334" s="88" t="s">
        <v>121</v>
      </c>
      <c r="L334" s="91">
        <v>45617.7031365741</v>
      </c>
      <c r="M334" s="91">
        <v>45618.6305439815</v>
      </c>
      <c r="N334" s="84" t="s">
        <v>120</v>
      </c>
      <c r="O334" s="91">
        <v>45621.8340277778</v>
      </c>
      <c r="P334" s="91">
        <v>45620.8341435185</v>
      </c>
      <c r="Q334" s="84" t="s">
        <v>138</v>
      </c>
      <c r="R334" s="91">
        <v>45706.75</v>
      </c>
      <c r="S334" s="91">
        <v>45706.6041666667</v>
      </c>
      <c r="T334" s="84" t="s">
        <v>117</v>
      </c>
      <c r="U334" s="91">
        <v>45728.6771527778</v>
      </c>
      <c r="V334" s="91">
        <v>45729.4791666667</v>
      </c>
      <c r="W334" s="84" t="s">
        <v>115</v>
      </c>
      <c r="X334" s="91">
        <v>45746.8821990741</v>
      </c>
      <c r="Y334" s="91">
        <v>45745.8823032407</v>
      </c>
      <c r="Z334" s="83" t="s">
        <v>275</v>
      </c>
      <c r="AA334" s="91">
        <v>45860.3834490741</v>
      </c>
      <c r="AB334" s="91">
        <v>45860.7709490741</v>
      </c>
      <c r="AC334" s="84" t="s">
        <v>117</v>
      </c>
      <c r="AD334" s="91">
        <v>45989</v>
      </c>
      <c r="AE334" s="99">
        <v>45989.7896643519</v>
      </c>
    </row>
    <row r="335" s="63" customFormat="1" ht="14.4" customHeight="1" spans="1:31">
      <c r="A335" s="68">
        <v>334</v>
      </c>
      <c r="B335" s="69" t="s">
        <v>94</v>
      </c>
      <c r="C335" s="70" t="s">
        <v>274</v>
      </c>
      <c r="D335" s="84" t="s">
        <v>267</v>
      </c>
      <c r="E335" s="84" t="s">
        <v>115</v>
      </c>
      <c r="F335" s="91">
        <v>45829.8821643519</v>
      </c>
      <c r="G335" s="91">
        <v>45828.8822337963</v>
      </c>
      <c r="H335" s="86" t="s">
        <v>99</v>
      </c>
      <c r="I335" s="87">
        <v>12000</v>
      </c>
      <c r="J335" s="83" t="s">
        <v>116</v>
      </c>
      <c r="K335" s="88" t="s">
        <v>117</v>
      </c>
      <c r="L335" s="91">
        <v>45806.5877083333</v>
      </c>
      <c r="M335" s="91">
        <v>45812.7711111111</v>
      </c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5"/>
    </row>
    <row r="336" s="63" customFormat="1" ht="14.4" customHeight="1" spans="1:31">
      <c r="A336" s="68">
        <v>335</v>
      </c>
      <c r="B336" s="69" t="s">
        <v>94</v>
      </c>
      <c r="C336" s="70" t="s">
        <v>274</v>
      </c>
      <c r="D336" s="84" t="s">
        <v>268</v>
      </c>
      <c r="E336" s="84" t="s">
        <v>115</v>
      </c>
      <c r="F336" s="91">
        <v>45830.8822106481</v>
      </c>
      <c r="G336" s="91">
        <v>45829.8822800926</v>
      </c>
      <c r="H336" s="86" t="s">
        <v>99</v>
      </c>
      <c r="I336" s="87">
        <v>12000</v>
      </c>
      <c r="J336" s="83" t="s">
        <v>116</v>
      </c>
      <c r="K336" s="88" t="s">
        <v>117</v>
      </c>
      <c r="L336" s="91">
        <v>45806.5877083333</v>
      </c>
      <c r="M336" s="91">
        <v>45812.7711111111</v>
      </c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5"/>
    </row>
    <row r="337" s="63" customFormat="1" ht="14.4" customHeight="1" spans="1:31">
      <c r="A337" s="68">
        <v>336</v>
      </c>
      <c r="B337" s="69" t="s">
        <v>94</v>
      </c>
      <c r="C337" s="70" t="s">
        <v>274</v>
      </c>
      <c r="D337" s="84" t="s">
        <v>269</v>
      </c>
      <c r="E337" s="84" t="s">
        <v>115</v>
      </c>
      <c r="F337" s="91">
        <v>45877.8821875</v>
      </c>
      <c r="G337" s="91">
        <v>45876.8822685185</v>
      </c>
      <c r="H337" s="86" t="s">
        <v>99</v>
      </c>
      <c r="I337" s="87">
        <v>12000</v>
      </c>
      <c r="J337" s="83" t="s">
        <v>116</v>
      </c>
      <c r="K337" s="84" t="s">
        <v>117</v>
      </c>
      <c r="L337" s="91">
        <v>45863.7133912037</v>
      </c>
      <c r="M337" s="91">
        <v>45867.7710300926</v>
      </c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5"/>
    </row>
    <row r="338" s="63" customFormat="1" ht="14.4" customHeight="1" spans="1:31">
      <c r="A338" s="68">
        <v>337</v>
      </c>
      <c r="B338" s="69" t="s">
        <v>94</v>
      </c>
      <c r="C338" s="70" t="s">
        <v>274</v>
      </c>
      <c r="D338" s="84" t="s">
        <v>270</v>
      </c>
      <c r="E338" s="84" t="s">
        <v>115</v>
      </c>
      <c r="F338" s="91">
        <v>45877.8821875</v>
      </c>
      <c r="G338" s="91">
        <v>45876.8822685185</v>
      </c>
      <c r="H338" s="86" t="s">
        <v>99</v>
      </c>
      <c r="I338" s="87">
        <v>12000</v>
      </c>
      <c r="J338" s="83" t="s">
        <v>116</v>
      </c>
      <c r="K338" s="84" t="s">
        <v>117</v>
      </c>
      <c r="L338" s="91">
        <v>45863.7133912037</v>
      </c>
      <c r="M338" s="91">
        <v>45867.7710300926</v>
      </c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5"/>
    </row>
    <row r="339" s="63" customFormat="1" ht="14.4" customHeight="1" spans="1:31">
      <c r="A339" s="68">
        <v>338</v>
      </c>
      <c r="B339" s="69" t="s">
        <v>94</v>
      </c>
      <c r="C339" s="70" t="s">
        <v>274</v>
      </c>
      <c r="D339" s="84" t="s">
        <v>271</v>
      </c>
      <c r="E339" s="84" t="s">
        <v>115</v>
      </c>
      <c r="F339" s="91">
        <v>45877.8821875</v>
      </c>
      <c r="G339" s="91">
        <v>45876.8822685185</v>
      </c>
      <c r="H339" s="86" t="s">
        <v>99</v>
      </c>
      <c r="I339" s="87">
        <v>12000</v>
      </c>
      <c r="J339" s="83" t="s">
        <v>116</v>
      </c>
      <c r="K339" s="84" t="s">
        <v>117</v>
      </c>
      <c r="L339" s="91">
        <v>45863.7133912037</v>
      </c>
      <c r="M339" s="91">
        <v>45867.7710300926</v>
      </c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5"/>
    </row>
    <row r="340" s="63" customFormat="1" ht="14.4" customHeight="1" spans="1:31">
      <c r="A340" s="68">
        <v>339</v>
      </c>
      <c r="B340" s="69" t="s">
        <v>94</v>
      </c>
      <c r="C340" s="70" t="s">
        <v>274</v>
      </c>
      <c r="D340" s="84" t="s">
        <v>272</v>
      </c>
      <c r="E340" s="84" t="s">
        <v>115</v>
      </c>
      <c r="F340" s="91">
        <v>45877.8821875</v>
      </c>
      <c r="G340" s="91">
        <v>45876.8822685185</v>
      </c>
      <c r="H340" s="86" t="s">
        <v>99</v>
      </c>
      <c r="I340" s="87">
        <v>12000</v>
      </c>
      <c r="J340" s="83" t="s">
        <v>116</v>
      </c>
      <c r="K340" s="84" t="s">
        <v>117</v>
      </c>
      <c r="L340" s="91">
        <v>45863.7133912037</v>
      </c>
      <c r="M340" s="91">
        <v>45867.7710300926</v>
      </c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5"/>
    </row>
    <row r="341" s="63" customFormat="1" ht="14.4" customHeight="1" spans="1:31">
      <c r="A341" s="68">
        <v>340</v>
      </c>
      <c r="B341" s="69" t="s">
        <v>94</v>
      </c>
      <c r="C341" s="70" t="s">
        <v>274</v>
      </c>
      <c r="D341" s="84" t="s">
        <v>273</v>
      </c>
      <c r="E341" s="88"/>
      <c r="F341" s="84"/>
      <c r="G341" s="84"/>
      <c r="H341" s="86" t="s">
        <v>99</v>
      </c>
      <c r="I341" s="87">
        <v>12000</v>
      </c>
      <c r="J341" s="84"/>
      <c r="K341" s="89"/>
      <c r="L341" s="90"/>
      <c r="M341" s="82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5"/>
    </row>
    <row r="342" s="63" customFormat="1" ht="14.4" customHeight="1" spans="1:31">
      <c r="A342" s="68">
        <v>341</v>
      </c>
      <c r="B342" s="69" t="s">
        <v>94</v>
      </c>
      <c r="C342" s="70" t="s">
        <v>276</v>
      </c>
      <c r="D342" s="70" t="s">
        <v>96</v>
      </c>
      <c r="E342" s="88"/>
      <c r="F342" s="84"/>
      <c r="G342" s="84"/>
      <c r="H342" s="79" t="s">
        <v>97</v>
      </c>
      <c r="I342" s="80">
        <v>16000</v>
      </c>
      <c r="J342" s="84"/>
      <c r="K342" s="89"/>
      <c r="L342" s="90"/>
      <c r="M342" s="82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5"/>
    </row>
    <row r="343" s="63" customFormat="1" ht="14.4" customHeight="1" spans="1:31">
      <c r="A343" s="68">
        <v>342</v>
      </c>
      <c r="B343" s="69" t="s">
        <v>94</v>
      </c>
      <c r="C343" s="92" t="s">
        <v>276</v>
      </c>
      <c r="D343" s="92" t="s">
        <v>98</v>
      </c>
      <c r="E343" s="101" t="s">
        <v>115</v>
      </c>
      <c r="F343" s="94">
        <v>46198.8822569444</v>
      </c>
      <c r="G343" s="94">
        <v>46197.8824768519</v>
      </c>
      <c r="H343" s="79" t="s">
        <v>97</v>
      </c>
      <c r="I343" s="80">
        <v>16000</v>
      </c>
      <c r="J343" s="83" t="s">
        <v>116</v>
      </c>
      <c r="K343" s="88" t="s">
        <v>121</v>
      </c>
      <c r="L343" s="91">
        <v>46184.7607060185</v>
      </c>
      <c r="M343" s="91">
        <v>46191.7708333333</v>
      </c>
      <c r="N343" s="95" t="s">
        <v>120</v>
      </c>
      <c r="O343" s="96">
        <v>46193.9167824074</v>
      </c>
      <c r="P343" s="96">
        <v>46192.9170023148</v>
      </c>
      <c r="Q343" s="84"/>
      <c r="R343" s="84"/>
      <c r="S343" s="84"/>
      <c r="T343" s="84"/>
      <c r="U343" s="84"/>
      <c r="V343" s="84"/>
      <c r="W343" s="84"/>
      <c r="X343" s="84"/>
      <c r="Y343" s="84"/>
      <c r="Z343" s="84"/>
      <c r="AA343" s="84"/>
      <c r="AB343" s="84"/>
      <c r="AC343" s="84"/>
      <c r="AD343" s="84"/>
      <c r="AE343" s="85"/>
    </row>
    <row r="344" s="63" customFormat="1" ht="14.4" customHeight="1" spans="1:31">
      <c r="A344" s="68">
        <v>343</v>
      </c>
      <c r="B344" s="69" t="s">
        <v>94</v>
      </c>
      <c r="C344" s="70" t="s">
        <v>276</v>
      </c>
      <c r="D344" s="70" t="s">
        <v>100</v>
      </c>
      <c r="E344" s="88"/>
      <c r="F344" s="84"/>
      <c r="G344" s="84"/>
      <c r="H344" s="79" t="s">
        <v>97</v>
      </c>
      <c r="I344" s="80">
        <v>16000</v>
      </c>
      <c r="J344" s="84"/>
      <c r="K344" s="89"/>
      <c r="L344" s="90"/>
      <c r="M344" s="82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5"/>
    </row>
    <row r="345" s="63" customFormat="1" ht="14.4" customHeight="1" spans="1:31">
      <c r="A345" s="68">
        <v>344</v>
      </c>
      <c r="B345" s="69" t="s">
        <v>94</v>
      </c>
      <c r="C345" s="70" t="s">
        <v>276</v>
      </c>
      <c r="D345" s="70" t="s">
        <v>101</v>
      </c>
      <c r="E345" s="88"/>
      <c r="F345" s="84"/>
      <c r="G345" s="84"/>
      <c r="H345" s="79" t="s">
        <v>97</v>
      </c>
      <c r="I345" s="80">
        <v>16000</v>
      </c>
      <c r="J345" s="84"/>
      <c r="K345" s="89"/>
      <c r="L345" s="90"/>
      <c r="M345" s="82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5"/>
    </row>
    <row r="346" s="63" customFormat="1" ht="14.4" customHeight="1" spans="1:31">
      <c r="A346" s="68">
        <v>345</v>
      </c>
      <c r="B346" s="69" t="s">
        <v>94</v>
      </c>
      <c r="C346" s="70" t="s">
        <v>276</v>
      </c>
      <c r="D346" s="70" t="s">
        <v>102</v>
      </c>
      <c r="E346" s="88"/>
      <c r="F346" s="84"/>
      <c r="G346" s="84"/>
      <c r="H346" s="79" t="s">
        <v>97</v>
      </c>
      <c r="I346" s="80">
        <v>16000</v>
      </c>
      <c r="J346" s="84"/>
      <c r="K346" s="89"/>
      <c r="L346" s="90"/>
      <c r="M346" s="82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5"/>
    </row>
    <row r="347" s="63" customFormat="1" ht="14.4" customHeight="1" spans="1:31">
      <c r="A347" s="68">
        <v>346</v>
      </c>
      <c r="B347" s="69" t="s">
        <v>94</v>
      </c>
      <c r="C347" s="70" t="s">
        <v>276</v>
      </c>
      <c r="D347" s="70" t="s">
        <v>103</v>
      </c>
      <c r="E347" s="88"/>
      <c r="F347" s="84"/>
      <c r="G347" s="84"/>
      <c r="H347" s="79" t="s">
        <v>97</v>
      </c>
      <c r="I347" s="80">
        <v>16000</v>
      </c>
      <c r="J347" s="84"/>
      <c r="K347" s="89"/>
      <c r="L347" s="90"/>
      <c r="M347" s="82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5"/>
    </row>
    <row r="348" s="63" customFormat="1" ht="14.4" customHeight="1" spans="1:31">
      <c r="A348" s="68">
        <v>347</v>
      </c>
      <c r="B348" s="69" t="s">
        <v>94</v>
      </c>
      <c r="C348" s="70" t="s">
        <v>276</v>
      </c>
      <c r="D348" s="70" t="s">
        <v>104</v>
      </c>
      <c r="E348" s="88"/>
      <c r="F348" s="84"/>
      <c r="G348" s="84"/>
      <c r="H348" s="79" t="s">
        <v>97</v>
      </c>
      <c r="I348" s="80">
        <v>16000</v>
      </c>
      <c r="J348" s="84"/>
      <c r="K348" s="89"/>
      <c r="L348" s="90"/>
      <c r="M348" s="82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5"/>
    </row>
    <row r="349" s="63" customFormat="1" ht="14.4" customHeight="1" spans="1:31">
      <c r="A349" s="68">
        <v>348</v>
      </c>
      <c r="B349" s="69" t="s">
        <v>94</v>
      </c>
      <c r="C349" s="70" t="s">
        <v>276</v>
      </c>
      <c r="D349" s="70" t="s">
        <v>105</v>
      </c>
      <c r="E349" s="88" t="s">
        <v>121</v>
      </c>
      <c r="F349" s="91">
        <v>45856.5926157407</v>
      </c>
      <c r="G349" s="91">
        <v>45859.771087963</v>
      </c>
      <c r="H349" s="79" t="s">
        <v>97</v>
      </c>
      <c r="I349" s="80">
        <v>16000</v>
      </c>
      <c r="J349" s="83" t="s">
        <v>116</v>
      </c>
      <c r="K349" s="89"/>
      <c r="L349" s="90"/>
      <c r="M349" s="82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5"/>
    </row>
    <row r="350" s="63" customFormat="1" ht="14.4" customHeight="1" spans="1:31">
      <c r="A350" s="68">
        <v>349</v>
      </c>
      <c r="B350" s="69" t="s">
        <v>94</v>
      </c>
      <c r="C350" s="70" t="s">
        <v>276</v>
      </c>
      <c r="D350" s="70" t="s">
        <v>106</v>
      </c>
      <c r="E350" s="88" t="s">
        <v>121</v>
      </c>
      <c r="F350" s="91">
        <v>45429.5702199074</v>
      </c>
      <c r="G350" s="91">
        <v>45430.6915856482</v>
      </c>
      <c r="H350" s="79" t="s">
        <v>97</v>
      </c>
      <c r="I350" s="80">
        <v>16000</v>
      </c>
      <c r="J350" s="83" t="s">
        <v>116</v>
      </c>
      <c r="K350" s="89"/>
      <c r="L350" s="90"/>
      <c r="M350" s="82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5"/>
    </row>
    <row r="351" s="63" customFormat="1" ht="14.4" customHeight="1" spans="1:31">
      <c r="A351" s="68">
        <v>350</v>
      </c>
      <c r="B351" s="69" t="s">
        <v>94</v>
      </c>
      <c r="C351" s="70" t="s">
        <v>276</v>
      </c>
      <c r="D351" s="70" t="s">
        <v>107</v>
      </c>
      <c r="E351" s="88" t="s">
        <v>121</v>
      </c>
      <c r="F351" s="91">
        <v>45429.5719328704</v>
      </c>
      <c r="G351" s="91">
        <v>45430.6917013889</v>
      </c>
      <c r="H351" s="79" t="s">
        <v>97</v>
      </c>
      <c r="I351" s="80">
        <v>16000</v>
      </c>
      <c r="J351" s="83" t="s">
        <v>116</v>
      </c>
      <c r="K351" s="89"/>
      <c r="L351" s="90"/>
      <c r="M351" s="82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5"/>
    </row>
    <row r="352" s="63" customFormat="1" ht="14.4" customHeight="1" spans="1:31">
      <c r="A352" s="68">
        <v>351</v>
      </c>
      <c r="B352" s="69" t="s">
        <v>94</v>
      </c>
      <c r="C352" s="70" t="s">
        <v>276</v>
      </c>
      <c r="D352" s="70" t="s">
        <v>108</v>
      </c>
      <c r="E352" s="88" t="s">
        <v>121</v>
      </c>
      <c r="F352" s="91">
        <v>45429.5785763889</v>
      </c>
      <c r="G352" s="91">
        <v>45430.6917824074</v>
      </c>
      <c r="H352" s="79" t="s">
        <v>97</v>
      </c>
      <c r="I352" s="80">
        <v>16000</v>
      </c>
      <c r="J352" s="83" t="s">
        <v>116</v>
      </c>
      <c r="K352" s="89"/>
      <c r="L352" s="90"/>
      <c r="M352" s="82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5"/>
    </row>
    <row r="353" s="63" customFormat="1" ht="14.4" customHeight="1" spans="1:31">
      <c r="A353" s="68">
        <v>352</v>
      </c>
      <c r="B353" s="69" t="s">
        <v>94</v>
      </c>
      <c r="C353" s="70" t="s">
        <v>276</v>
      </c>
      <c r="D353" s="70" t="s">
        <v>109</v>
      </c>
      <c r="E353" s="88" t="s">
        <v>121</v>
      </c>
      <c r="F353" s="91">
        <v>45429.569537037</v>
      </c>
      <c r="G353" s="91">
        <v>45430.6908333333</v>
      </c>
      <c r="H353" s="79" t="s">
        <v>97</v>
      </c>
      <c r="I353" s="80">
        <v>16000</v>
      </c>
      <c r="J353" s="83" t="s">
        <v>116</v>
      </c>
      <c r="K353" s="89"/>
      <c r="L353" s="90"/>
      <c r="M353" s="82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5"/>
    </row>
    <row r="354" s="63" customFormat="1" ht="14.4" customHeight="1" spans="1:31">
      <c r="A354" s="68">
        <v>353</v>
      </c>
      <c r="B354" s="69" t="s">
        <v>94</v>
      </c>
      <c r="C354" s="70" t="s">
        <v>276</v>
      </c>
      <c r="D354" s="70" t="s">
        <v>114</v>
      </c>
      <c r="E354" s="88"/>
      <c r="F354" s="84"/>
      <c r="G354" s="84"/>
      <c r="H354" s="79" t="s">
        <v>97</v>
      </c>
      <c r="I354" s="80">
        <v>16000</v>
      </c>
      <c r="J354" s="84"/>
      <c r="K354" s="89"/>
      <c r="L354" s="90"/>
      <c r="M354" s="82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5"/>
    </row>
    <row r="355" s="63" customFormat="1" ht="14.4" customHeight="1" spans="1:31">
      <c r="A355" s="68">
        <v>354</v>
      </c>
      <c r="B355" s="69" t="s">
        <v>94</v>
      </c>
      <c r="C355" s="92" t="s">
        <v>276</v>
      </c>
      <c r="D355" s="92" t="s">
        <v>118</v>
      </c>
      <c r="E355" s="101" t="s">
        <v>115</v>
      </c>
      <c r="F355" s="94">
        <v>46198.8822569444</v>
      </c>
      <c r="G355" s="94">
        <v>46197.8824768519</v>
      </c>
      <c r="H355" s="79" t="s">
        <v>97</v>
      </c>
      <c r="I355" s="80">
        <v>16000</v>
      </c>
      <c r="J355" s="83" t="s">
        <v>116</v>
      </c>
      <c r="K355" s="88" t="s">
        <v>121</v>
      </c>
      <c r="L355" s="91">
        <v>46184.7607060185</v>
      </c>
      <c r="M355" s="91">
        <v>46191.7708333333</v>
      </c>
      <c r="N355" s="95" t="s">
        <v>120</v>
      </c>
      <c r="O355" s="96">
        <v>46195.9167708333</v>
      </c>
      <c r="P355" s="96">
        <v>46194.9169791667</v>
      </c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5"/>
    </row>
    <row r="356" s="63" customFormat="1" ht="14.4" customHeight="1" spans="1:31">
      <c r="A356" s="68">
        <v>355</v>
      </c>
      <c r="B356" s="69" t="s">
        <v>94</v>
      </c>
      <c r="C356" s="70" t="s">
        <v>276</v>
      </c>
      <c r="D356" s="70" t="s">
        <v>119</v>
      </c>
      <c r="E356" s="88"/>
      <c r="F356" s="84"/>
      <c r="G356" s="84"/>
      <c r="H356" s="79" t="s">
        <v>97</v>
      </c>
      <c r="I356" s="80">
        <v>16000</v>
      </c>
      <c r="J356" s="84"/>
      <c r="K356" s="89"/>
      <c r="L356" s="90"/>
      <c r="M356" s="82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5"/>
    </row>
    <row r="357" s="63" customFormat="1" ht="14.4" customHeight="1" spans="1:31">
      <c r="A357" s="68">
        <v>356</v>
      </c>
      <c r="B357" s="69" t="s">
        <v>94</v>
      </c>
      <c r="C357" s="70" t="s">
        <v>276</v>
      </c>
      <c r="D357" s="70" t="s">
        <v>122</v>
      </c>
      <c r="E357" s="88"/>
      <c r="F357" s="84"/>
      <c r="G357" s="84"/>
      <c r="H357" s="79" t="s">
        <v>97</v>
      </c>
      <c r="I357" s="80">
        <v>16000</v>
      </c>
      <c r="J357" s="84"/>
      <c r="K357" s="89"/>
      <c r="L357" s="90"/>
      <c r="M357" s="82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5"/>
    </row>
    <row r="358" s="63" customFormat="1" ht="14.4" customHeight="1" spans="1:31">
      <c r="A358" s="68">
        <v>357</v>
      </c>
      <c r="B358" s="69" t="s">
        <v>94</v>
      </c>
      <c r="C358" s="70" t="s">
        <v>276</v>
      </c>
      <c r="D358" s="70" t="s">
        <v>123</v>
      </c>
      <c r="E358" s="88"/>
      <c r="F358" s="84"/>
      <c r="G358" s="84"/>
      <c r="H358" s="79" t="s">
        <v>97</v>
      </c>
      <c r="I358" s="80">
        <v>16000</v>
      </c>
      <c r="J358" s="84"/>
      <c r="K358" s="89"/>
      <c r="L358" s="90"/>
      <c r="M358" s="82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5"/>
    </row>
    <row r="359" s="63" customFormat="1" ht="14.4" customHeight="1" spans="1:31">
      <c r="A359" s="68">
        <v>358</v>
      </c>
      <c r="B359" s="69" t="s">
        <v>94</v>
      </c>
      <c r="C359" s="70" t="s">
        <v>276</v>
      </c>
      <c r="D359" s="70" t="s">
        <v>124</v>
      </c>
      <c r="E359" s="88"/>
      <c r="F359" s="84"/>
      <c r="G359" s="84"/>
      <c r="H359" s="79" t="s">
        <v>97</v>
      </c>
      <c r="I359" s="80">
        <v>16000</v>
      </c>
      <c r="J359" s="84"/>
      <c r="K359" s="89"/>
      <c r="L359" s="90"/>
      <c r="M359" s="82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5"/>
    </row>
    <row r="360" s="63" customFormat="1" ht="14.4" customHeight="1" spans="1:31">
      <c r="A360" s="68">
        <v>359</v>
      </c>
      <c r="B360" s="69" t="s">
        <v>94</v>
      </c>
      <c r="C360" s="70" t="s">
        <v>276</v>
      </c>
      <c r="D360" s="70" t="s">
        <v>125</v>
      </c>
      <c r="E360" s="88"/>
      <c r="F360" s="84"/>
      <c r="G360" s="84"/>
      <c r="H360" s="79" t="s">
        <v>97</v>
      </c>
      <c r="I360" s="80">
        <v>16000</v>
      </c>
      <c r="J360" s="84"/>
      <c r="K360" s="89"/>
      <c r="L360" s="90"/>
      <c r="M360" s="82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5"/>
    </row>
    <row r="361" s="63" customFormat="1" ht="14.4" customHeight="1" spans="1:31">
      <c r="A361" s="68">
        <v>360</v>
      </c>
      <c r="B361" s="69" t="s">
        <v>94</v>
      </c>
      <c r="C361" s="70" t="s">
        <v>276</v>
      </c>
      <c r="D361" s="70" t="s">
        <v>126</v>
      </c>
      <c r="E361" s="88" t="s">
        <v>121</v>
      </c>
      <c r="F361" s="91">
        <v>45856.5926157407</v>
      </c>
      <c r="G361" s="91">
        <v>45859.771087963</v>
      </c>
      <c r="H361" s="79" t="s">
        <v>97</v>
      </c>
      <c r="I361" s="80">
        <v>16000</v>
      </c>
      <c r="J361" s="83" t="s">
        <v>116</v>
      </c>
      <c r="K361" s="89"/>
      <c r="L361" s="90"/>
      <c r="M361" s="82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5"/>
    </row>
    <row r="362" s="63" customFormat="1" ht="14.4" customHeight="1" spans="1:31">
      <c r="A362" s="68">
        <v>361</v>
      </c>
      <c r="B362" s="69" t="s">
        <v>94</v>
      </c>
      <c r="C362" s="70" t="s">
        <v>276</v>
      </c>
      <c r="D362" s="70" t="s">
        <v>127</v>
      </c>
      <c r="E362" s="88"/>
      <c r="F362" s="84"/>
      <c r="G362" s="84"/>
      <c r="H362" s="79" t="s">
        <v>97</v>
      </c>
      <c r="I362" s="80">
        <v>16000</v>
      </c>
      <c r="J362" s="84"/>
      <c r="K362" s="89"/>
      <c r="L362" s="90"/>
      <c r="M362" s="82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5"/>
    </row>
    <row r="363" s="63" customFormat="1" ht="14.4" customHeight="1" spans="1:31">
      <c r="A363" s="68">
        <v>362</v>
      </c>
      <c r="B363" s="69" t="s">
        <v>94</v>
      </c>
      <c r="C363" s="70" t="s">
        <v>276</v>
      </c>
      <c r="D363" s="70" t="s">
        <v>128</v>
      </c>
      <c r="E363" s="88" t="s">
        <v>121</v>
      </c>
      <c r="F363" s="91">
        <v>45429.4609027778</v>
      </c>
      <c r="G363" s="91">
        <v>45430.6918634259</v>
      </c>
      <c r="H363" s="79" t="s">
        <v>97</v>
      </c>
      <c r="I363" s="80">
        <v>16000</v>
      </c>
      <c r="J363" s="83" t="s">
        <v>116</v>
      </c>
      <c r="K363" s="89"/>
      <c r="L363" s="90"/>
      <c r="M363" s="82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5"/>
    </row>
    <row r="364" s="63" customFormat="1" ht="14.4" customHeight="1" spans="1:31">
      <c r="A364" s="68">
        <v>363</v>
      </c>
      <c r="B364" s="69" t="s">
        <v>94</v>
      </c>
      <c r="C364" s="70" t="s">
        <v>276</v>
      </c>
      <c r="D364" s="70" t="s">
        <v>129</v>
      </c>
      <c r="E364" s="88" t="s">
        <v>121</v>
      </c>
      <c r="F364" s="91">
        <v>45429.5730092593</v>
      </c>
      <c r="G364" s="91">
        <v>45430.6908796296</v>
      </c>
      <c r="H364" s="79" t="s">
        <v>97</v>
      </c>
      <c r="I364" s="80">
        <v>16000</v>
      </c>
      <c r="J364" s="83" t="s">
        <v>116</v>
      </c>
      <c r="K364" s="89"/>
      <c r="L364" s="90"/>
      <c r="M364" s="82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5"/>
    </row>
    <row r="365" s="63" customFormat="1" ht="14.4" customHeight="1" spans="1:31">
      <c r="A365" s="68">
        <v>364</v>
      </c>
      <c r="B365" s="69" t="s">
        <v>94</v>
      </c>
      <c r="C365" s="70" t="s">
        <v>276</v>
      </c>
      <c r="D365" s="70" t="s">
        <v>130</v>
      </c>
      <c r="E365" s="88" t="s">
        <v>121</v>
      </c>
      <c r="F365" s="91">
        <v>45429.5677662037</v>
      </c>
      <c r="G365" s="91">
        <v>45430.6919791667</v>
      </c>
      <c r="H365" s="79" t="s">
        <v>97</v>
      </c>
      <c r="I365" s="80">
        <v>16000</v>
      </c>
      <c r="J365" s="83" t="s">
        <v>116</v>
      </c>
      <c r="K365" s="89"/>
      <c r="L365" s="90"/>
      <c r="M365" s="82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5"/>
    </row>
    <row r="366" s="63" customFormat="1" ht="14.4" customHeight="1" spans="1:31">
      <c r="A366" s="68">
        <v>365</v>
      </c>
      <c r="B366" s="69" t="s">
        <v>94</v>
      </c>
      <c r="C366" s="70" t="s">
        <v>276</v>
      </c>
      <c r="D366" s="70" t="s">
        <v>131</v>
      </c>
      <c r="E366" s="88" t="s">
        <v>121</v>
      </c>
      <c r="F366" s="91">
        <v>45429.5739467593</v>
      </c>
      <c r="G366" s="91">
        <v>45430.6909490741</v>
      </c>
      <c r="H366" s="79" t="s">
        <v>97</v>
      </c>
      <c r="I366" s="80">
        <v>16000</v>
      </c>
      <c r="J366" s="83" t="s">
        <v>116</v>
      </c>
      <c r="K366" s="89"/>
      <c r="L366" s="90"/>
      <c r="M366" s="82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5"/>
    </row>
    <row r="367" s="63" customFormat="1" ht="14.4" customHeight="1" spans="1:31">
      <c r="A367" s="68">
        <v>366</v>
      </c>
      <c r="B367" s="69" t="s">
        <v>94</v>
      </c>
      <c r="C367" s="70" t="s">
        <v>276</v>
      </c>
      <c r="D367" s="70" t="s">
        <v>132</v>
      </c>
      <c r="E367" s="88" t="s">
        <v>121</v>
      </c>
      <c r="F367" s="91">
        <v>45429.5782986111</v>
      </c>
      <c r="G367" s="91">
        <v>45430.6910300926</v>
      </c>
      <c r="H367" s="79" t="s">
        <v>97</v>
      </c>
      <c r="I367" s="80">
        <v>16000</v>
      </c>
      <c r="J367" s="83" t="s">
        <v>116</v>
      </c>
      <c r="K367" s="89"/>
      <c r="L367" s="90"/>
      <c r="M367" s="82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5"/>
    </row>
    <row r="368" s="63" customFormat="1" ht="14.4" customHeight="1" spans="1:31">
      <c r="A368" s="68">
        <v>367</v>
      </c>
      <c r="B368" s="69" t="s">
        <v>94</v>
      </c>
      <c r="C368" s="70" t="s">
        <v>276</v>
      </c>
      <c r="D368" s="84" t="s">
        <v>137</v>
      </c>
      <c r="E368" s="88" t="s">
        <v>121</v>
      </c>
      <c r="F368" s="91">
        <v>46184.7606481481</v>
      </c>
      <c r="G368" s="91">
        <v>46191.7708333333</v>
      </c>
      <c r="H368" s="79" t="s">
        <v>97</v>
      </c>
      <c r="I368" s="80">
        <v>16000</v>
      </c>
      <c r="J368" s="83" t="s">
        <v>116</v>
      </c>
      <c r="K368" s="89"/>
      <c r="L368" s="90"/>
      <c r="M368" s="82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5"/>
    </row>
    <row r="369" s="63" customFormat="1" ht="14.4" customHeight="1" spans="1:31">
      <c r="A369" s="68">
        <v>368</v>
      </c>
      <c r="B369" s="69" t="s">
        <v>94</v>
      </c>
      <c r="C369" s="70" t="s">
        <v>276</v>
      </c>
      <c r="D369" s="84" t="s">
        <v>139</v>
      </c>
      <c r="E369" s="88"/>
      <c r="F369" s="84"/>
      <c r="G369" s="84"/>
      <c r="H369" s="79" t="s">
        <v>97</v>
      </c>
      <c r="I369" s="80">
        <v>16000</v>
      </c>
      <c r="J369" s="84"/>
      <c r="K369" s="89"/>
      <c r="L369" s="90"/>
      <c r="M369" s="82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5"/>
    </row>
    <row r="370" s="63" customFormat="1" ht="14.4" customHeight="1" spans="1:31">
      <c r="A370" s="68">
        <v>369</v>
      </c>
      <c r="B370" s="69" t="s">
        <v>94</v>
      </c>
      <c r="C370" s="70" t="s">
        <v>276</v>
      </c>
      <c r="D370" s="84" t="s">
        <v>140</v>
      </c>
      <c r="E370" s="88"/>
      <c r="F370" s="84"/>
      <c r="G370" s="84"/>
      <c r="H370" s="79" t="s">
        <v>97</v>
      </c>
      <c r="I370" s="80">
        <v>16000</v>
      </c>
      <c r="J370" s="84"/>
      <c r="K370" s="89"/>
      <c r="L370" s="90"/>
      <c r="M370" s="82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5"/>
    </row>
    <row r="371" s="63" customFormat="1" ht="14.4" customHeight="1" spans="1:31">
      <c r="A371" s="68">
        <v>370</v>
      </c>
      <c r="B371" s="69" t="s">
        <v>94</v>
      </c>
      <c r="C371" s="70" t="s">
        <v>276</v>
      </c>
      <c r="D371" s="84" t="s">
        <v>141</v>
      </c>
      <c r="E371" s="88"/>
      <c r="F371" s="84"/>
      <c r="G371" s="84"/>
      <c r="H371" s="79" t="s">
        <v>97</v>
      </c>
      <c r="I371" s="80">
        <v>16000</v>
      </c>
      <c r="J371" s="84"/>
      <c r="K371" s="89"/>
      <c r="L371" s="90"/>
      <c r="M371" s="82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5"/>
    </row>
    <row r="372" s="63" customFormat="1" ht="14.4" customHeight="1" spans="1:31">
      <c r="A372" s="68">
        <v>371</v>
      </c>
      <c r="B372" s="69" t="s">
        <v>94</v>
      </c>
      <c r="C372" s="70" t="s">
        <v>276</v>
      </c>
      <c r="D372" s="84" t="s">
        <v>142</v>
      </c>
      <c r="E372" s="88"/>
      <c r="F372" s="84"/>
      <c r="G372" s="84"/>
      <c r="H372" s="79" t="s">
        <v>97</v>
      </c>
      <c r="I372" s="80">
        <v>16000</v>
      </c>
      <c r="J372" s="84"/>
      <c r="K372" s="89"/>
      <c r="L372" s="90"/>
      <c r="M372" s="82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5"/>
    </row>
    <row r="373" s="63" customFormat="1" ht="14.4" customHeight="1" spans="1:31">
      <c r="A373" s="68">
        <v>372</v>
      </c>
      <c r="B373" s="69" t="s">
        <v>94</v>
      </c>
      <c r="C373" s="70" t="s">
        <v>276</v>
      </c>
      <c r="D373" s="84" t="s">
        <v>143</v>
      </c>
      <c r="E373" s="88"/>
      <c r="F373" s="84"/>
      <c r="G373" s="84"/>
      <c r="H373" s="79" t="s">
        <v>97</v>
      </c>
      <c r="I373" s="80">
        <v>16000</v>
      </c>
      <c r="J373" s="84"/>
      <c r="K373" s="89"/>
      <c r="L373" s="90"/>
      <c r="M373" s="82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5"/>
    </row>
    <row r="374" s="63" customFormat="1" ht="14.4" customHeight="1" spans="1:31">
      <c r="A374" s="68">
        <v>373</v>
      </c>
      <c r="B374" s="69" t="s">
        <v>94</v>
      </c>
      <c r="C374" s="70" t="s">
        <v>276</v>
      </c>
      <c r="D374" s="84" t="s">
        <v>144</v>
      </c>
      <c r="E374" s="88"/>
      <c r="F374" s="84"/>
      <c r="G374" s="84"/>
      <c r="H374" s="79" t="s">
        <v>97</v>
      </c>
      <c r="I374" s="80">
        <v>16000</v>
      </c>
      <c r="J374" s="84"/>
      <c r="K374" s="89"/>
      <c r="L374" s="90"/>
      <c r="M374" s="82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5"/>
    </row>
    <row r="375" s="63" customFormat="1" ht="14.4" customHeight="1" spans="1:31">
      <c r="A375" s="68">
        <v>374</v>
      </c>
      <c r="B375" s="69" t="s">
        <v>94</v>
      </c>
      <c r="C375" s="70" t="s">
        <v>276</v>
      </c>
      <c r="D375" s="84" t="s">
        <v>145</v>
      </c>
      <c r="E375" s="88" t="s">
        <v>121</v>
      </c>
      <c r="F375" s="91">
        <v>45856.5926157407</v>
      </c>
      <c r="G375" s="91">
        <v>45859.771087963</v>
      </c>
      <c r="H375" s="79" t="s">
        <v>97</v>
      </c>
      <c r="I375" s="80">
        <v>16000</v>
      </c>
      <c r="J375" s="83" t="s">
        <v>116</v>
      </c>
      <c r="K375" s="89"/>
      <c r="L375" s="90"/>
      <c r="M375" s="82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5"/>
    </row>
    <row r="376" s="63" customFormat="1" ht="14.4" customHeight="1" spans="1:31">
      <c r="A376" s="68">
        <v>375</v>
      </c>
      <c r="B376" s="69" t="s">
        <v>94</v>
      </c>
      <c r="C376" s="70" t="s">
        <v>276</v>
      </c>
      <c r="D376" s="84" t="s">
        <v>146</v>
      </c>
      <c r="E376" s="88"/>
      <c r="F376" s="84"/>
      <c r="G376" s="84"/>
      <c r="H376" s="79" t="s">
        <v>97</v>
      </c>
      <c r="I376" s="80">
        <v>16000</v>
      </c>
      <c r="J376" s="84"/>
      <c r="K376" s="89"/>
      <c r="L376" s="90"/>
      <c r="M376" s="82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5"/>
    </row>
    <row r="377" s="63" customFormat="1" ht="14.4" customHeight="1" spans="1:31">
      <c r="A377" s="68">
        <v>376</v>
      </c>
      <c r="B377" s="69" t="s">
        <v>94</v>
      </c>
      <c r="C377" s="70" t="s">
        <v>276</v>
      </c>
      <c r="D377" s="84" t="s">
        <v>147</v>
      </c>
      <c r="E377" s="88"/>
      <c r="F377" s="84"/>
      <c r="G377" s="84"/>
      <c r="H377" s="79" t="s">
        <v>97</v>
      </c>
      <c r="I377" s="80">
        <v>16000</v>
      </c>
      <c r="J377" s="84"/>
      <c r="K377" s="89"/>
      <c r="L377" s="90"/>
      <c r="M377" s="82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  <c r="AA377" s="84"/>
      <c r="AB377" s="84"/>
      <c r="AC377" s="84"/>
      <c r="AD377" s="84"/>
      <c r="AE377" s="85"/>
    </row>
    <row r="378" s="63" customFormat="1" ht="14.4" customHeight="1" spans="1:31">
      <c r="A378" s="68">
        <v>377</v>
      </c>
      <c r="B378" s="69" t="s">
        <v>94</v>
      </c>
      <c r="C378" s="70" t="s">
        <v>276</v>
      </c>
      <c r="D378" s="84" t="s">
        <v>148</v>
      </c>
      <c r="E378" s="88" t="s">
        <v>121</v>
      </c>
      <c r="F378" s="91">
        <v>45793.6849768519</v>
      </c>
      <c r="G378" s="91">
        <v>45794.7502546296</v>
      </c>
      <c r="H378" s="79" t="s">
        <v>97</v>
      </c>
      <c r="I378" s="80">
        <v>16000</v>
      </c>
      <c r="J378" s="83" t="s">
        <v>116</v>
      </c>
      <c r="K378" s="89"/>
      <c r="L378" s="90"/>
      <c r="M378" s="82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5"/>
    </row>
    <row r="379" s="63" customFormat="1" ht="14.4" customHeight="1" spans="1:31">
      <c r="A379" s="68">
        <v>378</v>
      </c>
      <c r="B379" s="69" t="s">
        <v>94</v>
      </c>
      <c r="C379" s="70" t="s">
        <v>276</v>
      </c>
      <c r="D379" s="84" t="s">
        <v>149</v>
      </c>
      <c r="E379" s="88" t="s">
        <v>121</v>
      </c>
      <c r="F379" s="91">
        <v>45793.6849768519</v>
      </c>
      <c r="G379" s="91">
        <v>45794.7502546296</v>
      </c>
      <c r="H379" s="79" t="s">
        <v>97</v>
      </c>
      <c r="I379" s="80">
        <v>16000</v>
      </c>
      <c r="J379" s="83" t="s">
        <v>116</v>
      </c>
      <c r="K379" s="89"/>
      <c r="L379" s="90"/>
      <c r="M379" s="82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5"/>
    </row>
    <row r="380" s="63" customFormat="1" ht="14.4" customHeight="1" spans="1:31">
      <c r="A380" s="68">
        <v>379</v>
      </c>
      <c r="B380" s="69" t="s">
        <v>94</v>
      </c>
      <c r="C380" s="92" t="s">
        <v>276</v>
      </c>
      <c r="D380" s="92" t="s">
        <v>154</v>
      </c>
      <c r="E380" s="101" t="s">
        <v>115</v>
      </c>
      <c r="F380" s="94">
        <v>46198.8822569444</v>
      </c>
      <c r="G380" s="94">
        <v>46197.8824768519</v>
      </c>
      <c r="H380" s="79" t="s">
        <v>97</v>
      </c>
      <c r="I380" s="80">
        <v>16000</v>
      </c>
      <c r="J380" s="83" t="s">
        <v>116</v>
      </c>
      <c r="K380" s="88" t="s">
        <v>121</v>
      </c>
      <c r="L380" s="91">
        <v>46184.7606481481</v>
      </c>
      <c r="M380" s="91">
        <v>46191.7708333333</v>
      </c>
      <c r="N380" s="95" t="s">
        <v>120</v>
      </c>
      <c r="O380" s="96">
        <v>46193.9167824074</v>
      </c>
      <c r="P380" s="96">
        <v>46192.9170023148</v>
      </c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5"/>
    </row>
    <row r="381" s="63" customFormat="1" ht="14.4" customHeight="1" spans="1:31">
      <c r="A381" s="68">
        <v>380</v>
      </c>
      <c r="B381" s="69" t="s">
        <v>94</v>
      </c>
      <c r="C381" s="70" t="s">
        <v>276</v>
      </c>
      <c r="D381" s="84" t="s">
        <v>155</v>
      </c>
      <c r="E381" s="88"/>
      <c r="F381" s="84"/>
      <c r="G381" s="84"/>
      <c r="H381" s="79" t="s">
        <v>97</v>
      </c>
      <c r="I381" s="80">
        <v>16000</v>
      </c>
      <c r="J381" s="84"/>
      <c r="K381" s="89"/>
      <c r="L381" s="90"/>
      <c r="M381" s="82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5"/>
    </row>
    <row r="382" s="63" customFormat="1" ht="14.4" customHeight="1" spans="1:31">
      <c r="A382" s="68">
        <v>381</v>
      </c>
      <c r="B382" s="69" t="s">
        <v>94</v>
      </c>
      <c r="C382" s="70" t="s">
        <v>276</v>
      </c>
      <c r="D382" s="84" t="s">
        <v>156</v>
      </c>
      <c r="E382" s="88"/>
      <c r="F382" s="84"/>
      <c r="G382" s="84"/>
      <c r="H382" s="79" t="s">
        <v>97</v>
      </c>
      <c r="I382" s="80">
        <v>16000</v>
      </c>
      <c r="J382" s="84"/>
      <c r="K382" s="89"/>
      <c r="L382" s="90"/>
      <c r="M382" s="82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5"/>
    </row>
    <row r="383" s="63" customFormat="1" ht="14.4" customHeight="1" spans="1:31">
      <c r="A383" s="68">
        <v>382</v>
      </c>
      <c r="B383" s="69" t="s">
        <v>94</v>
      </c>
      <c r="C383" s="70" t="s">
        <v>276</v>
      </c>
      <c r="D383" s="84" t="s">
        <v>157</v>
      </c>
      <c r="E383" s="88"/>
      <c r="F383" s="84"/>
      <c r="G383" s="84"/>
      <c r="H383" s="79" t="s">
        <v>97</v>
      </c>
      <c r="I383" s="80">
        <v>16000</v>
      </c>
      <c r="J383" s="84"/>
      <c r="K383" s="89"/>
      <c r="L383" s="90"/>
      <c r="M383" s="82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5"/>
    </row>
    <row r="384" s="63" customFormat="1" ht="14.4" customHeight="1" spans="1:31">
      <c r="A384" s="68">
        <v>383</v>
      </c>
      <c r="B384" s="69" t="s">
        <v>94</v>
      </c>
      <c r="C384" s="70" t="s">
        <v>276</v>
      </c>
      <c r="D384" s="84" t="s">
        <v>158</v>
      </c>
      <c r="E384" s="88"/>
      <c r="F384" s="84"/>
      <c r="G384" s="84"/>
      <c r="H384" s="79" t="s">
        <v>97</v>
      </c>
      <c r="I384" s="80">
        <v>16000</v>
      </c>
      <c r="J384" s="84"/>
      <c r="K384" s="89"/>
      <c r="L384" s="90"/>
      <c r="M384" s="82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5"/>
    </row>
    <row r="385" s="63" customFormat="1" ht="14.4" customHeight="1" spans="1:31">
      <c r="A385" s="68">
        <v>384</v>
      </c>
      <c r="B385" s="69" t="s">
        <v>94</v>
      </c>
      <c r="C385" s="70" t="s">
        <v>276</v>
      </c>
      <c r="D385" s="84" t="s">
        <v>159</v>
      </c>
      <c r="E385" s="88"/>
      <c r="F385" s="84"/>
      <c r="G385" s="84"/>
      <c r="H385" s="79" t="s">
        <v>97</v>
      </c>
      <c r="I385" s="80">
        <v>16000</v>
      </c>
      <c r="J385" s="84"/>
      <c r="K385" s="89"/>
      <c r="L385" s="90"/>
      <c r="M385" s="82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5"/>
    </row>
    <row r="386" s="63" customFormat="1" ht="14.4" customHeight="1" spans="1:31">
      <c r="A386" s="68">
        <v>385</v>
      </c>
      <c r="B386" s="69" t="s">
        <v>94</v>
      </c>
      <c r="C386" s="70" t="s">
        <v>276</v>
      </c>
      <c r="D386" s="84" t="s">
        <v>160</v>
      </c>
      <c r="E386" s="88"/>
      <c r="F386" s="84"/>
      <c r="G386" s="84"/>
      <c r="H386" s="79" t="s">
        <v>97</v>
      </c>
      <c r="I386" s="80">
        <v>16000</v>
      </c>
      <c r="J386" s="84"/>
      <c r="K386" s="89"/>
      <c r="L386" s="90"/>
      <c r="M386" s="82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5"/>
    </row>
    <row r="387" s="63" customFormat="1" ht="14.4" customHeight="1" spans="1:31">
      <c r="A387" s="68">
        <v>386</v>
      </c>
      <c r="B387" s="69" t="s">
        <v>94</v>
      </c>
      <c r="C387" s="70" t="s">
        <v>276</v>
      </c>
      <c r="D387" s="84" t="s">
        <v>161</v>
      </c>
      <c r="E387" s="88" t="s">
        <v>121</v>
      </c>
      <c r="F387" s="91">
        <v>45856.5926157407</v>
      </c>
      <c r="G387" s="91">
        <v>45859.771087963</v>
      </c>
      <c r="H387" s="79" t="s">
        <v>97</v>
      </c>
      <c r="I387" s="80">
        <v>16000</v>
      </c>
      <c r="J387" s="83" t="s">
        <v>116</v>
      </c>
      <c r="K387" s="89"/>
      <c r="L387" s="90"/>
      <c r="M387" s="82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5"/>
    </row>
    <row r="388" s="63" customFormat="1" ht="14.4" customHeight="1" spans="1:31">
      <c r="A388" s="68">
        <v>387</v>
      </c>
      <c r="B388" s="69" t="s">
        <v>94</v>
      </c>
      <c r="C388" s="70" t="s">
        <v>276</v>
      </c>
      <c r="D388" s="84" t="s">
        <v>162</v>
      </c>
      <c r="E388" s="88"/>
      <c r="F388" s="84"/>
      <c r="G388" s="84"/>
      <c r="H388" s="79" t="s">
        <v>97</v>
      </c>
      <c r="I388" s="80">
        <v>16000</v>
      </c>
      <c r="J388" s="84"/>
      <c r="K388" s="89"/>
      <c r="L388" s="90"/>
      <c r="M388" s="82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5"/>
    </row>
    <row r="389" s="63" customFormat="1" ht="14.4" customHeight="1" spans="1:31">
      <c r="A389" s="68">
        <v>388</v>
      </c>
      <c r="B389" s="69" t="s">
        <v>94</v>
      </c>
      <c r="C389" s="70" t="s">
        <v>276</v>
      </c>
      <c r="D389" s="84" t="s">
        <v>163</v>
      </c>
      <c r="E389" s="84" t="s">
        <v>115</v>
      </c>
      <c r="F389" s="91">
        <v>45857.8821875</v>
      </c>
      <c r="G389" s="91">
        <v>45856.8822569444</v>
      </c>
      <c r="H389" s="79" t="s">
        <v>97</v>
      </c>
      <c r="I389" s="80">
        <v>16000</v>
      </c>
      <c r="J389" s="83" t="s">
        <v>116</v>
      </c>
      <c r="K389" s="88" t="s">
        <v>121</v>
      </c>
      <c r="L389" s="91">
        <v>45833.6849768519</v>
      </c>
      <c r="M389" s="91">
        <v>45833.771087963</v>
      </c>
      <c r="N389" s="84" t="s">
        <v>120</v>
      </c>
      <c r="O389" s="91">
        <v>45835.9167939815</v>
      </c>
      <c r="P389" s="91">
        <v>45834.916875</v>
      </c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5"/>
    </row>
    <row r="390" s="63" customFormat="1" ht="14.4" customHeight="1" spans="1:31">
      <c r="A390" s="68">
        <v>389</v>
      </c>
      <c r="B390" s="69" t="s">
        <v>94</v>
      </c>
      <c r="C390" s="70" t="s">
        <v>276</v>
      </c>
      <c r="D390" s="84" t="s">
        <v>164</v>
      </c>
      <c r="E390" s="88"/>
      <c r="F390" s="84"/>
      <c r="G390" s="84"/>
      <c r="H390" s="79" t="s">
        <v>97</v>
      </c>
      <c r="I390" s="80">
        <v>16000</v>
      </c>
      <c r="J390" s="84"/>
      <c r="K390" s="89"/>
      <c r="L390" s="90"/>
      <c r="M390" s="82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5"/>
    </row>
    <row r="391" s="63" customFormat="1" ht="14.4" customHeight="1" spans="1:31">
      <c r="A391" s="68">
        <v>390</v>
      </c>
      <c r="B391" s="69" t="s">
        <v>94</v>
      </c>
      <c r="C391" s="70" t="s">
        <v>276</v>
      </c>
      <c r="D391" s="84" t="s">
        <v>165</v>
      </c>
      <c r="E391" s="88"/>
      <c r="F391" s="84"/>
      <c r="G391" s="84"/>
      <c r="H391" s="79" t="s">
        <v>97</v>
      </c>
      <c r="I391" s="80">
        <v>16000</v>
      </c>
      <c r="J391" s="84"/>
      <c r="K391" s="89"/>
      <c r="L391" s="90"/>
      <c r="M391" s="82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5"/>
    </row>
    <row r="392" s="63" customFormat="1" ht="14.4" customHeight="1" spans="1:31">
      <c r="A392" s="68">
        <v>391</v>
      </c>
      <c r="B392" s="69" t="s">
        <v>94</v>
      </c>
      <c r="C392" s="70" t="s">
        <v>276</v>
      </c>
      <c r="D392" s="84" t="s">
        <v>166</v>
      </c>
      <c r="E392" s="88" t="s">
        <v>121</v>
      </c>
      <c r="F392" s="91">
        <v>45793.6849768519</v>
      </c>
      <c r="G392" s="91">
        <v>45794.7502546296</v>
      </c>
      <c r="H392" s="79" t="s">
        <v>97</v>
      </c>
      <c r="I392" s="80">
        <v>16000</v>
      </c>
      <c r="J392" s="83" t="s">
        <v>116</v>
      </c>
      <c r="K392" s="89"/>
      <c r="L392" s="90"/>
      <c r="M392" s="82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5"/>
    </row>
    <row r="393" s="63" customFormat="1" ht="14.4" customHeight="1" spans="1:31">
      <c r="A393" s="68">
        <v>392</v>
      </c>
      <c r="B393" s="69" t="s">
        <v>94</v>
      </c>
      <c r="C393" s="70" t="s">
        <v>276</v>
      </c>
      <c r="D393" s="84" t="s">
        <v>167</v>
      </c>
      <c r="E393" s="88" t="s">
        <v>121</v>
      </c>
      <c r="F393" s="91">
        <v>45793.6849768519</v>
      </c>
      <c r="G393" s="91">
        <v>45794.7502546296</v>
      </c>
      <c r="H393" s="79" t="s">
        <v>97</v>
      </c>
      <c r="I393" s="80">
        <v>16000</v>
      </c>
      <c r="J393" s="83" t="s">
        <v>116</v>
      </c>
      <c r="K393" s="89"/>
      <c r="L393" s="90"/>
      <c r="M393" s="82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5"/>
    </row>
    <row r="394" s="63" customFormat="1" ht="14.4" customHeight="1" spans="1:31">
      <c r="A394" s="68">
        <v>393</v>
      </c>
      <c r="B394" s="69" t="s">
        <v>94</v>
      </c>
      <c r="C394" s="70" t="s">
        <v>276</v>
      </c>
      <c r="D394" s="84" t="s">
        <v>172</v>
      </c>
      <c r="E394" s="84" t="s">
        <v>115</v>
      </c>
      <c r="F394" s="91">
        <v>45609.8841203704</v>
      </c>
      <c r="G394" s="91">
        <v>45608.884224537</v>
      </c>
      <c r="H394" s="79" t="s">
        <v>97</v>
      </c>
      <c r="I394" s="80">
        <v>16000</v>
      </c>
      <c r="J394" s="83" t="s">
        <v>116</v>
      </c>
      <c r="K394" s="88" t="s">
        <v>117</v>
      </c>
      <c r="L394" s="91">
        <v>45411.6167476852</v>
      </c>
      <c r="M394" s="91">
        <v>45429.7024421296</v>
      </c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5"/>
    </row>
    <row r="395" s="63" customFormat="1" ht="14.4" customHeight="1" spans="1:31">
      <c r="A395" s="68">
        <v>394</v>
      </c>
      <c r="B395" s="69" t="s">
        <v>94</v>
      </c>
      <c r="C395" s="70" t="s">
        <v>276</v>
      </c>
      <c r="D395" s="84" t="s">
        <v>173</v>
      </c>
      <c r="E395" s="84" t="s">
        <v>115</v>
      </c>
      <c r="F395" s="91">
        <v>45587.8980555556</v>
      </c>
      <c r="G395" s="91">
        <v>45586.8981712963</v>
      </c>
      <c r="H395" s="86" t="s">
        <v>99</v>
      </c>
      <c r="I395" s="87">
        <v>12000</v>
      </c>
      <c r="J395" s="83" t="s">
        <v>116</v>
      </c>
      <c r="K395" s="88" t="s">
        <v>117</v>
      </c>
      <c r="L395" s="91">
        <v>45411.6168287037</v>
      </c>
      <c r="M395" s="91">
        <v>45429.7025115741</v>
      </c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5"/>
    </row>
    <row r="396" s="63" customFormat="1" ht="14.4" customHeight="1" spans="1:31">
      <c r="A396" s="68">
        <v>395</v>
      </c>
      <c r="B396" s="69" t="s">
        <v>94</v>
      </c>
      <c r="C396" s="70" t="s">
        <v>276</v>
      </c>
      <c r="D396" s="84" t="s">
        <v>174</v>
      </c>
      <c r="E396" s="84" t="s">
        <v>115</v>
      </c>
      <c r="F396" s="91">
        <v>45443.4083912037</v>
      </c>
      <c r="G396" s="91">
        <v>45442.4194675926</v>
      </c>
      <c r="H396" s="86" t="s">
        <v>99</v>
      </c>
      <c r="I396" s="87">
        <v>12000</v>
      </c>
      <c r="J396" s="83" t="s">
        <v>116</v>
      </c>
      <c r="K396" s="88" t="s">
        <v>117</v>
      </c>
      <c r="L396" s="91">
        <v>45411.6169328704</v>
      </c>
      <c r="M396" s="91">
        <v>45429.7025694444</v>
      </c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5"/>
    </row>
    <row r="397" s="63" customFormat="1" ht="14.4" customHeight="1" spans="1:31">
      <c r="A397" s="68">
        <v>396</v>
      </c>
      <c r="B397" s="69" t="s">
        <v>94</v>
      </c>
      <c r="C397" s="70" t="s">
        <v>276</v>
      </c>
      <c r="D397" s="84" t="s">
        <v>175</v>
      </c>
      <c r="E397" s="84" t="s">
        <v>115</v>
      </c>
      <c r="F397" s="91">
        <v>45443.4083680556</v>
      </c>
      <c r="G397" s="91">
        <v>45442.4195138889</v>
      </c>
      <c r="H397" s="86" t="s">
        <v>99</v>
      </c>
      <c r="I397" s="87">
        <v>12000</v>
      </c>
      <c r="J397" s="83" t="s">
        <v>116</v>
      </c>
      <c r="K397" s="88" t="s">
        <v>117</v>
      </c>
      <c r="L397" s="91">
        <v>45411.6170023148</v>
      </c>
      <c r="M397" s="91">
        <v>45429.7026388889</v>
      </c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5"/>
    </row>
    <row r="398" s="63" customFormat="1" ht="14.4" customHeight="1" spans="1:31">
      <c r="A398" s="68">
        <v>397</v>
      </c>
      <c r="B398" s="69" t="s">
        <v>94</v>
      </c>
      <c r="C398" s="70" t="s">
        <v>276</v>
      </c>
      <c r="D398" s="84" t="s">
        <v>176</v>
      </c>
      <c r="E398" s="84" t="s">
        <v>115</v>
      </c>
      <c r="F398" s="91">
        <v>45443.4085069444</v>
      </c>
      <c r="G398" s="91">
        <v>45442.4195486111</v>
      </c>
      <c r="H398" s="86" t="s">
        <v>99</v>
      </c>
      <c r="I398" s="87">
        <v>12000</v>
      </c>
      <c r="J398" s="83" t="s">
        <v>116</v>
      </c>
      <c r="K398" s="88" t="s">
        <v>117</v>
      </c>
      <c r="L398" s="91">
        <v>45411.6170949074</v>
      </c>
      <c r="M398" s="91">
        <v>45429.7027199074</v>
      </c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5"/>
    </row>
    <row r="399" s="63" customFormat="1" ht="14.4" customHeight="1" spans="1:31">
      <c r="A399" s="68">
        <v>398</v>
      </c>
      <c r="B399" s="69" t="s">
        <v>94</v>
      </c>
      <c r="C399" s="70" t="s">
        <v>276</v>
      </c>
      <c r="D399" s="84" t="s">
        <v>177</v>
      </c>
      <c r="E399" s="84" t="s">
        <v>115</v>
      </c>
      <c r="F399" s="91">
        <v>45443.4083912037</v>
      </c>
      <c r="G399" s="91">
        <v>45442.4195949074</v>
      </c>
      <c r="H399" s="86" t="s">
        <v>99</v>
      </c>
      <c r="I399" s="87">
        <v>12000</v>
      </c>
      <c r="J399" s="83" t="s">
        <v>116</v>
      </c>
      <c r="K399" s="88" t="s">
        <v>117</v>
      </c>
      <c r="L399" s="91">
        <v>45411.6171643519</v>
      </c>
      <c r="M399" s="91">
        <v>45429.7027777778</v>
      </c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5"/>
    </row>
    <row r="400" s="63" customFormat="1" ht="14.4" customHeight="1" spans="1:31">
      <c r="A400" s="68">
        <v>399</v>
      </c>
      <c r="B400" s="69" t="s">
        <v>94</v>
      </c>
      <c r="C400" s="70" t="s">
        <v>276</v>
      </c>
      <c r="D400" s="84" t="s">
        <v>178</v>
      </c>
      <c r="E400" s="84" t="s">
        <v>115</v>
      </c>
      <c r="F400" s="91">
        <v>45443.4085648148</v>
      </c>
      <c r="G400" s="91">
        <v>45442.4196412037</v>
      </c>
      <c r="H400" s="86" t="s">
        <v>99</v>
      </c>
      <c r="I400" s="87">
        <v>12000</v>
      </c>
      <c r="J400" s="83" t="s">
        <v>116</v>
      </c>
      <c r="K400" s="88" t="s">
        <v>117</v>
      </c>
      <c r="L400" s="91">
        <v>45411.6176157407</v>
      </c>
      <c r="M400" s="91">
        <v>45429.7028819444</v>
      </c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5"/>
    </row>
    <row r="401" s="63" customFormat="1" ht="14.4" customHeight="1" spans="1:31">
      <c r="A401" s="68">
        <v>400</v>
      </c>
      <c r="B401" s="69" t="s">
        <v>94</v>
      </c>
      <c r="C401" s="70" t="s">
        <v>276</v>
      </c>
      <c r="D401" s="84" t="s">
        <v>179</v>
      </c>
      <c r="E401" s="84" t="s">
        <v>115</v>
      </c>
      <c r="F401" s="91">
        <v>45443.4084953704</v>
      </c>
      <c r="G401" s="91">
        <v>45442.4196875</v>
      </c>
      <c r="H401" s="86" t="s">
        <v>99</v>
      </c>
      <c r="I401" s="87">
        <v>12000</v>
      </c>
      <c r="J401" s="83" t="s">
        <v>116</v>
      </c>
      <c r="K401" s="88" t="s">
        <v>117</v>
      </c>
      <c r="L401" s="91">
        <v>45411.6177199074</v>
      </c>
      <c r="M401" s="91">
        <v>45429.7030324074</v>
      </c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5"/>
    </row>
    <row r="402" s="63" customFormat="1" ht="14.4" customHeight="1" spans="1:31">
      <c r="A402" s="68">
        <v>401</v>
      </c>
      <c r="B402" s="69" t="s">
        <v>94</v>
      </c>
      <c r="C402" s="70" t="s">
        <v>276</v>
      </c>
      <c r="D402" s="84" t="s">
        <v>180</v>
      </c>
      <c r="E402" s="84" t="s">
        <v>115</v>
      </c>
      <c r="F402" s="91">
        <v>45443.4083217593</v>
      </c>
      <c r="G402" s="91">
        <v>45442.4197337963</v>
      </c>
      <c r="H402" s="86" t="s">
        <v>99</v>
      </c>
      <c r="I402" s="87">
        <v>12000</v>
      </c>
      <c r="J402" s="83" t="s">
        <v>116</v>
      </c>
      <c r="K402" s="88" t="s">
        <v>117</v>
      </c>
      <c r="L402" s="91">
        <v>45411.6179166667</v>
      </c>
      <c r="M402" s="91">
        <v>45429.703125</v>
      </c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5"/>
    </row>
    <row r="403" s="63" customFormat="1" ht="14.4" customHeight="1" spans="1:31">
      <c r="A403" s="68">
        <v>402</v>
      </c>
      <c r="B403" s="69" t="s">
        <v>94</v>
      </c>
      <c r="C403" s="70" t="s">
        <v>276</v>
      </c>
      <c r="D403" s="84" t="s">
        <v>181</v>
      </c>
      <c r="E403" s="84" t="s">
        <v>115</v>
      </c>
      <c r="F403" s="91">
        <v>45443.4084953704</v>
      </c>
      <c r="G403" s="91">
        <v>45442.4197916667</v>
      </c>
      <c r="H403" s="86" t="s">
        <v>99</v>
      </c>
      <c r="I403" s="87">
        <v>12000</v>
      </c>
      <c r="J403" s="83" t="s">
        <v>116</v>
      </c>
      <c r="K403" s="88" t="s">
        <v>117</v>
      </c>
      <c r="L403" s="91">
        <v>45411.6180208333</v>
      </c>
      <c r="M403" s="91">
        <v>45429.7032523148</v>
      </c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5"/>
    </row>
    <row r="404" s="63" customFormat="1" ht="14.4" customHeight="1" spans="1:31">
      <c r="A404" s="68">
        <v>403</v>
      </c>
      <c r="B404" s="69" t="s">
        <v>94</v>
      </c>
      <c r="C404" s="70" t="s">
        <v>276</v>
      </c>
      <c r="D404" s="84" t="s">
        <v>182</v>
      </c>
      <c r="E404" s="84" t="s">
        <v>115</v>
      </c>
      <c r="F404" s="91">
        <v>45443.4085763889</v>
      </c>
      <c r="G404" s="91">
        <v>45442.419837963</v>
      </c>
      <c r="H404" s="86" t="s">
        <v>99</v>
      </c>
      <c r="I404" s="87">
        <v>12000</v>
      </c>
      <c r="J404" s="83" t="s">
        <v>116</v>
      </c>
      <c r="K404" s="88" t="s">
        <v>117</v>
      </c>
      <c r="L404" s="91">
        <v>45411.6181018519</v>
      </c>
      <c r="M404" s="91">
        <v>45429.7033217593</v>
      </c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5"/>
    </row>
    <row r="405" s="63" customFormat="1" ht="14.4" customHeight="1" spans="1:31">
      <c r="A405" s="68">
        <v>404</v>
      </c>
      <c r="B405" s="69" t="s">
        <v>94</v>
      </c>
      <c r="C405" s="70" t="s">
        <v>276</v>
      </c>
      <c r="D405" s="84" t="s">
        <v>183</v>
      </c>
      <c r="E405" s="84" t="s">
        <v>115</v>
      </c>
      <c r="F405" s="91">
        <v>45443.4083912037</v>
      </c>
      <c r="G405" s="91">
        <v>45442.4198842593</v>
      </c>
      <c r="H405" s="86" t="s">
        <v>99</v>
      </c>
      <c r="I405" s="87">
        <v>12000</v>
      </c>
      <c r="J405" s="83" t="s">
        <v>116</v>
      </c>
      <c r="K405" s="88" t="s">
        <v>117</v>
      </c>
      <c r="L405" s="91">
        <v>45411.6182523148</v>
      </c>
      <c r="M405" s="91">
        <v>45429.7036226852</v>
      </c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5"/>
    </row>
    <row r="406" s="63" customFormat="1" ht="14.4" customHeight="1" spans="1:31">
      <c r="A406" s="68">
        <v>405</v>
      </c>
      <c r="B406" s="69" t="s">
        <v>94</v>
      </c>
      <c r="C406" s="70" t="s">
        <v>276</v>
      </c>
      <c r="D406" s="84" t="s">
        <v>184</v>
      </c>
      <c r="E406" s="84" t="s">
        <v>115</v>
      </c>
      <c r="F406" s="91">
        <v>45443.4084953704</v>
      </c>
      <c r="G406" s="91">
        <v>45442.4199305556</v>
      </c>
      <c r="H406" s="86" t="s">
        <v>99</v>
      </c>
      <c r="I406" s="87">
        <v>12000</v>
      </c>
      <c r="J406" s="83" t="s">
        <v>116</v>
      </c>
      <c r="K406" s="88" t="s">
        <v>117</v>
      </c>
      <c r="L406" s="91">
        <v>45411.6183912037</v>
      </c>
      <c r="M406" s="91">
        <v>45429.7036921296</v>
      </c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5"/>
    </row>
    <row r="407" s="63" customFormat="1" ht="14.4" customHeight="1" spans="1:31">
      <c r="A407" s="68">
        <v>406</v>
      </c>
      <c r="B407" s="69" t="s">
        <v>94</v>
      </c>
      <c r="C407" s="70" t="s">
        <v>276</v>
      </c>
      <c r="D407" s="84" t="s">
        <v>185</v>
      </c>
      <c r="E407" s="84" t="s">
        <v>115</v>
      </c>
      <c r="F407" s="91">
        <v>45443.4085300926</v>
      </c>
      <c r="G407" s="91">
        <v>45442.4199652778</v>
      </c>
      <c r="H407" s="86" t="s">
        <v>99</v>
      </c>
      <c r="I407" s="87">
        <v>12000</v>
      </c>
      <c r="J407" s="83" t="s">
        <v>116</v>
      </c>
      <c r="K407" s="88" t="s">
        <v>117</v>
      </c>
      <c r="L407" s="91">
        <v>45411.6185069444</v>
      </c>
      <c r="M407" s="91">
        <v>45429.7037615741</v>
      </c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5"/>
    </row>
    <row r="408" s="63" customFormat="1" ht="14.4" customHeight="1" spans="1:31">
      <c r="A408" s="68">
        <v>407</v>
      </c>
      <c r="B408" s="69" t="s">
        <v>94</v>
      </c>
      <c r="C408" s="70" t="s">
        <v>276</v>
      </c>
      <c r="D408" s="84" t="s">
        <v>186</v>
      </c>
      <c r="E408" s="88"/>
      <c r="F408" s="84"/>
      <c r="G408" s="84"/>
      <c r="H408" s="86" t="s">
        <v>99</v>
      </c>
      <c r="I408" s="87">
        <v>12000</v>
      </c>
      <c r="J408" s="84"/>
      <c r="K408" s="89"/>
      <c r="L408" s="90"/>
      <c r="M408" s="82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5"/>
    </row>
    <row r="409" s="63" customFormat="1" ht="14.4" customHeight="1" spans="1:31">
      <c r="A409" s="68">
        <v>408</v>
      </c>
      <c r="B409" s="69" t="s">
        <v>94</v>
      </c>
      <c r="C409" s="70" t="s">
        <v>276</v>
      </c>
      <c r="D409" s="84" t="s">
        <v>187</v>
      </c>
      <c r="E409" s="88"/>
      <c r="F409" s="84"/>
      <c r="G409" s="84"/>
      <c r="H409" s="86" t="s">
        <v>99</v>
      </c>
      <c r="I409" s="87">
        <v>12000</v>
      </c>
      <c r="J409" s="84"/>
      <c r="K409" s="89"/>
      <c r="L409" s="90"/>
      <c r="M409" s="82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5"/>
    </row>
    <row r="410" s="63" customFormat="1" ht="14.4" customHeight="1" spans="1:31">
      <c r="A410" s="68">
        <v>409</v>
      </c>
      <c r="B410" s="69" t="s">
        <v>94</v>
      </c>
      <c r="C410" s="70" t="s">
        <v>276</v>
      </c>
      <c r="D410" s="84" t="s">
        <v>188</v>
      </c>
      <c r="E410" s="84" t="s">
        <v>115</v>
      </c>
      <c r="F410" s="91">
        <v>45526.7075694444</v>
      </c>
      <c r="G410" s="91">
        <v>45531.3977662037</v>
      </c>
      <c r="H410" s="79" t="s">
        <v>97</v>
      </c>
      <c r="I410" s="80">
        <v>16000</v>
      </c>
      <c r="J410" s="83" t="s">
        <v>116</v>
      </c>
      <c r="K410" s="88" t="s">
        <v>117</v>
      </c>
      <c r="L410" s="91">
        <v>45429.4576736111</v>
      </c>
      <c r="M410" s="91">
        <v>45430.691099537</v>
      </c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5"/>
    </row>
    <row r="411" s="63" customFormat="1" ht="14.4" customHeight="1" spans="1:31">
      <c r="A411" s="68">
        <v>410</v>
      </c>
      <c r="B411" s="69" t="s">
        <v>94</v>
      </c>
      <c r="C411" s="70" t="s">
        <v>276</v>
      </c>
      <c r="D411" s="84" t="s">
        <v>189</v>
      </c>
      <c r="E411" s="84" t="s">
        <v>115</v>
      </c>
      <c r="F411" s="91">
        <v>45443.4085648148</v>
      </c>
      <c r="G411" s="91">
        <v>45442.42</v>
      </c>
      <c r="H411" s="86" t="s">
        <v>99</v>
      </c>
      <c r="I411" s="87">
        <v>12000</v>
      </c>
      <c r="J411" s="83" t="s">
        <v>116</v>
      </c>
      <c r="K411" s="88" t="s">
        <v>117</v>
      </c>
      <c r="L411" s="91">
        <v>45411.6233449074</v>
      </c>
      <c r="M411" s="91">
        <v>45429.7038194444</v>
      </c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  <c r="AA411" s="84"/>
      <c r="AB411" s="84"/>
      <c r="AC411" s="84"/>
      <c r="AD411" s="84"/>
      <c r="AE411" s="85"/>
    </row>
    <row r="412" s="63" customFormat="1" ht="14.4" customHeight="1" spans="1:31">
      <c r="A412" s="68">
        <v>411</v>
      </c>
      <c r="B412" s="69" t="s">
        <v>94</v>
      </c>
      <c r="C412" s="70" t="s">
        <v>276</v>
      </c>
      <c r="D412" s="84" t="s">
        <v>190</v>
      </c>
      <c r="E412" s="84" t="s">
        <v>115</v>
      </c>
      <c r="F412" s="91">
        <v>45443.4085069444</v>
      </c>
      <c r="G412" s="91">
        <v>45442.4200462963</v>
      </c>
      <c r="H412" s="86" t="s">
        <v>99</v>
      </c>
      <c r="I412" s="87">
        <v>12000</v>
      </c>
      <c r="J412" s="83" t="s">
        <v>116</v>
      </c>
      <c r="K412" s="88" t="s">
        <v>117</v>
      </c>
      <c r="L412" s="91">
        <v>45411.6234375</v>
      </c>
      <c r="M412" s="91">
        <v>45429.7038773148</v>
      </c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5"/>
    </row>
    <row r="413" s="63" customFormat="1" ht="14.4" customHeight="1" spans="1:31">
      <c r="A413" s="68">
        <v>412</v>
      </c>
      <c r="B413" s="69" t="s">
        <v>94</v>
      </c>
      <c r="C413" s="70" t="s">
        <v>276</v>
      </c>
      <c r="D413" s="84" t="s">
        <v>191</v>
      </c>
      <c r="E413" s="84" t="s">
        <v>115</v>
      </c>
      <c r="F413" s="91">
        <v>45443.4084259259</v>
      </c>
      <c r="G413" s="91">
        <v>45442.4200925926</v>
      </c>
      <c r="H413" s="86" t="s">
        <v>99</v>
      </c>
      <c r="I413" s="87">
        <v>12000</v>
      </c>
      <c r="J413" s="83" t="s">
        <v>116</v>
      </c>
      <c r="K413" s="88" t="s">
        <v>117</v>
      </c>
      <c r="L413" s="91">
        <v>45411.6235416667</v>
      </c>
      <c r="M413" s="91">
        <v>45429.7039351852</v>
      </c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5"/>
    </row>
    <row r="414" s="63" customFormat="1" ht="14.4" customHeight="1" spans="1:31">
      <c r="A414" s="68">
        <v>413</v>
      </c>
      <c r="B414" s="69" t="s">
        <v>94</v>
      </c>
      <c r="C414" s="70" t="s">
        <v>276</v>
      </c>
      <c r="D414" s="84" t="s">
        <v>192</v>
      </c>
      <c r="E414" s="84" t="s">
        <v>115</v>
      </c>
      <c r="F414" s="91">
        <v>45443.4083912037</v>
      </c>
      <c r="G414" s="91">
        <v>45442.4201273148</v>
      </c>
      <c r="H414" s="86" t="s">
        <v>99</v>
      </c>
      <c r="I414" s="87">
        <v>12000</v>
      </c>
      <c r="J414" s="83" t="s">
        <v>116</v>
      </c>
      <c r="K414" s="88" t="s">
        <v>117</v>
      </c>
      <c r="L414" s="91">
        <v>45411.6236342593</v>
      </c>
      <c r="M414" s="91">
        <v>45429.7040162037</v>
      </c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5"/>
    </row>
    <row r="415" s="63" customFormat="1" ht="14.4" customHeight="1" spans="1:31">
      <c r="A415" s="68">
        <v>414</v>
      </c>
      <c r="B415" s="69" t="s">
        <v>94</v>
      </c>
      <c r="C415" s="70" t="s">
        <v>276</v>
      </c>
      <c r="D415" s="84" t="s">
        <v>193</v>
      </c>
      <c r="E415" s="84" t="s">
        <v>115</v>
      </c>
      <c r="F415" s="91">
        <v>45443.7420138889</v>
      </c>
      <c r="G415" s="91">
        <v>45442.4201736111</v>
      </c>
      <c r="H415" s="86" t="s">
        <v>99</v>
      </c>
      <c r="I415" s="87">
        <v>12000</v>
      </c>
      <c r="J415" s="83" t="s">
        <v>116</v>
      </c>
      <c r="K415" s="88" t="s">
        <v>117</v>
      </c>
      <c r="L415" s="91">
        <v>45411.6240046296</v>
      </c>
      <c r="M415" s="91">
        <v>45429.7041087963</v>
      </c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5"/>
    </row>
    <row r="416" s="63" customFormat="1" ht="14.4" customHeight="1" spans="1:31">
      <c r="A416" s="68">
        <v>415</v>
      </c>
      <c r="B416" s="69" t="s">
        <v>94</v>
      </c>
      <c r="C416" s="70" t="s">
        <v>276</v>
      </c>
      <c r="D416" s="84" t="s">
        <v>194</v>
      </c>
      <c r="E416" s="84" t="s">
        <v>115</v>
      </c>
      <c r="F416" s="91">
        <v>45443.7420601852</v>
      </c>
      <c r="G416" s="91">
        <v>45442.4202199074</v>
      </c>
      <c r="H416" s="86" t="s">
        <v>99</v>
      </c>
      <c r="I416" s="87">
        <v>12000</v>
      </c>
      <c r="J416" s="83" t="s">
        <v>116</v>
      </c>
      <c r="K416" s="88" t="s">
        <v>117</v>
      </c>
      <c r="L416" s="91">
        <v>45411.6240972222</v>
      </c>
      <c r="M416" s="91">
        <v>45429.7041666667</v>
      </c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5"/>
    </row>
    <row r="417" s="63" customFormat="1" ht="14.4" customHeight="1" spans="1:31">
      <c r="A417" s="68">
        <v>416</v>
      </c>
      <c r="B417" s="69" t="s">
        <v>94</v>
      </c>
      <c r="C417" s="70" t="s">
        <v>276</v>
      </c>
      <c r="D417" s="84" t="s">
        <v>195</v>
      </c>
      <c r="E417" s="84" t="s">
        <v>115</v>
      </c>
      <c r="F417" s="91">
        <v>45443.7428009259</v>
      </c>
      <c r="G417" s="91">
        <v>45442.4202662037</v>
      </c>
      <c r="H417" s="86" t="s">
        <v>99</v>
      </c>
      <c r="I417" s="87">
        <v>12000</v>
      </c>
      <c r="J417" s="83" t="s">
        <v>116</v>
      </c>
      <c r="K417" s="88" t="s">
        <v>117</v>
      </c>
      <c r="L417" s="91">
        <v>45411.6241898148</v>
      </c>
      <c r="M417" s="91">
        <v>45429.7042476852</v>
      </c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5"/>
    </row>
    <row r="418" s="63" customFormat="1" ht="14.4" customHeight="1" spans="1:31">
      <c r="A418" s="68">
        <v>417</v>
      </c>
      <c r="B418" s="69" t="s">
        <v>94</v>
      </c>
      <c r="C418" s="70" t="s">
        <v>276</v>
      </c>
      <c r="D418" s="84" t="s">
        <v>196</v>
      </c>
      <c r="E418" s="84" t="s">
        <v>115</v>
      </c>
      <c r="F418" s="91">
        <v>45443.7427662037</v>
      </c>
      <c r="G418" s="91">
        <v>45442.4206944444</v>
      </c>
      <c r="H418" s="86" t="s">
        <v>99</v>
      </c>
      <c r="I418" s="87">
        <v>12000</v>
      </c>
      <c r="J418" s="83" t="s">
        <v>116</v>
      </c>
      <c r="K418" s="88" t="s">
        <v>117</v>
      </c>
      <c r="L418" s="91">
        <v>45411.6242592593</v>
      </c>
      <c r="M418" s="91">
        <v>45429.7043055556</v>
      </c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5"/>
    </row>
    <row r="419" s="63" customFormat="1" ht="14.4" customHeight="1" spans="1:31">
      <c r="A419" s="68">
        <v>418</v>
      </c>
      <c r="B419" s="69" t="s">
        <v>94</v>
      </c>
      <c r="C419" s="70" t="s">
        <v>276</v>
      </c>
      <c r="D419" s="84" t="s">
        <v>197</v>
      </c>
      <c r="E419" s="84" t="s">
        <v>115</v>
      </c>
      <c r="F419" s="91">
        <v>45443.7428356481</v>
      </c>
      <c r="G419" s="91">
        <v>45442.4207291667</v>
      </c>
      <c r="H419" s="86" t="s">
        <v>99</v>
      </c>
      <c r="I419" s="87">
        <v>12000</v>
      </c>
      <c r="J419" s="83" t="s">
        <v>116</v>
      </c>
      <c r="K419" s="88" t="s">
        <v>117</v>
      </c>
      <c r="L419" s="91">
        <v>45411.6243402778</v>
      </c>
      <c r="M419" s="91">
        <v>45429.704375</v>
      </c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5"/>
    </row>
    <row r="420" s="63" customFormat="1" ht="14.4" customHeight="1" spans="1:31">
      <c r="A420" s="68">
        <v>419</v>
      </c>
      <c r="B420" s="69" t="s">
        <v>94</v>
      </c>
      <c r="C420" s="70" t="s">
        <v>276</v>
      </c>
      <c r="D420" s="84" t="s">
        <v>198</v>
      </c>
      <c r="E420" s="84" t="s">
        <v>115</v>
      </c>
      <c r="F420" s="91">
        <v>45443.7428125</v>
      </c>
      <c r="G420" s="91">
        <v>45442.4207986111</v>
      </c>
      <c r="H420" s="86" t="s">
        <v>99</v>
      </c>
      <c r="I420" s="87">
        <v>12000</v>
      </c>
      <c r="J420" s="83" t="s">
        <v>116</v>
      </c>
      <c r="K420" s="88" t="s">
        <v>117</v>
      </c>
      <c r="L420" s="91">
        <v>45411.6243981481</v>
      </c>
      <c r="M420" s="91">
        <v>45429.7044444444</v>
      </c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5"/>
    </row>
    <row r="421" s="63" customFormat="1" ht="14.4" customHeight="1" spans="1:31">
      <c r="A421" s="68">
        <v>420</v>
      </c>
      <c r="B421" s="69" t="s">
        <v>94</v>
      </c>
      <c r="C421" s="70" t="s">
        <v>276</v>
      </c>
      <c r="D421" s="84" t="s">
        <v>199</v>
      </c>
      <c r="E421" s="84" t="s">
        <v>115</v>
      </c>
      <c r="F421" s="91">
        <v>45443.7428356481</v>
      </c>
      <c r="G421" s="91">
        <v>45442.4211342593</v>
      </c>
      <c r="H421" s="86" t="s">
        <v>99</v>
      </c>
      <c r="I421" s="87">
        <v>12000</v>
      </c>
      <c r="J421" s="83" t="s">
        <v>116</v>
      </c>
      <c r="K421" s="88" t="s">
        <v>117</v>
      </c>
      <c r="L421" s="91">
        <v>45411.6244675926</v>
      </c>
      <c r="M421" s="91">
        <v>45429.7045138889</v>
      </c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5"/>
    </row>
    <row r="422" s="63" customFormat="1" ht="14.4" customHeight="1" spans="1:31">
      <c r="A422" s="68">
        <v>421</v>
      </c>
      <c r="B422" s="69" t="s">
        <v>94</v>
      </c>
      <c r="C422" s="70" t="s">
        <v>276</v>
      </c>
      <c r="D422" s="84" t="s">
        <v>200</v>
      </c>
      <c r="E422" s="84" t="s">
        <v>115</v>
      </c>
      <c r="F422" s="91">
        <v>45443.7428009259</v>
      </c>
      <c r="G422" s="91">
        <v>45442.4211805556</v>
      </c>
      <c r="H422" s="86" t="s">
        <v>99</v>
      </c>
      <c r="I422" s="87">
        <v>12000</v>
      </c>
      <c r="J422" s="83" t="s">
        <v>116</v>
      </c>
      <c r="K422" s="88" t="s">
        <v>117</v>
      </c>
      <c r="L422" s="91">
        <v>45411.6245717593</v>
      </c>
      <c r="M422" s="91">
        <v>45429.7045833333</v>
      </c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5"/>
    </row>
    <row r="423" s="63" customFormat="1" ht="14.4" customHeight="1" spans="1:31">
      <c r="A423" s="68">
        <v>422</v>
      </c>
      <c r="B423" s="69" t="s">
        <v>94</v>
      </c>
      <c r="C423" s="70" t="s">
        <v>276</v>
      </c>
      <c r="D423" s="84" t="s">
        <v>201</v>
      </c>
      <c r="E423" s="84" t="s">
        <v>115</v>
      </c>
      <c r="F423" s="91">
        <v>45443.7428703704</v>
      </c>
      <c r="G423" s="91">
        <v>45442.4212268519</v>
      </c>
      <c r="H423" s="86" t="s">
        <v>99</v>
      </c>
      <c r="I423" s="87">
        <v>12000</v>
      </c>
      <c r="J423" s="83" t="s">
        <v>116</v>
      </c>
      <c r="K423" s="88" t="s">
        <v>117</v>
      </c>
      <c r="L423" s="91">
        <v>45411.6246527778</v>
      </c>
      <c r="M423" s="91">
        <v>45429.7046527778</v>
      </c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5"/>
    </row>
    <row r="424" s="63" customFormat="1" ht="14.4" customHeight="1" spans="1:31">
      <c r="A424" s="68">
        <v>423</v>
      </c>
      <c r="B424" s="69" t="s">
        <v>94</v>
      </c>
      <c r="C424" s="70" t="s">
        <v>276</v>
      </c>
      <c r="D424" s="84" t="s">
        <v>202</v>
      </c>
      <c r="E424" s="84" t="s">
        <v>115</v>
      </c>
      <c r="F424" s="91">
        <v>45443.7469791667</v>
      </c>
      <c r="G424" s="91">
        <v>45442.4345486111</v>
      </c>
      <c r="H424" s="86" t="s">
        <v>99</v>
      </c>
      <c r="I424" s="87">
        <v>12000</v>
      </c>
      <c r="J424" s="83" t="s">
        <v>116</v>
      </c>
      <c r="K424" s="88" t="s">
        <v>117</v>
      </c>
      <c r="L424" s="91">
        <v>45411.6247453704</v>
      </c>
      <c r="M424" s="91">
        <v>45429.7047337963</v>
      </c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5"/>
    </row>
    <row r="425" s="63" customFormat="1" ht="14.4" customHeight="1" spans="1:31">
      <c r="A425" s="68">
        <v>424</v>
      </c>
      <c r="B425" s="69" t="s">
        <v>94</v>
      </c>
      <c r="C425" s="70" t="s">
        <v>276</v>
      </c>
      <c r="D425" s="84" t="s">
        <v>203</v>
      </c>
      <c r="E425" s="88"/>
      <c r="F425" s="84"/>
      <c r="G425" s="84"/>
      <c r="H425" s="86" t="s">
        <v>99</v>
      </c>
      <c r="I425" s="87">
        <v>12000</v>
      </c>
      <c r="J425" s="84"/>
      <c r="K425" s="89"/>
      <c r="L425" s="90"/>
      <c r="M425" s="82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5"/>
    </row>
    <row r="426" s="63" customFormat="1" ht="14.4" customHeight="1" spans="1:31">
      <c r="A426" s="68">
        <v>425</v>
      </c>
      <c r="B426" s="69" t="s">
        <v>94</v>
      </c>
      <c r="C426" s="70" t="s">
        <v>276</v>
      </c>
      <c r="D426" s="84" t="s">
        <v>204</v>
      </c>
      <c r="E426" s="88"/>
      <c r="F426" s="84"/>
      <c r="G426" s="84"/>
      <c r="H426" s="86" t="s">
        <v>99</v>
      </c>
      <c r="I426" s="87">
        <v>12000</v>
      </c>
      <c r="J426" s="84"/>
      <c r="K426" s="89"/>
      <c r="L426" s="90"/>
      <c r="M426" s="82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5"/>
    </row>
    <row r="427" s="63" customFormat="1" ht="14.4" customHeight="1" spans="1:31">
      <c r="A427" s="68">
        <v>426</v>
      </c>
      <c r="B427" s="69" t="s">
        <v>94</v>
      </c>
      <c r="C427" s="70" t="s">
        <v>276</v>
      </c>
      <c r="D427" s="84" t="s">
        <v>205</v>
      </c>
      <c r="E427" s="88"/>
      <c r="F427" s="84"/>
      <c r="G427" s="84"/>
      <c r="H427" s="86" t="s">
        <v>99</v>
      </c>
      <c r="I427" s="87">
        <v>12000</v>
      </c>
      <c r="J427" s="84"/>
      <c r="K427" s="89"/>
      <c r="L427" s="90"/>
      <c r="M427" s="82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5"/>
    </row>
    <row r="428" s="63" customFormat="1" ht="14.4" customHeight="1" spans="1:31">
      <c r="A428" s="68">
        <v>427</v>
      </c>
      <c r="B428" s="69" t="s">
        <v>94</v>
      </c>
      <c r="C428" s="70" t="s">
        <v>276</v>
      </c>
      <c r="D428" s="84" t="s">
        <v>206</v>
      </c>
      <c r="E428" s="84" t="s">
        <v>115</v>
      </c>
      <c r="F428" s="91">
        <v>45443.747025463</v>
      </c>
      <c r="G428" s="91">
        <v>45442.4345833333</v>
      </c>
      <c r="H428" s="79" t="s">
        <v>97</v>
      </c>
      <c r="I428" s="80">
        <v>16000</v>
      </c>
      <c r="J428" s="83" t="s">
        <v>116</v>
      </c>
      <c r="K428" s="88" t="s">
        <v>117</v>
      </c>
      <c r="L428" s="91">
        <v>45411.6251157407</v>
      </c>
      <c r="M428" s="91">
        <v>45429.7047916667</v>
      </c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5"/>
    </row>
    <row r="429" s="63" customFormat="1" ht="14.4" customHeight="1" spans="1:31">
      <c r="A429" s="68">
        <v>428</v>
      </c>
      <c r="B429" s="69" t="s">
        <v>94</v>
      </c>
      <c r="C429" s="70" t="s">
        <v>276</v>
      </c>
      <c r="D429" s="84" t="s">
        <v>207</v>
      </c>
      <c r="E429" s="84" t="s">
        <v>115</v>
      </c>
      <c r="F429" s="91">
        <v>45443.747025463</v>
      </c>
      <c r="G429" s="91">
        <v>45442.436087963</v>
      </c>
      <c r="H429" s="86" t="s">
        <v>99</v>
      </c>
      <c r="I429" s="87">
        <v>12000</v>
      </c>
      <c r="J429" s="83" t="s">
        <v>116</v>
      </c>
      <c r="K429" s="88" t="s">
        <v>117</v>
      </c>
      <c r="L429" s="91">
        <v>45411.6251736111</v>
      </c>
      <c r="M429" s="91">
        <v>45429.7051851852</v>
      </c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5"/>
    </row>
    <row r="430" s="63" customFormat="1" ht="14.4" customHeight="1" spans="1:31">
      <c r="A430" s="68">
        <v>429</v>
      </c>
      <c r="B430" s="69" t="s">
        <v>94</v>
      </c>
      <c r="C430" s="70" t="s">
        <v>276</v>
      </c>
      <c r="D430" s="84" t="s">
        <v>208</v>
      </c>
      <c r="E430" s="84" t="s">
        <v>115</v>
      </c>
      <c r="F430" s="91">
        <v>45443.747025463</v>
      </c>
      <c r="G430" s="91">
        <v>45442.4361458333</v>
      </c>
      <c r="H430" s="86" t="s">
        <v>99</v>
      </c>
      <c r="I430" s="87">
        <v>12000</v>
      </c>
      <c r="J430" s="83" t="s">
        <v>116</v>
      </c>
      <c r="K430" s="88" t="s">
        <v>117</v>
      </c>
      <c r="L430" s="91">
        <v>45411.6252546296</v>
      </c>
      <c r="M430" s="91">
        <v>45429.7052546296</v>
      </c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5"/>
    </row>
    <row r="431" s="63" customFormat="1" ht="14.4" customHeight="1" spans="1:31">
      <c r="A431" s="68">
        <v>430</v>
      </c>
      <c r="B431" s="69" t="s">
        <v>94</v>
      </c>
      <c r="C431" s="70" t="s">
        <v>276</v>
      </c>
      <c r="D431" s="84" t="s">
        <v>209</v>
      </c>
      <c r="E431" s="84" t="s">
        <v>115</v>
      </c>
      <c r="F431" s="91">
        <v>45443.4079050926</v>
      </c>
      <c r="G431" s="91">
        <v>45442.4362037037</v>
      </c>
      <c r="H431" s="86" t="s">
        <v>99</v>
      </c>
      <c r="I431" s="87">
        <v>12000</v>
      </c>
      <c r="J431" s="83" t="s">
        <v>116</v>
      </c>
      <c r="K431" s="88" t="s">
        <v>117</v>
      </c>
      <c r="L431" s="91">
        <v>45411.6253356481</v>
      </c>
      <c r="M431" s="91">
        <v>45429.7053240741</v>
      </c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5"/>
    </row>
    <row r="432" s="63" customFormat="1" ht="14.4" customHeight="1" spans="1:31">
      <c r="A432" s="68">
        <v>431</v>
      </c>
      <c r="B432" s="69" t="s">
        <v>94</v>
      </c>
      <c r="C432" s="70" t="s">
        <v>276</v>
      </c>
      <c r="D432" s="84" t="s">
        <v>210</v>
      </c>
      <c r="E432" s="84" t="s">
        <v>115</v>
      </c>
      <c r="F432" s="91">
        <v>45443.4079282407</v>
      </c>
      <c r="G432" s="91">
        <v>45442.4362384259</v>
      </c>
      <c r="H432" s="86" t="s">
        <v>99</v>
      </c>
      <c r="I432" s="87">
        <v>12000</v>
      </c>
      <c r="J432" s="83" t="s">
        <v>116</v>
      </c>
      <c r="K432" s="88" t="s">
        <v>117</v>
      </c>
      <c r="L432" s="91">
        <v>45411.6254282407</v>
      </c>
      <c r="M432" s="91">
        <v>45429.7064467593</v>
      </c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5"/>
    </row>
    <row r="433" s="63" customFormat="1" ht="14.4" customHeight="1" spans="1:31">
      <c r="A433" s="68">
        <v>432</v>
      </c>
      <c r="B433" s="69" t="s">
        <v>94</v>
      </c>
      <c r="C433" s="70" t="s">
        <v>276</v>
      </c>
      <c r="D433" s="84" t="s">
        <v>211</v>
      </c>
      <c r="E433" s="84" t="s">
        <v>115</v>
      </c>
      <c r="F433" s="91">
        <v>45443.4079050926</v>
      </c>
      <c r="G433" s="91">
        <v>45442.4362847222</v>
      </c>
      <c r="H433" s="86" t="s">
        <v>99</v>
      </c>
      <c r="I433" s="87">
        <v>12000</v>
      </c>
      <c r="J433" s="83" t="s">
        <v>116</v>
      </c>
      <c r="K433" s="88" t="s">
        <v>117</v>
      </c>
      <c r="L433" s="91">
        <v>45411.6254976852</v>
      </c>
      <c r="M433" s="91">
        <v>45429.7065162037</v>
      </c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5"/>
    </row>
    <row r="434" s="63" customFormat="1" ht="14.4" customHeight="1" spans="1:31">
      <c r="A434" s="68">
        <v>433</v>
      </c>
      <c r="B434" s="69" t="s">
        <v>94</v>
      </c>
      <c r="C434" s="70" t="s">
        <v>276</v>
      </c>
      <c r="D434" s="84" t="s">
        <v>212</v>
      </c>
      <c r="E434" s="84" t="s">
        <v>115</v>
      </c>
      <c r="F434" s="91">
        <v>45443.4079398148</v>
      </c>
      <c r="G434" s="91">
        <v>45442.4370601852</v>
      </c>
      <c r="H434" s="86" t="s">
        <v>99</v>
      </c>
      <c r="I434" s="87">
        <v>12000</v>
      </c>
      <c r="J434" s="83" t="s">
        <v>116</v>
      </c>
      <c r="K434" s="88" t="s">
        <v>117</v>
      </c>
      <c r="L434" s="91">
        <v>45411.6255671296</v>
      </c>
      <c r="M434" s="91">
        <v>45429.7065740741</v>
      </c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5"/>
    </row>
    <row r="435" s="63" customFormat="1" ht="14.4" customHeight="1" spans="1:31">
      <c r="A435" s="68">
        <v>434</v>
      </c>
      <c r="B435" s="69" t="s">
        <v>94</v>
      </c>
      <c r="C435" s="70" t="s">
        <v>276</v>
      </c>
      <c r="D435" s="84" t="s">
        <v>213</v>
      </c>
      <c r="E435" s="84" t="s">
        <v>115</v>
      </c>
      <c r="F435" s="91">
        <v>45443.4080092593</v>
      </c>
      <c r="G435" s="91">
        <v>45442.4370949074</v>
      </c>
      <c r="H435" s="86" t="s">
        <v>99</v>
      </c>
      <c r="I435" s="87">
        <v>12000</v>
      </c>
      <c r="J435" s="83" t="s">
        <v>116</v>
      </c>
      <c r="K435" s="88" t="s">
        <v>117</v>
      </c>
      <c r="L435" s="91">
        <v>45411.6256597222</v>
      </c>
      <c r="M435" s="91">
        <v>45429.7066319444</v>
      </c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5"/>
    </row>
    <row r="436" s="63" customFormat="1" ht="14.4" customHeight="1" spans="1:31">
      <c r="A436" s="68">
        <v>435</v>
      </c>
      <c r="B436" s="69" t="s">
        <v>94</v>
      </c>
      <c r="C436" s="70" t="s">
        <v>276</v>
      </c>
      <c r="D436" s="84" t="s">
        <v>214</v>
      </c>
      <c r="E436" s="84" t="s">
        <v>115</v>
      </c>
      <c r="F436" s="91">
        <v>45443.747025463</v>
      </c>
      <c r="G436" s="91">
        <v>45442.4371296296</v>
      </c>
      <c r="H436" s="86" t="s">
        <v>99</v>
      </c>
      <c r="I436" s="87">
        <v>12000</v>
      </c>
      <c r="J436" s="83" t="s">
        <v>116</v>
      </c>
      <c r="K436" s="88" t="s">
        <v>117</v>
      </c>
      <c r="L436" s="91">
        <v>45411.6257291667</v>
      </c>
      <c r="M436" s="91">
        <v>45429.706712963</v>
      </c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5"/>
    </row>
    <row r="437" s="63" customFormat="1" ht="14.4" customHeight="1" spans="1:31">
      <c r="A437" s="68">
        <v>436</v>
      </c>
      <c r="B437" s="69" t="s">
        <v>94</v>
      </c>
      <c r="C437" s="70" t="s">
        <v>276</v>
      </c>
      <c r="D437" s="84" t="s">
        <v>215</v>
      </c>
      <c r="E437" s="84" t="s">
        <v>115</v>
      </c>
      <c r="F437" s="91">
        <v>45443.7470833333</v>
      </c>
      <c r="G437" s="91">
        <v>45442.4373148148</v>
      </c>
      <c r="H437" s="86" t="s">
        <v>99</v>
      </c>
      <c r="I437" s="87">
        <v>12000</v>
      </c>
      <c r="J437" s="83" t="s">
        <v>116</v>
      </c>
      <c r="K437" s="88" t="s">
        <v>117</v>
      </c>
      <c r="L437" s="91">
        <v>45411.6258333333</v>
      </c>
      <c r="M437" s="91">
        <v>45429.7067824074</v>
      </c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5"/>
    </row>
    <row r="438" s="63" customFormat="1" ht="14.4" customHeight="1" spans="1:31">
      <c r="A438" s="68">
        <v>437</v>
      </c>
      <c r="B438" s="69" t="s">
        <v>94</v>
      </c>
      <c r="C438" s="70" t="s">
        <v>276</v>
      </c>
      <c r="D438" s="84" t="s">
        <v>216</v>
      </c>
      <c r="E438" s="84" t="s">
        <v>115</v>
      </c>
      <c r="F438" s="91">
        <v>45448.5793171296</v>
      </c>
      <c r="G438" s="91">
        <v>45447.3707986111</v>
      </c>
      <c r="H438" s="86" t="s">
        <v>99</v>
      </c>
      <c r="I438" s="87">
        <v>12000</v>
      </c>
      <c r="J438" s="83" t="s">
        <v>116</v>
      </c>
      <c r="K438" s="88" t="s">
        <v>117</v>
      </c>
      <c r="L438" s="91">
        <v>45411.6259722222</v>
      </c>
      <c r="M438" s="91">
        <v>45429.7068402778</v>
      </c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5"/>
    </row>
    <row r="439" s="63" customFormat="1" ht="14.4" customHeight="1" spans="1:31">
      <c r="A439" s="68">
        <v>438</v>
      </c>
      <c r="B439" s="69" t="s">
        <v>94</v>
      </c>
      <c r="C439" s="70" t="s">
        <v>276</v>
      </c>
      <c r="D439" s="84" t="s">
        <v>217</v>
      </c>
      <c r="E439" s="84" t="s">
        <v>115</v>
      </c>
      <c r="F439" s="91">
        <v>45448.5793171296</v>
      </c>
      <c r="G439" s="91">
        <v>45447.3708333333</v>
      </c>
      <c r="H439" s="86" t="s">
        <v>99</v>
      </c>
      <c r="I439" s="87">
        <v>12000</v>
      </c>
      <c r="J439" s="83" t="s">
        <v>116</v>
      </c>
      <c r="K439" s="88" t="s">
        <v>117</v>
      </c>
      <c r="L439" s="91">
        <v>45411.6260416667</v>
      </c>
      <c r="M439" s="91">
        <v>45429.7069097222</v>
      </c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5"/>
    </row>
    <row r="440" s="63" customFormat="1" ht="14.4" customHeight="1" spans="1:31">
      <c r="A440" s="68">
        <v>439</v>
      </c>
      <c r="B440" s="69" t="s">
        <v>94</v>
      </c>
      <c r="C440" s="97" t="s">
        <v>276</v>
      </c>
      <c r="D440" s="97" t="s">
        <v>218</v>
      </c>
      <c r="E440" s="95" t="s">
        <v>117</v>
      </c>
      <c r="F440" s="96">
        <v>46227.8970023148</v>
      </c>
      <c r="G440" s="96">
        <v>46237.6131481481</v>
      </c>
      <c r="H440" s="86" t="s">
        <v>99</v>
      </c>
      <c r="I440" s="87">
        <v>12000</v>
      </c>
      <c r="J440" s="83" t="s">
        <v>116</v>
      </c>
      <c r="K440" s="89"/>
      <c r="L440" s="90"/>
      <c r="M440" s="82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5"/>
    </row>
    <row r="441" s="63" customFormat="1" spans="1:31">
      <c r="A441" s="68">
        <v>440</v>
      </c>
      <c r="B441" s="69" t="s">
        <v>94</v>
      </c>
      <c r="C441" s="97" t="s">
        <v>276</v>
      </c>
      <c r="D441" s="97" t="s">
        <v>219</v>
      </c>
      <c r="E441" s="95" t="s">
        <v>120</v>
      </c>
      <c r="F441" s="96">
        <v>46225.8336574074</v>
      </c>
      <c r="G441" s="96">
        <v>46224.8338888889</v>
      </c>
      <c r="H441" s="86" t="s">
        <v>99</v>
      </c>
      <c r="I441" s="87">
        <v>12000</v>
      </c>
      <c r="J441" s="83" t="s">
        <v>116</v>
      </c>
      <c r="K441" s="93" t="s">
        <v>121</v>
      </c>
      <c r="L441" s="94">
        <v>46221.7364814815</v>
      </c>
      <c r="M441" s="94">
        <v>46221.7449652778</v>
      </c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5"/>
    </row>
    <row r="442" s="63" customFormat="1" spans="1:31">
      <c r="A442" s="68">
        <v>441</v>
      </c>
      <c r="B442" s="69" t="s">
        <v>94</v>
      </c>
      <c r="C442" s="97" t="s">
        <v>276</v>
      </c>
      <c r="D442" s="97" t="s">
        <v>220</v>
      </c>
      <c r="E442" s="95" t="s">
        <v>120</v>
      </c>
      <c r="F442" s="96">
        <v>46225.8336574074</v>
      </c>
      <c r="G442" s="96">
        <v>46224.8338888889</v>
      </c>
      <c r="H442" s="86" t="s">
        <v>99</v>
      </c>
      <c r="I442" s="87">
        <v>12000</v>
      </c>
      <c r="J442" s="83" t="s">
        <v>116</v>
      </c>
      <c r="K442" s="93" t="s">
        <v>121</v>
      </c>
      <c r="L442" s="94">
        <v>46221.7364814815</v>
      </c>
      <c r="M442" s="94">
        <v>46221.7450694444</v>
      </c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5"/>
    </row>
    <row r="443" s="63" customFormat="1" ht="14.4" customHeight="1" spans="1:31">
      <c r="A443" s="68">
        <v>442</v>
      </c>
      <c r="B443" s="69" t="s">
        <v>94</v>
      </c>
      <c r="C443" s="70" t="s">
        <v>276</v>
      </c>
      <c r="D443" s="84" t="s">
        <v>221</v>
      </c>
      <c r="E443" s="88"/>
      <c r="F443" s="84"/>
      <c r="G443" s="84"/>
      <c r="H443" s="86" t="s">
        <v>99</v>
      </c>
      <c r="I443" s="87">
        <v>12000</v>
      </c>
      <c r="J443" s="84"/>
      <c r="K443" s="89"/>
      <c r="L443" s="90"/>
      <c r="M443" s="82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5"/>
    </row>
    <row r="444" s="63" customFormat="1" ht="14.4" customHeight="1" spans="1:31">
      <c r="A444" s="68">
        <v>443</v>
      </c>
      <c r="B444" s="69" t="s">
        <v>94</v>
      </c>
      <c r="C444" s="70" t="s">
        <v>276</v>
      </c>
      <c r="D444" s="84" t="s">
        <v>222</v>
      </c>
      <c r="E444" s="84" t="s">
        <v>115</v>
      </c>
      <c r="F444" s="91">
        <v>45526.7075694444</v>
      </c>
      <c r="G444" s="91">
        <v>45531.3977662037</v>
      </c>
      <c r="H444" s="79" t="s">
        <v>97</v>
      </c>
      <c r="I444" s="80">
        <v>16000</v>
      </c>
      <c r="J444" s="83" t="s">
        <v>116</v>
      </c>
      <c r="K444" s="88" t="s">
        <v>117</v>
      </c>
      <c r="L444" s="91">
        <v>45429.5647916667</v>
      </c>
      <c r="M444" s="91">
        <v>45430.6920486111</v>
      </c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5"/>
    </row>
    <row r="445" s="63" customFormat="1" ht="14.4" customHeight="1" spans="1:31">
      <c r="A445" s="68">
        <v>444</v>
      </c>
      <c r="B445" s="69" t="s">
        <v>94</v>
      </c>
      <c r="C445" s="70" t="s">
        <v>276</v>
      </c>
      <c r="D445" s="84" t="s">
        <v>223</v>
      </c>
      <c r="E445" s="84" t="s">
        <v>115</v>
      </c>
      <c r="F445" s="91">
        <v>45448.5798842593</v>
      </c>
      <c r="G445" s="91">
        <v>45447.3708680556</v>
      </c>
      <c r="H445" s="86" t="s">
        <v>99</v>
      </c>
      <c r="I445" s="87">
        <v>12000</v>
      </c>
      <c r="J445" s="83" t="s">
        <v>116</v>
      </c>
      <c r="K445" s="88" t="s">
        <v>117</v>
      </c>
      <c r="L445" s="91">
        <v>45411.6261921296</v>
      </c>
      <c r="M445" s="91">
        <v>45429.7069907407</v>
      </c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  <c r="AA445" s="84"/>
      <c r="AB445" s="84"/>
      <c r="AC445" s="84"/>
      <c r="AD445" s="84"/>
      <c r="AE445" s="85"/>
    </row>
    <row r="446" s="63" customFormat="1" ht="14.4" customHeight="1" spans="1:31">
      <c r="A446" s="68">
        <v>445</v>
      </c>
      <c r="B446" s="69" t="s">
        <v>94</v>
      </c>
      <c r="C446" s="70" t="s">
        <v>276</v>
      </c>
      <c r="D446" s="84" t="s">
        <v>224</v>
      </c>
      <c r="E446" s="84" t="s">
        <v>115</v>
      </c>
      <c r="F446" s="91">
        <v>45448.5841550926</v>
      </c>
      <c r="G446" s="91">
        <v>45447.3709027778</v>
      </c>
      <c r="H446" s="86" t="s">
        <v>99</v>
      </c>
      <c r="I446" s="87">
        <v>12000</v>
      </c>
      <c r="J446" s="83" t="s">
        <v>116</v>
      </c>
      <c r="K446" s="88" t="s">
        <v>117</v>
      </c>
      <c r="L446" s="91">
        <v>45411.6262615741</v>
      </c>
      <c r="M446" s="91">
        <v>45429.7070486111</v>
      </c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5"/>
    </row>
    <row r="447" s="63" customFormat="1" ht="14.4" customHeight="1" spans="1:31">
      <c r="A447" s="68">
        <v>446</v>
      </c>
      <c r="B447" s="69" t="s">
        <v>94</v>
      </c>
      <c r="C447" s="70" t="s">
        <v>276</v>
      </c>
      <c r="D447" s="84" t="s">
        <v>225</v>
      </c>
      <c r="E447" s="84" t="s">
        <v>115</v>
      </c>
      <c r="F447" s="91">
        <v>45448.5841550926</v>
      </c>
      <c r="G447" s="91">
        <v>45447.3709375</v>
      </c>
      <c r="H447" s="86" t="s">
        <v>99</v>
      </c>
      <c r="I447" s="87">
        <v>12000</v>
      </c>
      <c r="J447" s="83" t="s">
        <v>116</v>
      </c>
      <c r="K447" s="88" t="s">
        <v>117</v>
      </c>
      <c r="L447" s="91">
        <v>45411.626412037</v>
      </c>
      <c r="M447" s="91">
        <v>45429.7071296296</v>
      </c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5"/>
    </row>
    <row r="448" s="63" customFormat="1" ht="14.4" customHeight="1" spans="1:31">
      <c r="A448" s="68">
        <v>447</v>
      </c>
      <c r="B448" s="69" t="s">
        <v>94</v>
      </c>
      <c r="C448" s="70" t="s">
        <v>276</v>
      </c>
      <c r="D448" s="84" t="s">
        <v>226</v>
      </c>
      <c r="E448" s="84" t="s">
        <v>115</v>
      </c>
      <c r="F448" s="91">
        <v>45448.5834143519</v>
      </c>
      <c r="G448" s="91">
        <v>45447.3709722222</v>
      </c>
      <c r="H448" s="86" t="s">
        <v>99</v>
      </c>
      <c r="I448" s="87">
        <v>12000</v>
      </c>
      <c r="J448" s="83" t="s">
        <v>116</v>
      </c>
      <c r="K448" s="88" t="s">
        <v>117</v>
      </c>
      <c r="L448" s="91">
        <v>45411.6264814815</v>
      </c>
      <c r="M448" s="91">
        <v>45429.7071990741</v>
      </c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5"/>
    </row>
    <row r="449" s="63" customFormat="1" ht="14.4" customHeight="1" spans="1:31">
      <c r="A449" s="68">
        <v>448</v>
      </c>
      <c r="B449" s="69" t="s">
        <v>94</v>
      </c>
      <c r="C449" s="70" t="s">
        <v>276</v>
      </c>
      <c r="D449" s="84" t="s">
        <v>227</v>
      </c>
      <c r="E449" s="84" t="s">
        <v>115</v>
      </c>
      <c r="F449" s="91">
        <v>45448.584224537</v>
      </c>
      <c r="G449" s="91">
        <v>45447.3710069444</v>
      </c>
      <c r="H449" s="86" t="s">
        <v>99</v>
      </c>
      <c r="I449" s="87">
        <v>12000</v>
      </c>
      <c r="J449" s="83" t="s">
        <v>116</v>
      </c>
      <c r="K449" s="88" t="s">
        <v>117</v>
      </c>
      <c r="L449" s="91">
        <v>45411.6265509259</v>
      </c>
      <c r="M449" s="91">
        <v>45429.7072685185</v>
      </c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5"/>
    </row>
    <row r="450" s="63" customFormat="1" ht="14.4" customHeight="1" spans="1:31">
      <c r="A450" s="68">
        <v>449</v>
      </c>
      <c r="B450" s="69" t="s">
        <v>94</v>
      </c>
      <c r="C450" s="70" t="s">
        <v>276</v>
      </c>
      <c r="D450" s="84" t="s">
        <v>228</v>
      </c>
      <c r="E450" s="84" t="s">
        <v>115</v>
      </c>
      <c r="F450" s="91">
        <v>45448.5841898148</v>
      </c>
      <c r="G450" s="91">
        <v>45447.3710416667</v>
      </c>
      <c r="H450" s="86" t="s">
        <v>99</v>
      </c>
      <c r="I450" s="87">
        <v>12000</v>
      </c>
      <c r="J450" s="83" t="s">
        <v>116</v>
      </c>
      <c r="K450" s="88" t="s">
        <v>117</v>
      </c>
      <c r="L450" s="91">
        <v>45411.6266319444</v>
      </c>
      <c r="M450" s="91">
        <v>45429.7073263889</v>
      </c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5"/>
    </row>
    <row r="451" s="63" customFormat="1" ht="14.4" customHeight="1" spans="1:31">
      <c r="A451" s="68">
        <v>450</v>
      </c>
      <c r="B451" s="69" t="s">
        <v>94</v>
      </c>
      <c r="C451" s="70" t="s">
        <v>276</v>
      </c>
      <c r="D451" s="84" t="s">
        <v>229</v>
      </c>
      <c r="E451" s="84" t="s">
        <v>115</v>
      </c>
      <c r="F451" s="91">
        <v>45448.5798726852</v>
      </c>
      <c r="G451" s="91">
        <v>45447.3710763889</v>
      </c>
      <c r="H451" s="86" t="s">
        <v>99</v>
      </c>
      <c r="I451" s="87">
        <v>12000</v>
      </c>
      <c r="J451" s="83" t="s">
        <v>116</v>
      </c>
      <c r="K451" s="88" t="s">
        <v>117</v>
      </c>
      <c r="L451" s="91">
        <v>45411.626724537</v>
      </c>
      <c r="M451" s="91">
        <v>45429.7073958333</v>
      </c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5"/>
    </row>
    <row r="452" s="63" customFormat="1" ht="14.4" customHeight="1" spans="1:31">
      <c r="A452" s="68">
        <v>451</v>
      </c>
      <c r="B452" s="69" t="s">
        <v>94</v>
      </c>
      <c r="C452" s="70" t="s">
        <v>276</v>
      </c>
      <c r="D452" s="84" t="s">
        <v>230</v>
      </c>
      <c r="E452" s="84" t="s">
        <v>115</v>
      </c>
      <c r="F452" s="91">
        <v>45448.5807060185</v>
      </c>
      <c r="G452" s="91">
        <v>45447.3711226852</v>
      </c>
      <c r="H452" s="86" t="s">
        <v>99</v>
      </c>
      <c r="I452" s="87">
        <v>12000</v>
      </c>
      <c r="J452" s="83" t="s">
        <v>116</v>
      </c>
      <c r="K452" s="88" t="s">
        <v>117</v>
      </c>
      <c r="L452" s="91">
        <v>45411.6269328704</v>
      </c>
      <c r="M452" s="91">
        <v>45429.7074652778</v>
      </c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5"/>
    </row>
    <row r="453" s="63" customFormat="1" ht="14.4" customHeight="1" spans="1:31">
      <c r="A453" s="68">
        <v>452</v>
      </c>
      <c r="B453" s="69" t="s">
        <v>94</v>
      </c>
      <c r="C453" s="70" t="s">
        <v>276</v>
      </c>
      <c r="D453" s="84" t="s">
        <v>231</v>
      </c>
      <c r="E453" s="84" t="s">
        <v>115</v>
      </c>
      <c r="F453" s="91">
        <v>45449.6636342593</v>
      </c>
      <c r="G453" s="91">
        <v>45448.3718518519</v>
      </c>
      <c r="H453" s="86" t="s">
        <v>99</v>
      </c>
      <c r="I453" s="87">
        <v>12000</v>
      </c>
      <c r="J453" s="83" t="s">
        <v>116</v>
      </c>
      <c r="K453" s="88" t="s">
        <v>117</v>
      </c>
      <c r="L453" s="91">
        <v>45411.6270023148</v>
      </c>
      <c r="M453" s="91">
        <v>45429.7075694444</v>
      </c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5"/>
    </row>
    <row r="454" s="63" customFormat="1" ht="14.4" customHeight="1" spans="1:31">
      <c r="A454" s="68">
        <v>453</v>
      </c>
      <c r="B454" s="69" t="s">
        <v>94</v>
      </c>
      <c r="C454" s="70" t="s">
        <v>276</v>
      </c>
      <c r="D454" s="84" t="s">
        <v>232</v>
      </c>
      <c r="E454" s="84" t="s">
        <v>115</v>
      </c>
      <c r="F454" s="91">
        <v>45449.6660185185</v>
      </c>
      <c r="G454" s="91">
        <v>45448.3718981482</v>
      </c>
      <c r="H454" s="86" t="s">
        <v>99</v>
      </c>
      <c r="I454" s="87">
        <v>12000</v>
      </c>
      <c r="J454" s="83" t="s">
        <v>116</v>
      </c>
      <c r="K454" s="88" t="s">
        <v>117</v>
      </c>
      <c r="L454" s="91">
        <v>45411.626875</v>
      </c>
      <c r="M454" s="91">
        <v>45429.7076388889</v>
      </c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5"/>
    </row>
    <row r="455" s="63" customFormat="1" ht="14.4" customHeight="1" spans="1:31">
      <c r="A455" s="68">
        <v>454</v>
      </c>
      <c r="B455" s="69" t="s">
        <v>94</v>
      </c>
      <c r="C455" s="70" t="s">
        <v>276</v>
      </c>
      <c r="D455" s="84" t="s">
        <v>233</v>
      </c>
      <c r="E455" s="84" t="s">
        <v>115</v>
      </c>
      <c r="F455" s="91">
        <v>45449.6660532407</v>
      </c>
      <c r="G455" s="91">
        <v>45448.3719444444</v>
      </c>
      <c r="H455" s="86" t="s">
        <v>99</v>
      </c>
      <c r="I455" s="87">
        <v>12000</v>
      </c>
      <c r="J455" s="83" t="s">
        <v>116</v>
      </c>
      <c r="K455" s="88" t="s">
        <v>117</v>
      </c>
      <c r="L455" s="91">
        <v>45411.6275925926</v>
      </c>
      <c r="M455" s="91">
        <v>45429.7077083333</v>
      </c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5"/>
    </row>
    <row r="456" s="63" customFormat="1" ht="14.4" customHeight="1" spans="1:31">
      <c r="A456" s="68">
        <v>455</v>
      </c>
      <c r="B456" s="69" t="s">
        <v>94</v>
      </c>
      <c r="C456" s="70" t="s">
        <v>276</v>
      </c>
      <c r="D456" s="84" t="s">
        <v>234</v>
      </c>
      <c r="E456" s="84" t="s">
        <v>115</v>
      </c>
      <c r="F456" s="91">
        <v>45449.6659490741</v>
      </c>
      <c r="G456" s="91">
        <v>45448.3719907407</v>
      </c>
      <c r="H456" s="86" t="s">
        <v>99</v>
      </c>
      <c r="I456" s="87">
        <v>12000</v>
      </c>
      <c r="J456" s="83" t="s">
        <v>116</v>
      </c>
      <c r="K456" s="88" t="s">
        <v>117</v>
      </c>
      <c r="L456" s="91">
        <v>45411.627650463</v>
      </c>
      <c r="M456" s="91">
        <v>45429.7077777778</v>
      </c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5"/>
    </row>
    <row r="457" s="63" customFormat="1" ht="14.4" customHeight="1" spans="1:31">
      <c r="A457" s="68">
        <v>456</v>
      </c>
      <c r="B457" s="69" t="s">
        <v>94</v>
      </c>
      <c r="C457" s="70" t="s">
        <v>276</v>
      </c>
      <c r="D457" s="84" t="s">
        <v>235</v>
      </c>
      <c r="E457" s="84" t="s">
        <v>115</v>
      </c>
      <c r="F457" s="91">
        <v>45500.6700810185</v>
      </c>
      <c r="G457" s="91">
        <v>45502.4421759259</v>
      </c>
      <c r="H457" s="86" t="s">
        <v>99</v>
      </c>
      <c r="I457" s="87">
        <v>12000</v>
      </c>
      <c r="J457" s="83" t="s">
        <v>116</v>
      </c>
      <c r="K457" s="88" t="s">
        <v>117</v>
      </c>
      <c r="L457" s="91">
        <v>45411.6277314815</v>
      </c>
      <c r="M457" s="91">
        <v>45429.7078587963</v>
      </c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5"/>
    </row>
    <row r="458" s="63" customFormat="1" ht="14.4" customHeight="1" spans="1:31">
      <c r="A458" s="68">
        <v>457</v>
      </c>
      <c r="B458" s="69" t="s">
        <v>94</v>
      </c>
      <c r="C458" s="70" t="s">
        <v>276</v>
      </c>
      <c r="D458" s="84" t="s">
        <v>236</v>
      </c>
      <c r="E458" s="84" t="s">
        <v>115</v>
      </c>
      <c r="F458" s="91">
        <v>45500.6700810185</v>
      </c>
      <c r="G458" s="91">
        <v>45502.4422106482</v>
      </c>
      <c r="H458" s="86" t="s">
        <v>99</v>
      </c>
      <c r="I458" s="87">
        <v>12000</v>
      </c>
      <c r="J458" s="83" t="s">
        <v>116</v>
      </c>
      <c r="K458" s="88" t="s">
        <v>117</v>
      </c>
      <c r="L458" s="91">
        <v>45411.6275231481</v>
      </c>
      <c r="M458" s="91">
        <v>45429.7079282407</v>
      </c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5"/>
    </row>
    <row r="459" s="63" customFormat="1" spans="1:31">
      <c r="A459" s="68">
        <v>458</v>
      </c>
      <c r="B459" s="69" t="s">
        <v>94</v>
      </c>
      <c r="C459" s="97" t="s">
        <v>276</v>
      </c>
      <c r="D459" s="97" t="s">
        <v>237</v>
      </c>
      <c r="E459" s="95" t="s">
        <v>120</v>
      </c>
      <c r="F459" s="96">
        <v>46225.8336574074</v>
      </c>
      <c r="G459" s="96">
        <v>46224.8338888889</v>
      </c>
      <c r="H459" s="86" t="s">
        <v>99</v>
      </c>
      <c r="I459" s="87">
        <v>12000</v>
      </c>
      <c r="J459" s="83" t="s">
        <v>116</v>
      </c>
      <c r="K459" s="93" t="s">
        <v>121</v>
      </c>
      <c r="L459" s="94">
        <v>46221.7364814815</v>
      </c>
      <c r="M459" s="94">
        <v>46221.7459837963</v>
      </c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5"/>
    </row>
    <row r="460" s="63" customFormat="1" spans="1:31">
      <c r="A460" s="68">
        <v>459</v>
      </c>
      <c r="B460" s="69" t="s">
        <v>94</v>
      </c>
      <c r="C460" s="97" t="s">
        <v>276</v>
      </c>
      <c r="D460" s="97" t="s">
        <v>238</v>
      </c>
      <c r="E460" s="95" t="s">
        <v>120</v>
      </c>
      <c r="F460" s="96">
        <v>46225.8336574074</v>
      </c>
      <c r="G460" s="96">
        <v>46224.8338888889</v>
      </c>
      <c r="H460" s="86" t="s">
        <v>99</v>
      </c>
      <c r="I460" s="87">
        <v>12000</v>
      </c>
      <c r="J460" s="83" t="s">
        <v>116</v>
      </c>
      <c r="K460" s="93" t="s">
        <v>121</v>
      </c>
      <c r="L460" s="94">
        <v>46221.7364930556</v>
      </c>
      <c r="M460" s="94">
        <v>46221.8161805556</v>
      </c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5"/>
    </row>
    <row r="461" s="63" customFormat="1" ht="14.4" customHeight="1" spans="1:31">
      <c r="A461" s="68">
        <v>460</v>
      </c>
      <c r="B461" s="69" t="s">
        <v>94</v>
      </c>
      <c r="C461" s="97" t="s">
        <v>276</v>
      </c>
      <c r="D461" s="97" t="s">
        <v>239</v>
      </c>
      <c r="E461" s="95" t="s">
        <v>117</v>
      </c>
      <c r="F461" s="96">
        <v>46227.8969907407</v>
      </c>
      <c r="G461" s="96">
        <v>46237.6132175926</v>
      </c>
      <c r="H461" s="86" t="s">
        <v>99</v>
      </c>
      <c r="I461" s="87">
        <v>12000</v>
      </c>
      <c r="J461" s="83" t="s">
        <v>116</v>
      </c>
      <c r="K461" s="89"/>
      <c r="L461" s="90"/>
      <c r="M461" s="82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5"/>
    </row>
    <row r="462" s="63" customFormat="1" ht="14.4" customHeight="1" spans="1:31">
      <c r="A462" s="68">
        <v>461</v>
      </c>
      <c r="B462" s="69" t="s">
        <v>94</v>
      </c>
      <c r="C462" s="70" t="s">
        <v>276</v>
      </c>
      <c r="D462" s="84" t="s">
        <v>240</v>
      </c>
      <c r="E462" s="84" t="s">
        <v>115</v>
      </c>
      <c r="F462" s="91">
        <v>45500.6721180556</v>
      </c>
      <c r="G462" s="91">
        <v>45502.4422569444</v>
      </c>
      <c r="H462" s="79" t="s">
        <v>97</v>
      </c>
      <c r="I462" s="80">
        <v>16000</v>
      </c>
      <c r="J462" s="83" t="s">
        <v>116</v>
      </c>
      <c r="K462" s="88" t="s">
        <v>117</v>
      </c>
      <c r="L462" s="91">
        <v>45411.6283449074</v>
      </c>
      <c r="M462" s="91">
        <v>45429.7080092593</v>
      </c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5"/>
    </row>
    <row r="463" s="63" customFormat="1" ht="14.4" customHeight="1" spans="1:31">
      <c r="A463" s="68">
        <v>462</v>
      </c>
      <c r="B463" s="69" t="s">
        <v>94</v>
      </c>
      <c r="C463" s="70" t="s">
        <v>276</v>
      </c>
      <c r="D463" s="84" t="s">
        <v>241</v>
      </c>
      <c r="E463" s="84" t="s">
        <v>115</v>
      </c>
      <c r="F463" s="91">
        <v>45500.6720717593</v>
      </c>
      <c r="G463" s="91">
        <v>45502.4423032407</v>
      </c>
      <c r="H463" s="86" t="s">
        <v>99</v>
      </c>
      <c r="I463" s="87">
        <v>12000</v>
      </c>
      <c r="J463" s="83" t="s">
        <v>116</v>
      </c>
      <c r="K463" s="88" t="s">
        <v>117</v>
      </c>
      <c r="L463" s="91">
        <v>45411.6284259259</v>
      </c>
      <c r="M463" s="91">
        <v>45429.7080787037</v>
      </c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5"/>
    </row>
    <row r="464" s="63" customFormat="1" ht="14.4" customHeight="1" spans="1:31">
      <c r="A464" s="68">
        <v>463</v>
      </c>
      <c r="B464" s="69" t="s">
        <v>94</v>
      </c>
      <c r="C464" s="70" t="s">
        <v>276</v>
      </c>
      <c r="D464" s="84" t="s">
        <v>242</v>
      </c>
      <c r="E464" s="84" t="s">
        <v>115</v>
      </c>
      <c r="F464" s="91">
        <v>45500.6721875</v>
      </c>
      <c r="G464" s="91">
        <v>45502.442349537</v>
      </c>
      <c r="H464" s="86" t="s">
        <v>99</v>
      </c>
      <c r="I464" s="87">
        <v>12000</v>
      </c>
      <c r="J464" s="83" t="s">
        <v>116</v>
      </c>
      <c r="K464" s="88" t="s">
        <v>117</v>
      </c>
      <c r="L464" s="91">
        <v>45411.6285185185</v>
      </c>
      <c r="M464" s="91">
        <v>45429.7081481482</v>
      </c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5"/>
    </row>
    <row r="465" s="63" customFormat="1" ht="14.4" customHeight="1" spans="1:31">
      <c r="A465" s="68">
        <v>464</v>
      </c>
      <c r="B465" s="69" t="s">
        <v>94</v>
      </c>
      <c r="C465" s="70" t="s">
        <v>276</v>
      </c>
      <c r="D465" s="84" t="s">
        <v>243</v>
      </c>
      <c r="E465" s="84" t="s">
        <v>115</v>
      </c>
      <c r="F465" s="91">
        <v>45500.6720138889</v>
      </c>
      <c r="G465" s="91">
        <v>45502.4423958333</v>
      </c>
      <c r="H465" s="86" t="s">
        <v>99</v>
      </c>
      <c r="I465" s="87">
        <v>12000</v>
      </c>
      <c r="J465" s="83" t="s">
        <v>116</v>
      </c>
      <c r="K465" s="88" t="s">
        <v>117</v>
      </c>
      <c r="L465" s="91">
        <v>45411.628599537</v>
      </c>
      <c r="M465" s="91">
        <v>45429.7082175926</v>
      </c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5"/>
    </row>
    <row r="466" s="63" customFormat="1" ht="14.4" customHeight="1" spans="1:31">
      <c r="A466" s="68">
        <v>465</v>
      </c>
      <c r="B466" s="69" t="s">
        <v>94</v>
      </c>
      <c r="C466" s="70" t="s">
        <v>276</v>
      </c>
      <c r="D466" s="84" t="s">
        <v>244</v>
      </c>
      <c r="E466" s="84" t="s">
        <v>115</v>
      </c>
      <c r="F466" s="91">
        <v>45500.6722569444</v>
      </c>
      <c r="G466" s="91">
        <v>45502.4424305556</v>
      </c>
      <c r="H466" s="86" t="s">
        <v>99</v>
      </c>
      <c r="I466" s="87">
        <v>12000</v>
      </c>
      <c r="J466" s="83" t="s">
        <v>116</v>
      </c>
      <c r="K466" s="88" t="s">
        <v>117</v>
      </c>
      <c r="L466" s="91">
        <v>45411.6286574074</v>
      </c>
      <c r="M466" s="91">
        <v>45429.708275463</v>
      </c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5"/>
    </row>
    <row r="467" s="63" customFormat="1" ht="14.4" customHeight="1" spans="1:31">
      <c r="A467" s="68">
        <v>466</v>
      </c>
      <c r="B467" s="69" t="s">
        <v>94</v>
      </c>
      <c r="C467" s="70" t="s">
        <v>276</v>
      </c>
      <c r="D467" s="84" t="s">
        <v>245</v>
      </c>
      <c r="E467" s="84" t="s">
        <v>115</v>
      </c>
      <c r="F467" s="91">
        <v>45500.6721064815</v>
      </c>
      <c r="G467" s="91">
        <v>45502.4424768519</v>
      </c>
      <c r="H467" s="86" t="s">
        <v>99</v>
      </c>
      <c r="I467" s="87">
        <v>12000</v>
      </c>
      <c r="J467" s="83" t="s">
        <v>116</v>
      </c>
      <c r="K467" s="88" t="s">
        <v>117</v>
      </c>
      <c r="L467" s="91">
        <v>45411.6287152778</v>
      </c>
      <c r="M467" s="91">
        <v>45429.7083564815</v>
      </c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5"/>
    </row>
    <row r="468" s="63" customFormat="1" ht="14.4" customHeight="1" spans="1:31">
      <c r="A468" s="68">
        <v>467</v>
      </c>
      <c r="B468" s="69" t="s">
        <v>94</v>
      </c>
      <c r="C468" s="70" t="s">
        <v>276</v>
      </c>
      <c r="D468" s="84" t="s">
        <v>246</v>
      </c>
      <c r="E468" s="84" t="s">
        <v>115</v>
      </c>
      <c r="F468" s="91">
        <v>45500.6762962963</v>
      </c>
      <c r="G468" s="91">
        <v>45502.4425231482</v>
      </c>
      <c r="H468" s="86" t="s">
        <v>99</v>
      </c>
      <c r="I468" s="87">
        <v>12000</v>
      </c>
      <c r="J468" s="83" t="s">
        <v>116</v>
      </c>
      <c r="K468" s="88" t="s">
        <v>117</v>
      </c>
      <c r="L468" s="91">
        <v>45411.6287847222</v>
      </c>
      <c r="M468" s="91">
        <v>45429.7084375</v>
      </c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5"/>
    </row>
    <row r="469" s="63" customFormat="1" ht="14.4" customHeight="1" spans="1:31">
      <c r="A469" s="68">
        <v>468</v>
      </c>
      <c r="B469" s="69" t="s">
        <v>94</v>
      </c>
      <c r="C469" s="70" t="s">
        <v>276</v>
      </c>
      <c r="D469" s="84" t="s">
        <v>247</v>
      </c>
      <c r="E469" s="84" t="s">
        <v>115</v>
      </c>
      <c r="F469" s="91">
        <v>45500.6762847222</v>
      </c>
      <c r="G469" s="91">
        <v>45502.4425694444</v>
      </c>
      <c r="H469" s="86" t="s">
        <v>99</v>
      </c>
      <c r="I469" s="87">
        <v>12000</v>
      </c>
      <c r="J469" s="83" t="s">
        <v>116</v>
      </c>
      <c r="K469" s="88" t="s">
        <v>117</v>
      </c>
      <c r="L469" s="91">
        <v>45411.6288541667</v>
      </c>
      <c r="M469" s="91">
        <v>45429.7084953704</v>
      </c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5"/>
    </row>
    <row r="470" s="63" customFormat="1" ht="14.4" customHeight="1" spans="1:31">
      <c r="A470" s="68">
        <v>469</v>
      </c>
      <c r="B470" s="69" t="s">
        <v>94</v>
      </c>
      <c r="C470" s="70" t="s">
        <v>276</v>
      </c>
      <c r="D470" s="84" t="s">
        <v>248</v>
      </c>
      <c r="E470" s="84" t="s">
        <v>115</v>
      </c>
      <c r="F470" s="91">
        <v>45500.6762962963</v>
      </c>
      <c r="G470" s="91">
        <v>45502.4426041667</v>
      </c>
      <c r="H470" s="86" t="s">
        <v>99</v>
      </c>
      <c r="I470" s="87">
        <v>12000</v>
      </c>
      <c r="J470" s="83" t="s">
        <v>116</v>
      </c>
      <c r="K470" s="88" t="s">
        <v>117</v>
      </c>
      <c r="L470" s="91">
        <v>45411.6290046296</v>
      </c>
      <c r="M470" s="91">
        <v>45429.7085532407</v>
      </c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5"/>
    </row>
    <row r="471" s="63" customFormat="1" ht="14.4" customHeight="1" spans="1:31">
      <c r="A471" s="68">
        <v>470</v>
      </c>
      <c r="B471" s="69" t="s">
        <v>94</v>
      </c>
      <c r="C471" s="70" t="s">
        <v>276</v>
      </c>
      <c r="D471" s="84" t="s">
        <v>249</v>
      </c>
      <c r="E471" s="84" t="s">
        <v>115</v>
      </c>
      <c r="F471" s="91">
        <v>45500.6762847222</v>
      </c>
      <c r="G471" s="91">
        <v>45502.442650463</v>
      </c>
      <c r="H471" s="86" t="s">
        <v>99</v>
      </c>
      <c r="I471" s="87">
        <v>12000</v>
      </c>
      <c r="J471" s="83" t="s">
        <v>116</v>
      </c>
      <c r="K471" s="88" t="s">
        <v>117</v>
      </c>
      <c r="L471" s="91">
        <v>45411.6290625</v>
      </c>
      <c r="M471" s="91">
        <v>45429.7086226852</v>
      </c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5"/>
    </row>
    <row r="472" s="63" customFormat="1" ht="14.4" customHeight="1" spans="1:31">
      <c r="A472" s="68">
        <v>471</v>
      </c>
      <c r="B472" s="69" t="s">
        <v>94</v>
      </c>
      <c r="C472" s="70" t="s">
        <v>276</v>
      </c>
      <c r="D472" s="84" t="s">
        <v>250</v>
      </c>
      <c r="E472" s="84" t="s">
        <v>115</v>
      </c>
      <c r="F472" s="91">
        <v>45500.6763541667</v>
      </c>
      <c r="G472" s="91">
        <v>45502.4426967593</v>
      </c>
      <c r="H472" s="86" t="s">
        <v>99</v>
      </c>
      <c r="I472" s="87">
        <v>12000</v>
      </c>
      <c r="J472" s="83" t="s">
        <v>116</v>
      </c>
      <c r="K472" s="88" t="s">
        <v>117</v>
      </c>
      <c r="L472" s="91">
        <v>45411.6291319444</v>
      </c>
      <c r="M472" s="91">
        <v>45429.7086805556</v>
      </c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5"/>
    </row>
    <row r="473" s="63" customFormat="1" ht="14.4" customHeight="1" spans="1:31">
      <c r="A473" s="68">
        <v>472</v>
      </c>
      <c r="B473" s="69" t="s">
        <v>94</v>
      </c>
      <c r="C473" s="70" t="s">
        <v>276</v>
      </c>
      <c r="D473" s="84" t="s">
        <v>251</v>
      </c>
      <c r="E473" s="84" t="s">
        <v>115</v>
      </c>
      <c r="F473" s="91">
        <v>45500.6803587963</v>
      </c>
      <c r="G473" s="91">
        <v>45502.4427430556</v>
      </c>
      <c r="H473" s="86" t="s">
        <v>99</v>
      </c>
      <c r="I473" s="87">
        <v>12000</v>
      </c>
      <c r="J473" s="83" t="s">
        <v>116</v>
      </c>
      <c r="K473" s="88" t="s">
        <v>117</v>
      </c>
      <c r="L473" s="91">
        <v>45411.628275463</v>
      </c>
      <c r="M473" s="91">
        <v>45429.70875</v>
      </c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5"/>
    </row>
    <row r="474" s="63" customFormat="1" ht="14.4" customHeight="1" spans="1:31">
      <c r="A474" s="68">
        <v>473</v>
      </c>
      <c r="B474" s="69" t="s">
        <v>94</v>
      </c>
      <c r="C474" s="97" t="s">
        <v>276</v>
      </c>
      <c r="D474" s="97" t="s">
        <v>252</v>
      </c>
      <c r="E474" s="95" t="s">
        <v>117</v>
      </c>
      <c r="F474" s="96">
        <v>46227.8969675926</v>
      </c>
      <c r="G474" s="96">
        <v>46237.6133333333</v>
      </c>
      <c r="H474" s="86" t="s">
        <v>99</v>
      </c>
      <c r="I474" s="87">
        <v>12000</v>
      </c>
      <c r="J474" s="83" t="s">
        <v>116</v>
      </c>
      <c r="K474" s="89"/>
      <c r="L474" s="90"/>
      <c r="M474" s="82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5"/>
    </row>
    <row r="475" s="63" customFormat="1" spans="1:31">
      <c r="A475" s="68">
        <v>474</v>
      </c>
      <c r="B475" s="69" t="s">
        <v>94</v>
      </c>
      <c r="C475" s="97" t="s">
        <v>276</v>
      </c>
      <c r="D475" s="97" t="s">
        <v>253</v>
      </c>
      <c r="E475" s="95" t="s">
        <v>120</v>
      </c>
      <c r="F475" s="96">
        <v>46225.8336574074</v>
      </c>
      <c r="G475" s="96">
        <v>46224.8338888889</v>
      </c>
      <c r="H475" s="86" t="s">
        <v>99</v>
      </c>
      <c r="I475" s="87">
        <v>12000</v>
      </c>
      <c r="J475" s="83" t="s">
        <v>116</v>
      </c>
      <c r="K475" s="93" t="s">
        <v>121</v>
      </c>
      <c r="L475" s="94">
        <v>46221.7364814815</v>
      </c>
      <c r="M475" s="94">
        <v>46221.7460185185</v>
      </c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5"/>
    </row>
    <row r="476" s="63" customFormat="1" spans="1:31">
      <c r="A476" s="68">
        <v>475</v>
      </c>
      <c r="B476" s="69" t="s">
        <v>94</v>
      </c>
      <c r="C476" s="97" t="s">
        <v>276</v>
      </c>
      <c r="D476" s="97" t="s">
        <v>254</v>
      </c>
      <c r="E476" s="95" t="s">
        <v>120</v>
      </c>
      <c r="F476" s="96">
        <v>46225.8336574074</v>
      </c>
      <c r="G476" s="96">
        <v>46224.8338888889</v>
      </c>
      <c r="H476" s="86" t="s">
        <v>99</v>
      </c>
      <c r="I476" s="87">
        <v>12000</v>
      </c>
      <c r="J476" s="83" t="s">
        <v>116</v>
      </c>
      <c r="K476" s="93" t="s">
        <v>121</v>
      </c>
      <c r="L476" s="94">
        <v>46221.7364930556</v>
      </c>
      <c r="M476" s="94">
        <v>46221.7460648148</v>
      </c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5"/>
    </row>
    <row r="477" s="63" customFormat="1" ht="14.4" customHeight="1" spans="1:31">
      <c r="A477" s="68">
        <v>476</v>
      </c>
      <c r="B477" s="69" t="s">
        <v>94</v>
      </c>
      <c r="C477" s="70" t="s">
        <v>276</v>
      </c>
      <c r="D477" s="84" t="s">
        <v>255</v>
      </c>
      <c r="E477" s="88"/>
      <c r="F477" s="84"/>
      <c r="G477" s="84"/>
      <c r="H477" s="86" t="s">
        <v>99</v>
      </c>
      <c r="I477" s="87">
        <v>12000</v>
      </c>
      <c r="J477" s="84"/>
      <c r="K477" s="89"/>
      <c r="L477" s="90"/>
      <c r="M477" s="82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5"/>
    </row>
    <row r="478" s="63" customFormat="1" ht="14.4" customHeight="1" spans="1:31">
      <c r="A478" s="68">
        <v>477</v>
      </c>
      <c r="B478" s="69" t="s">
        <v>94</v>
      </c>
      <c r="C478" s="70" t="s">
        <v>276</v>
      </c>
      <c r="D478" s="84" t="s">
        <v>256</v>
      </c>
      <c r="E478" s="84" t="s">
        <v>115</v>
      </c>
      <c r="F478" s="91">
        <v>45500.6803587963</v>
      </c>
      <c r="G478" s="91">
        <v>45502.4427893519</v>
      </c>
      <c r="H478" s="79" t="s">
        <v>97</v>
      </c>
      <c r="I478" s="80">
        <v>16000</v>
      </c>
      <c r="J478" s="83" t="s">
        <v>116</v>
      </c>
      <c r="K478" s="88" t="s">
        <v>117</v>
      </c>
      <c r="L478" s="91">
        <v>45411.6297800926</v>
      </c>
      <c r="M478" s="91">
        <v>45429.708900463</v>
      </c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5"/>
    </row>
    <row r="479" s="63" customFormat="1" ht="14.4" customHeight="1" spans="1:31">
      <c r="A479" s="68">
        <v>478</v>
      </c>
      <c r="B479" s="69" t="s">
        <v>94</v>
      </c>
      <c r="C479" s="70" t="s">
        <v>276</v>
      </c>
      <c r="D479" s="84" t="s">
        <v>257</v>
      </c>
      <c r="E479" s="84" t="s">
        <v>115</v>
      </c>
      <c r="F479" s="91">
        <v>45500.6803587963</v>
      </c>
      <c r="G479" s="91">
        <v>45502.4428240741</v>
      </c>
      <c r="H479" s="86" t="s">
        <v>99</v>
      </c>
      <c r="I479" s="87">
        <v>12000</v>
      </c>
      <c r="J479" s="83" t="s">
        <v>116</v>
      </c>
      <c r="K479" s="88" t="s">
        <v>117</v>
      </c>
      <c r="L479" s="91">
        <v>45411.629837963</v>
      </c>
      <c r="M479" s="91">
        <v>45429.7089699074</v>
      </c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  <c r="AA479" s="84"/>
      <c r="AB479" s="84"/>
      <c r="AC479" s="84"/>
      <c r="AD479" s="84"/>
      <c r="AE479" s="85"/>
    </row>
    <row r="480" s="63" customFormat="1" ht="14.4" customHeight="1" spans="1:31">
      <c r="A480" s="68">
        <v>479</v>
      </c>
      <c r="B480" s="69" t="s">
        <v>94</v>
      </c>
      <c r="C480" s="70" t="s">
        <v>276</v>
      </c>
      <c r="D480" s="84" t="s">
        <v>258</v>
      </c>
      <c r="E480" s="84" t="s">
        <v>115</v>
      </c>
      <c r="F480" s="91">
        <v>45500.6809027778</v>
      </c>
      <c r="G480" s="91">
        <v>45502.4428587963</v>
      </c>
      <c r="H480" s="86" t="s">
        <v>99</v>
      </c>
      <c r="I480" s="87">
        <v>12000</v>
      </c>
      <c r="J480" s="83" t="s">
        <v>116</v>
      </c>
      <c r="K480" s="88" t="s">
        <v>117</v>
      </c>
      <c r="L480" s="91">
        <v>45411.6299189815</v>
      </c>
      <c r="M480" s="91">
        <v>45429.7090393519</v>
      </c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5"/>
    </row>
    <row r="481" s="63" customFormat="1" ht="14.4" customHeight="1" spans="1:31">
      <c r="A481" s="68">
        <v>480</v>
      </c>
      <c r="B481" s="69" t="s">
        <v>94</v>
      </c>
      <c r="C481" s="70" t="s">
        <v>276</v>
      </c>
      <c r="D481" s="84" t="s">
        <v>259</v>
      </c>
      <c r="E481" s="84" t="s">
        <v>115</v>
      </c>
      <c r="F481" s="91">
        <v>45500.6809027778</v>
      </c>
      <c r="G481" s="91">
        <v>45502.4429050926</v>
      </c>
      <c r="H481" s="86" t="s">
        <v>99</v>
      </c>
      <c r="I481" s="87">
        <v>12000</v>
      </c>
      <c r="J481" s="83" t="s">
        <v>116</v>
      </c>
      <c r="K481" s="88" t="s">
        <v>117</v>
      </c>
      <c r="L481" s="91">
        <v>45411.6299768519</v>
      </c>
      <c r="M481" s="91">
        <v>45429.7091319444</v>
      </c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5"/>
    </row>
    <row r="482" s="63" customFormat="1" ht="14.4" customHeight="1" spans="1:31">
      <c r="A482" s="68">
        <v>481</v>
      </c>
      <c r="B482" s="69" t="s">
        <v>94</v>
      </c>
      <c r="C482" s="70" t="s">
        <v>276</v>
      </c>
      <c r="D482" s="84" t="s">
        <v>260</v>
      </c>
      <c r="E482" s="84" t="s">
        <v>115</v>
      </c>
      <c r="F482" s="91">
        <v>45500.6809143519</v>
      </c>
      <c r="G482" s="91">
        <v>45502.4429398148</v>
      </c>
      <c r="H482" s="86" t="s">
        <v>99</v>
      </c>
      <c r="I482" s="87">
        <v>12000</v>
      </c>
      <c r="J482" s="83" t="s">
        <v>116</v>
      </c>
      <c r="K482" s="88" t="s">
        <v>117</v>
      </c>
      <c r="L482" s="91">
        <v>45411.6300347222</v>
      </c>
      <c r="M482" s="91">
        <v>45429.709375</v>
      </c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5"/>
    </row>
    <row r="483" s="63" customFormat="1" ht="14.4" customHeight="1" spans="1:31">
      <c r="A483" s="68">
        <v>482</v>
      </c>
      <c r="B483" s="69" t="s">
        <v>94</v>
      </c>
      <c r="C483" s="70" t="s">
        <v>276</v>
      </c>
      <c r="D483" s="84" t="s">
        <v>261</v>
      </c>
      <c r="E483" s="84" t="s">
        <v>115</v>
      </c>
      <c r="F483" s="91">
        <v>45500.6825925926</v>
      </c>
      <c r="G483" s="91">
        <v>45502.4429861111</v>
      </c>
      <c r="H483" s="86" t="s">
        <v>99</v>
      </c>
      <c r="I483" s="87">
        <v>12000</v>
      </c>
      <c r="J483" s="83" t="s">
        <v>116</v>
      </c>
      <c r="K483" s="88" t="s">
        <v>117</v>
      </c>
      <c r="L483" s="91">
        <v>45411.6301041667</v>
      </c>
      <c r="M483" s="91">
        <v>45429.7094560185</v>
      </c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5"/>
    </row>
    <row r="484" s="63" customFormat="1" ht="14.4" customHeight="1" spans="1:31">
      <c r="A484" s="68">
        <v>483</v>
      </c>
      <c r="B484" s="69" t="s">
        <v>94</v>
      </c>
      <c r="C484" s="70" t="s">
        <v>276</v>
      </c>
      <c r="D484" s="84" t="s">
        <v>262</v>
      </c>
      <c r="E484" s="84" t="s">
        <v>115</v>
      </c>
      <c r="F484" s="91">
        <v>45500.6826273148</v>
      </c>
      <c r="G484" s="91">
        <v>45502.4430324074</v>
      </c>
      <c r="H484" s="86" t="s">
        <v>99</v>
      </c>
      <c r="I484" s="87">
        <v>12000</v>
      </c>
      <c r="J484" s="83" t="s">
        <v>116</v>
      </c>
      <c r="K484" s="88" t="s">
        <v>117</v>
      </c>
      <c r="L484" s="91">
        <v>45411.630162037</v>
      </c>
      <c r="M484" s="91">
        <v>45429.7094560185</v>
      </c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5"/>
    </row>
    <row r="485" s="63" customFormat="1" ht="14.4" customHeight="1" spans="1:31">
      <c r="A485" s="68">
        <v>484</v>
      </c>
      <c r="B485" s="69" t="s">
        <v>94</v>
      </c>
      <c r="C485" s="70" t="s">
        <v>276</v>
      </c>
      <c r="D485" s="84" t="s">
        <v>263</v>
      </c>
      <c r="E485" s="84" t="s">
        <v>115</v>
      </c>
      <c r="F485" s="91">
        <v>45500.6825925926</v>
      </c>
      <c r="G485" s="91">
        <v>45502.4431018519</v>
      </c>
      <c r="H485" s="86" t="s">
        <v>99</v>
      </c>
      <c r="I485" s="87">
        <v>12000</v>
      </c>
      <c r="J485" s="83" t="s">
        <v>116</v>
      </c>
      <c r="K485" s="88" t="s">
        <v>117</v>
      </c>
      <c r="L485" s="91">
        <v>45411.6303472222</v>
      </c>
      <c r="M485" s="91">
        <v>45429.7094560185</v>
      </c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5"/>
    </row>
    <row r="486" s="63" customFormat="1" ht="14.4" customHeight="1" spans="1:31">
      <c r="A486" s="68">
        <v>485</v>
      </c>
      <c r="B486" s="69" t="s">
        <v>94</v>
      </c>
      <c r="C486" s="70" t="s">
        <v>276</v>
      </c>
      <c r="D486" s="84" t="s">
        <v>264</v>
      </c>
      <c r="E486" s="84" t="s">
        <v>115</v>
      </c>
      <c r="F486" s="91">
        <v>45500.6868402778</v>
      </c>
      <c r="G486" s="91">
        <v>45502.4431365741</v>
      </c>
      <c r="H486" s="86" t="s">
        <v>99</v>
      </c>
      <c r="I486" s="87">
        <v>12000</v>
      </c>
      <c r="J486" s="83" t="s">
        <v>116</v>
      </c>
      <c r="K486" s="88" t="s">
        <v>117</v>
      </c>
      <c r="L486" s="91">
        <v>45411.6304282407</v>
      </c>
      <c r="M486" s="91">
        <v>45429.709525463</v>
      </c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5"/>
    </row>
    <row r="487" s="63" customFormat="1" ht="14.4" customHeight="1" spans="1:31">
      <c r="A487" s="68">
        <v>486</v>
      </c>
      <c r="B487" s="69" t="s">
        <v>94</v>
      </c>
      <c r="C487" s="70" t="s">
        <v>276</v>
      </c>
      <c r="D487" s="84" t="s">
        <v>265</v>
      </c>
      <c r="E487" s="84" t="s">
        <v>115</v>
      </c>
      <c r="F487" s="91">
        <v>45500.6868518519</v>
      </c>
      <c r="G487" s="91">
        <v>45502.4431712963</v>
      </c>
      <c r="H487" s="86" t="s">
        <v>99</v>
      </c>
      <c r="I487" s="87">
        <v>12000</v>
      </c>
      <c r="J487" s="83" t="s">
        <v>116</v>
      </c>
      <c r="K487" s="88" t="s">
        <v>117</v>
      </c>
      <c r="L487" s="91">
        <v>45411.6304976852</v>
      </c>
      <c r="M487" s="91">
        <v>45429.7095949074</v>
      </c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5"/>
    </row>
    <row r="488" s="63" customFormat="1" ht="14.4" customHeight="1" spans="1:31">
      <c r="A488" s="68">
        <v>487</v>
      </c>
      <c r="B488" s="69" t="s">
        <v>94</v>
      </c>
      <c r="C488" s="70" t="s">
        <v>276</v>
      </c>
      <c r="D488" s="84" t="s">
        <v>266</v>
      </c>
      <c r="E488" s="84" t="s">
        <v>115</v>
      </c>
      <c r="F488" s="91">
        <v>45500.6868518519</v>
      </c>
      <c r="G488" s="91">
        <v>45502.4432175926</v>
      </c>
      <c r="H488" s="86" t="s">
        <v>99</v>
      </c>
      <c r="I488" s="87">
        <v>12000</v>
      </c>
      <c r="J488" s="83" t="s">
        <v>116</v>
      </c>
      <c r="K488" s="88" t="s">
        <v>117</v>
      </c>
      <c r="L488" s="91">
        <v>45411.6305787037</v>
      </c>
      <c r="M488" s="91">
        <v>45429.7097222222</v>
      </c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5"/>
    </row>
    <row r="489" s="63" customFormat="1" ht="14.4" customHeight="1" spans="1:31">
      <c r="A489" s="68">
        <v>488</v>
      </c>
      <c r="B489" s="69" t="s">
        <v>94</v>
      </c>
      <c r="C489" s="70" t="s">
        <v>276</v>
      </c>
      <c r="D489" s="84" t="s">
        <v>267</v>
      </c>
      <c r="E489" s="84" t="s">
        <v>115</v>
      </c>
      <c r="F489" s="91">
        <v>45500.6862847222</v>
      </c>
      <c r="G489" s="91">
        <v>45502.4434606481</v>
      </c>
      <c r="H489" s="86" t="s">
        <v>99</v>
      </c>
      <c r="I489" s="87">
        <v>12000</v>
      </c>
      <c r="J489" s="83" t="s">
        <v>116</v>
      </c>
      <c r="K489" s="88" t="s">
        <v>117</v>
      </c>
      <c r="L489" s="91">
        <v>45411.6306828704</v>
      </c>
      <c r="M489" s="91">
        <v>45429.7140972222</v>
      </c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5"/>
    </row>
    <row r="490" s="63" customFormat="1" ht="14.4" customHeight="1" spans="1:31">
      <c r="A490" s="68">
        <v>489</v>
      </c>
      <c r="B490" s="69" t="s">
        <v>94</v>
      </c>
      <c r="C490" s="70" t="s">
        <v>276</v>
      </c>
      <c r="D490" s="84" t="s">
        <v>268</v>
      </c>
      <c r="E490" s="84" t="s">
        <v>115</v>
      </c>
      <c r="F490" s="91">
        <v>45626.6896296296</v>
      </c>
      <c r="G490" s="91">
        <v>45624.6897337963</v>
      </c>
      <c r="H490" s="86" t="s">
        <v>99</v>
      </c>
      <c r="I490" s="87">
        <v>12000</v>
      </c>
      <c r="J490" s="83" t="s">
        <v>116</v>
      </c>
      <c r="K490" s="88" t="s">
        <v>117</v>
      </c>
      <c r="L490" s="91">
        <v>45411.6307523148</v>
      </c>
      <c r="M490" s="91">
        <v>45429.7141550926</v>
      </c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5"/>
    </row>
    <row r="491" s="63" customFormat="1" ht="14.4" customHeight="1" spans="1:31">
      <c r="A491" s="68">
        <v>490</v>
      </c>
      <c r="B491" s="69" t="s">
        <v>94</v>
      </c>
      <c r="C491" s="70" t="s">
        <v>276</v>
      </c>
      <c r="D491" s="84" t="s">
        <v>269</v>
      </c>
      <c r="E491" s="84" t="s">
        <v>115</v>
      </c>
      <c r="F491" s="91">
        <v>45626.6896296296</v>
      </c>
      <c r="G491" s="91">
        <v>45624.6897337963</v>
      </c>
      <c r="H491" s="86" t="s">
        <v>99</v>
      </c>
      <c r="I491" s="87">
        <v>12000</v>
      </c>
      <c r="J491" s="83" t="s">
        <v>116</v>
      </c>
      <c r="K491" s="88" t="s">
        <v>117</v>
      </c>
      <c r="L491" s="91">
        <v>45411.6297222222</v>
      </c>
      <c r="M491" s="91">
        <v>45429.702349537</v>
      </c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5"/>
    </row>
    <row r="492" s="63" customFormat="1" spans="1:31">
      <c r="A492" s="68">
        <v>491</v>
      </c>
      <c r="B492" s="69" t="s">
        <v>94</v>
      </c>
      <c r="C492" s="97" t="s">
        <v>276</v>
      </c>
      <c r="D492" s="97" t="s">
        <v>270</v>
      </c>
      <c r="E492" s="95" t="s">
        <v>120</v>
      </c>
      <c r="F492" s="96">
        <v>46225.8336574074</v>
      </c>
      <c r="G492" s="96">
        <v>46224.8338888889</v>
      </c>
      <c r="H492" s="86" t="s">
        <v>99</v>
      </c>
      <c r="I492" s="87">
        <v>12000</v>
      </c>
      <c r="J492" s="83" t="s">
        <v>116</v>
      </c>
      <c r="K492" s="93" t="s">
        <v>121</v>
      </c>
      <c r="L492" s="94">
        <v>46221.7364930556</v>
      </c>
      <c r="M492" s="94">
        <v>46221.81625</v>
      </c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5"/>
    </row>
    <row r="493" s="63" customFormat="1" spans="1:31">
      <c r="A493" s="68">
        <v>492</v>
      </c>
      <c r="B493" s="69" t="s">
        <v>94</v>
      </c>
      <c r="C493" s="97" t="s">
        <v>276</v>
      </c>
      <c r="D493" s="97" t="s">
        <v>271</v>
      </c>
      <c r="E493" s="95" t="s">
        <v>120</v>
      </c>
      <c r="F493" s="96">
        <v>46225.8336574074</v>
      </c>
      <c r="G493" s="96">
        <v>46224.8338888889</v>
      </c>
      <c r="H493" s="86" t="s">
        <v>99</v>
      </c>
      <c r="I493" s="87">
        <v>12000</v>
      </c>
      <c r="J493" s="83" t="s">
        <v>116</v>
      </c>
      <c r="K493" s="93" t="s">
        <v>121</v>
      </c>
      <c r="L493" s="94">
        <v>46221.7364814815</v>
      </c>
      <c r="M493" s="94">
        <v>46221.7461342593</v>
      </c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5"/>
    </row>
    <row r="494" s="63" customFormat="1" ht="14.4" customHeight="1" spans="1:31">
      <c r="A494" s="68">
        <v>493</v>
      </c>
      <c r="B494" s="69" t="s">
        <v>94</v>
      </c>
      <c r="C494" s="97" t="s">
        <v>276</v>
      </c>
      <c r="D494" s="97" t="s">
        <v>272</v>
      </c>
      <c r="E494" s="95" t="s">
        <v>117</v>
      </c>
      <c r="F494" s="96">
        <v>46227.8930787037</v>
      </c>
      <c r="G494" s="96">
        <v>46237.6134259259</v>
      </c>
      <c r="H494" s="86" t="s">
        <v>99</v>
      </c>
      <c r="I494" s="87">
        <v>12000</v>
      </c>
      <c r="J494" s="83" t="s">
        <v>116</v>
      </c>
      <c r="K494" s="88" t="s">
        <v>121</v>
      </c>
      <c r="L494" s="91">
        <v>45565.5441435185</v>
      </c>
      <c r="M494" s="91">
        <v>45565.6241898148</v>
      </c>
      <c r="N494" s="100" t="s">
        <v>275</v>
      </c>
      <c r="O494" s="91">
        <v>45961.4969791667</v>
      </c>
      <c r="P494" s="91">
        <v>45967.603125</v>
      </c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5"/>
    </row>
    <row r="495" s="63" customFormat="1" ht="14.4" customHeight="1" spans="1:31">
      <c r="A495" s="68">
        <v>494</v>
      </c>
      <c r="B495" s="69" t="s">
        <v>94</v>
      </c>
      <c r="C495" s="70" t="s">
        <v>276</v>
      </c>
      <c r="D495" s="84" t="s">
        <v>273</v>
      </c>
      <c r="E495" s="100" t="s">
        <v>275</v>
      </c>
      <c r="F495" s="91">
        <v>45961.4969791667</v>
      </c>
      <c r="G495" s="91">
        <v>45967.6030671296</v>
      </c>
      <c r="H495" s="86" t="s">
        <v>99</v>
      </c>
      <c r="I495" s="87">
        <v>12000</v>
      </c>
      <c r="J495" s="83" t="s">
        <v>116</v>
      </c>
      <c r="K495" s="88" t="s">
        <v>121</v>
      </c>
      <c r="L495" s="91">
        <v>45565.5441435185</v>
      </c>
      <c r="M495" s="91">
        <v>45565.6242592593</v>
      </c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5"/>
    </row>
    <row r="496" s="63" customFormat="1" ht="14.4" customHeight="1" spans="1:31">
      <c r="A496" s="68">
        <v>495</v>
      </c>
      <c r="B496" s="69" t="s">
        <v>94</v>
      </c>
      <c r="C496" s="92" t="s">
        <v>277</v>
      </c>
      <c r="D496" s="92" t="s">
        <v>96</v>
      </c>
      <c r="E496" s="101" t="s">
        <v>115</v>
      </c>
      <c r="F496" s="94">
        <v>46198.8822569444</v>
      </c>
      <c r="G496" s="94">
        <v>46197.8824768519</v>
      </c>
      <c r="H496" s="79" t="s">
        <v>97</v>
      </c>
      <c r="I496" s="80">
        <v>16000</v>
      </c>
      <c r="J496" s="83" t="s">
        <v>116</v>
      </c>
      <c r="K496" s="88" t="s">
        <v>121</v>
      </c>
      <c r="L496" s="91">
        <v>46184.7606481481</v>
      </c>
      <c r="M496" s="91">
        <v>46191.7708333333</v>
      </c>
      <c r="N496" s="95" t="s">
        <v>120</v>
      </c>
      <c r="O496" s="96">
        <v>46193.9167824074</v>
      </c>
      <c r="P496" s="96">
        <v>46192.9170023148</v>
      </c>
      <c r="Q496" s="84"/>
      <c r="R496" s="84"/>
      <c r="S496" s="84"/>
      <c r="T496" s="84"/>
      <c r="U496" s="84"/>
      <c r="V496" s="84"/>
      <c r="W496" s="84"/>
      <c r="X496" s="84"/>
      <c r="Y496" s="84"/>
      <c r="Z496" s="84"/>
      <c r="AA496" s="84"/>
      <c r="AB496" s="84"/>
      <c r="AC496" s="84"/>
      <c r="AD496" s="84"/>
      <c r="AE496" s="85"/>
    </row>
    <row r="497" s="63" customFormat="1" ht="14.4" customHeight="1" spans="1:31">
      <c r="A497" s="68">
        <v>496</v>
      </c>
      <c r="B497" s="69" t="s">
        <v>94</v>
      </c>
      <c r="C497" s="70" t="s">
        <v>277</v>
      </c>
      <c r="D497" s="70" t="s">
        <v>98</v>
      </c>
      <c r="E497" s="88"/>
      <c r="F497" s="84"/>
      <c r="G497" s="84"/>
      <c r="H497" s="79" t="s">
        <v>97</v>
      </c>
      <c r="I497" s="80">
        <v>16000</v>
      </c>
      <c r="J497" s="84"/>
      <c r="K497" s="89"/>
      <c r="L497" s="90"/>
      <c r="M497" s="82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5"/>
    </row>
    <row r="498" s="63" customFormat="1" ht="14.4" customHeight="1" spans="1:31">
      <c r="A498" s="68">
        <v>497</v>
      </c>
      <c r="B498" s="69" t="s">
        <v>94</v>
      </c>
      <c r="C498" s="70" t="s">
        <v>277</v>
      </c>
      <c r="D498" s="70" t="s">
        <v>100</v>
      </c>
      <c r="E498" s="88"/>
      <c r="F498" s="84"/>
      <c r="G498" s="84"/>
      <c r="H498" s="79" t="s">
        <v>97</v>
      </c>
      <c r="I498" s="80">
        <v>16000</v>
      </c>
      <c r="J498" s="84"/>
      <c r="K498" s="89"/>
      <c r="L498" s="90"/>
      <c r="M498" s="82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5"/>
    </row>
    <row r="499" s="63" customFormat="1" ht="14.4" customHeight="1" spans="1:31">
      <c r="A499" s="68">
        <v>498</v>
      </c>
      <c r="B499" s="69" t="s">
        <v>94</v>
      </c>
      <c r="C499" s="70" t="s">
        <v>277</v>
      </c>
      <c r="D499" s="70" t="s">
        <v>101</v>
      </c>
      <c r="E499" s="88"/>
      <c r="F499" s="84"/>
      <c r="G499" s="84"/>
      <c r="H499" s="79" t="s">
        <v>97</v>
      </c>
      <c r="I499" s="80">
        <v>16000</v>
      </c>
      <c r="J499" s="84"/>
      <c r="K499" s="89"/>
      <c r="L499" s="90"/>
      <c r="M499" s="82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5"/>
    </row>
    <row r="500" s="63" customFormat="1" ht="14.4" customHeight="1" spans="1:31">
      <c r="A500" s="68">
        <v>499</v>
      </c>
      <c r="B500" s="69" t="s">
        <v>94</v>
      </c>
      <c r="C500" s="70" t="s">
        <v>277</v>
      </c>
      <c r="D500" s="70" t="s">
        <v>102</v>
      </c>
      <c r="E500" s="88"/>
      <c r="F500" s="84"/>
      <c r="G500" s="84"/>
      <c r="H500" s="79" t="s">
        <v>97</v>
      </c>
      <c r="I500" s="80">
        <v>16000</v>
      </c>
      <c r="J500" s="84"/>
      <c r="K500" s="89"/>
      <c r="L500" s="90"/>
      <c r="M500" s="82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5"/>
    </row>
    <row r="501" s="63" customFormat="1" ht="14.4" customHeight="1" spans="1:31">
      <c r="A501" s="68">
        <v>500</v>
      </c>
      <c r="B501" s="69" t="s">
        <v>94</v>
      </c>
      <c r="C501" s="70" t="s">
        <v>277</v>
      </c>
      <c r="D501" s="70" t="s">
        <v>103</v>
      </c>
      <c r="E501" s="88"/>
      <c r="F501" s="84"/>
      <c r="G501" s="84"/>
      <c r="H501" s="79" t="s">
        <v>97</v>
      </c>
      <c r="I501" s="80">
        <v>16000</v>
      </c>
      <c r="J501" s="84"/>
      <c r="K501" s="89"/>
      <c r="L501" s="90"/>
      <c r="M501" s="82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5"/>
    </row>
    <row r="502" s="63" customFormat="1" ht="14.4" customHeight="1" spans="1:31">
      <c r="A502" s="68">
        <v>501</v>
      </c>
      <c r="B502" s="69" t="s">
        <v>94</v>
      </c>
      <c r="C502" s="70" t="s">
        <v>277</v>
      </c>
      <c r="D502" s="70" t="s">
        <v>104</v>
      </c>
      <c r="E502" s="88"/>
      <c r="F502" s="84"/>
      <c r="G502" s="84"/>
      <c r="H502" s="79" t="s">
        <v>97</v>
      </c>
      <c r="I502" s="80">
        <v>16000</v>
      </c>
      <c r="J502" s="84"/>
      <c r="K502" s="89"/>
      <c r="L502" s="90"/>
      <c r="M502" s="82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5"/>
    </row>
    <row r="503" s="63" customFormat="1" ht="14.4" customHeight="1" spans="1:31">
      <c r="A503" s="68">
        <v>502</v>
      </c>
      <c r="B503" s="69" t="s">
        <v>94</v>
      </c>
      <c r="C503" s="70" t="s">
        <v>277</v>
      </c>
      <c r="D503" s="70" t="s">
        <v>105</v>
      </c>
      <c r="E503" s="88" t="s">
        <v>121</v>
      </c>
      <c r="F503" s="91">
        <v>45856.5926157407</v>
      </c>
      <c r="G503" s="91">
        <v>45859.771087963</v>
      </c>
      <c r="H503" s="79" t="s">
        <v>97</v>
      </c>
      <c r="I503" s="80">
        <v>16000</v>
      </c>
      <c r="J503" s="83" t="s">
        <v>116</v>
      </c>
      <c r="K503" s="89"/>
      <c r="L503" s="90"/>
      <c r="M503" s="82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5"/>
    </row>
    <row r="504" s="63" customFormat="1" ht="14.4" customHeight="1" spans="1:31">
      <c r="A504" s="68">
        <v>503</v>
      </c>
      <c r="B504" s="69" t="s">
        <v>94</v>
      </c>
      <c r="C504" s="70" t="s">
        <v>277</v>
      </c>
      <c r="D504" s="70" t="s">
        <v>106</v>
      </c>
      <c r="E504" s="88" t="s">
        <v>121</v>
      </c>
      <c r="F504" s="91">
        <v>45429.5680324074</v>
      </c>
      <c r="G504" s="91">
        <v>45430.6921180556</v>
      </c>
      <c r="H504" s="79" t="s">
        <v>97</v>
      </c>
      <c r="I504" s="80">
        <v>16000</v>
      </c>
      <c r="J504" s="83" t="s">
        <v>116</v>
      </c>
      <c r="K504" s="89"/>
      <c r="L504" s="90"/>
      <c r="M504" s="82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5"/>
    </row>
    <row r="505" s="63" customFormat="1" ht="14.4" customHeight="1" spans="1:31">
      <c r="A505" s="68">
        <v>504</v>
      </c>
      <c r="B505" s="69" t="s">
        <v>94</v>
      </c>
      <c r="C505" s="70" t="s">
        <v>277</v>
      </c>
      <c r="D505" s="70" t="s">
        <v>107</v>
      </c>
      <c r="E505" s="88" t="s">
        <v>121</v>
      </c>
      <c r="F505" s="91">
        <v>45429.5737384259</v>
      </c>
      <c r="G505" s="91">
        <v>45430.6911574074</v>
      </c>
      <c r="H505" s="79" t="s">
        <v>97</v>
      </c>
      <c r="I505" s="80">
        <v>16000</v>
      </c>
      <c r="J505" s="83" t="s">
        <v>116</v>
      </c>
      <c r="K505" s="89"/>
      <c r="L505" s="90"/>
      <c r="M505" s="82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5"/>
    </row>
    <row r="506" s="63" customFormat="1" ht="14.4" customHeight="1" spans="1:31">
      <c r="A506" s="68">
        <v>505</v>
      </c>
      <c r="B506" s="69" t="s">
        <v>94</v>
      </c>
      <c r="C506" s="70" t="s">
        <v>277</v>
      </c>
      <c r="D506" s="70" t="s">
        <v>108</v>
      </c>
      <c r="E506" s="88" t="s">
        <v>121</v>
      </c>
      <c r="F506" s="91">
        <v>45429.5731828704</v>
      </c>
      <c r="G506" s="91">
        <v>45430.6912152778</v>
      </c>
      <c r="H506" s="79" t="s">
        <v>97</v>
      </c>
      <c r="I506" s="80">
        <v>16000</v>
      </c>
      <c r="J506" s="83" t="s">
        <v>116</v>
      </c>
      <c r="K506" s="89"/>
      <c r="L506" s="90"/>
      <c r="M506" s="82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5"/>
    </row>
    <row r="507" s="63" customFormat="1" ht="14.4" customHeight="1" spans="1:31">
      <c r="A507" s="68">
        <v>506</v>
      </c>
      <c r="B507" s="69" t="s">
        <v>94</v>
      </c>
      <c r="C507" s="70" t="s">
        <v>277</v>
      </c>
      <c r="D507" s="70" t="s">
        <v>109</v>
      </c>
      <c r="E507" s="88" t="s">
        <v>121</v>
      </c>
      <c r="F507" s="91">
        <v>45429.5705671296</v>
      </c>
      <c r="G507" s="91">
        <v>45430.6921990741</v>
      </c>
      <c r="H507" s="79" t="s">
        <v>97</v>
      </c>
      <c r="I507" s="80">
        <v>16000</v>
      </c>
      <c r="J507" s="83" t="s">
        <v>116</v>
      </c>
      <c r="K507" s="89"/>
      <c r="L507" s="90"/>
      <c r="M507" s="82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5"/>
    </row>
    <row r="508" s="63" customFormat="1" ht="14.4" customHeight="1" spans="1:31">
      <c r="A508" s="68">
        <v>507</v>
      </c>
      <c r="B508" s="69" t="s">
        <v>94</v>
      </c>
      <c r="C508" s="97" t="s">
        <v>277</v>
      </c>
      <c r="D508" s="97" t="s">
        <v>114</v>
      </c>
      <c r="E508" s="84" t="s">
        <v>115</v>
      </c>
      <c r="F508" s="91">
        <v>46063.8821990741</v>
      </c>
      <c r="G508" s="91">
        <v>46062.882337963</v>
      </c>
      <c r="H508" s="79" t="s">
        <v>97</v>
      </c>
      <c r="I508" s="80">
        <v>16000</v>
      </c>
      <c r="J508" s="83" t="s">
        <v>116</v>
      </c>
      <c r="K508" s="88" t="s">
        <v>121</v>
      </c>
      <c r="L508" s="91">
        <v>46050.6831597222</v>
      </c>
      <c r="M508" s="91">
        <v>46052.4772106481</v>
      </c>
      <c r="N508" s="84" t="s">
        <v>120</v>
      </c>
      <c r="O508" s="91">
        <v>46054.9166898148</v>
      </c>
      <c r="P508" s="91">
        <v>46053.9168287037</v>
      </c>
      <c r="Q508" s="95" t="s">
        <v>115</v>
      </c>
      <c r="R508" s="96">
        <v>46058.718912037</v>
      </c>
      <c r="S508" s="96">
        <v>46057.7190509259</v>
      </c>
      <c r="T508" s="84" t="s">
        <v>120</v>
      </c>
      <c r="U508" s="91">
        <v>46059.916724537</v>
      </c>
      <c r="V508" s="91">
        <v>46058.9375925926</v>
      </c>
      <c r="W508" s="84"/>
      <c r="X508" s="84"/>
      <c r="Y508" s="84"/>
      <c r="Z508" s="84"/>
      <c r="AA508" s="84"/>
      <c r="AB508" s="84"/>
      <c r="AC508" s="84"/>
      <c r="AD508" s="84"/>
      <c r="AE508" s="85"/>
    </row>
    <row r="509" s="63" customFormat="1" ht="14.4" customHeight="1" spans="1:31">
      <c r="A509" s="68">
        <v>508</v>
      </c>
      <c r="B509" s="69" t="s">
        <v>94</v>
      </c>
      <c r="C509" s="92" t="s">
        <v>277</v>
      </c>
      <c r="D509" s="92" t="s">
        <v>118</v>
      </c>
      <c r="E509" s="101" t="s">
        <v>115</v>
      </c>
      <c r="F509" s="94">
        <v>46198.8822569444</v>
      </c>
      <c r="G509" s="94">
        <v>46197.8824768519</v>
      </c>
      <c r="H509" s="79" t="s">
        <v>97</v>
      </c>
      <c r="I509" s="80">
        <v>16000</v>
      </c>
      <c r="J509" s="83" t="s">
        <v>116</v>
      </c>
      <c r="K509" s="88" t="s">
        <v>121</v>
      </c>
      <c r="L509" s="91">
        <v>46184.7606481481</v>
      </c>
      <c r="M509" s="91">
        <v>46191.7708333333</v>
      </c>
      <c r="N509" s="95" t="s">
        <v>120</v>
      </c>
      <c r="O509" s="96">
        <v>46193.9167824074</v>
      </c>
      <c r="P509" s="96">
        <v>46192.9170023148</v>
      </c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5"/>
    </row>
    <row r="510" s="63" customFormat="1" ht="14.4" customHeight="1" spans="1:31">
      <c r="A510" s="68">
        <v>509</v>
      </c>
      <c r="B510" s="69" t="s">
        <v>94</v>
      </c>
      <c r="C510" s="70" t="s">
        <v>277</v>
      </c>
      <c r="D510" s="70" t="s">
        <v>119</v>
      </c>
      <c r="E510" s="88"/>
      <c r="F510" s="84"/>
      <c r="G510" s="84"/>
      <c r="H510" s="79" t="s">
        <v>97</v>
      </c>
      <c r="I510" s="80">
        <v>16000</v>
      </c>
      <c r="J510" s="84"/>
      <c r="K510" s="89"/>
      <c r="L510" s="90"/>
      <c r="M510" s="82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5"/>
    </row>
    <row r="511" s="63" customFormat="1" ht="14.4" customHeight="1" spans="1:31">
      <c r="A511" s="68">
        <v>510</v>
      </c>
      <c r="B511" s="69" t="s">
        <v>94</v>
      </c>
      <c r="C511" s="70" t="s">
        <v>277</v>
      </c>
      <c r="D511" s="70" t="s">
        <v>122</v>
      </c>
      <c r="E511" s="88"/>
      <c r="F511" s="84"/>
      <c r="G511" s="84"/>
      <c r="H511" s="79" t="s">
        <v>97</v>
      </c>
      <c r="I511" s="80">
        <v>16000</v>
      </c>
      <c r="J511" s="84"/>
      <c r="K511" s="89"/>
      <c r="L511" s="90"/>
      <c r="M511" s="82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5"/>
    </row>
    <row r="512" s="63" customFormat="1" ht="14.4" customHeight="1" spans="1:31">
      <c r="A512" s="68">
        <v>511</v>
      </c>
      <c r="B512" s="69" t="s">
        <v>94</v>
      </c>
      <c r="C512" s="70" t="s">
        <v>277</v>
      </c>
      <c r="D512" s="70" t="s">
        <v>123</v>
      </c>
      <c r="E512" s="88"/>
      <c r="F512" s="84"/>
      <c r="G512" s="84"/>
      <c r="H512" s="79" t="s">
        <v>97</v>
      </c>
      <c r="I512" s="80">
        <v>16000</v>
      </c>
      <c r="J512" s="84"/>
      <c r="K512" s="89"/>
      <c r="L512" s="90"/>
      <c r="M512" s="82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5"/>
    </row>
    <row r="513" s="63" customFormat="1" ht="14.4" customHeight="1" spans="1:31">
      <c r="A513" s="68">
        <v>512</v>
      </c>
      <c r="B513" s="69" t="s">
        <v>94</v>
      </c>
      <c r="C513" s="70" t="s">
        <v>277</v>
      </c>
      <c r="D513" s="70" t="s">
        <v>124</v>
      </c>
      <c r="E513" s="88"/>
      <c r="F513" s="84"/>
      <c r="G513" s="84"/>
      <c r="H513" s="79" t="s">
        <v>97</v>
      </c>
      <c r="I513" s="80">
        <v>16000</v>
      </c>
      <c r="J513" s="84"/>
      <c r="K513" s="89"/>
      <c r="L513" s="90"/>
      <c r="M513" s="82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  <c r="AA513" s="84"/>
      <c r="AB513" s="84"/>
      <c r="AC513" s="84"/>
      <c r="AD513" s="84"/>
      <c r="AE513" s="85"/>
    </row>
    <row r="514" s="63" customFormat="1" ht="14.4" customHeight="1" spans="1:31">
      <c r="A514" s="68">
        <v>513</v>
      </c>
      <c r="B514" s="69" t="s">
        <v>94</v>
      </c>
      <c r="C514" s="70" t="s">
        <v>277</v>
      </c>
      <c r="D514" s="70" t="s">
        <v>125</v>
      </c>
      <c r="E514" s="88"/>
      <c r="F514" s="84"/>
      <c r="G514" s="84"/>
      <c r="H514" s="79" t="s">
        <v>97</v>
      </c>
      <c r="I514" s="80">
        <v>16000</v>
      </c>
      <c r="J514" s="84"/>
      <c r="K514" s="89"/>
      <c r="L514" s="90"/>
      <c r="M514" s="82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5"/>
    </row>
    <row r="515" s="63" customFormat="1" ht="14.4" customHeight="1" spans="1:31">
      <c r="A515" s="68">
        <v>514</v>
      </c>
      <c r="B515" s="69" t="s">
        <v>94</v>
      </c>
      <c r="C515" s="70" t="s">
        <v>277</v>
      </c>
      <c r="D515" s="70" t="s">
        <v>126</v>
      </c>
      <c r="E515" s="88" t="s">
        <v>121</v>
      </c>
      <c r="F515" s="91">
        <v>45856.5926157407</v>
      </c>
      <c r="G515" s="91">
        <v>45859.771087963</v>
      </c>
      <c r="H515" s="79" t="s">
        <v>97</v>
      </c>
      <c r="I515" s="80">
        <v>16000</v>
      </c>
      <c r="J515" s="83" t="s">
        <v>116</v>
      </c>
      <c r="K515" s="89"/>
      <c r="L515" s="90"/>
      <c r="M515" s="82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5"/>
    </row>
    <row r="516" s="63" customFormat="1" ht="14.4" customHeight="1" spans="1:31">
      <c r="A516" s="68">
        <v>515</v>
      </c>
      <c r="B516" s="69" t="s">
        <v>94</v>
      </c>
      <c r="C516" s="70" t="s">
        <v>277</v>
      </c>
      <c r="D516" s="70" t="s">
        <v>127</v>
      </c>
      <c r="E516" s="88"/>
      <c r="F516" s="84"/>
      <c r="G516" s="84"/>
      <c r="H516" s="79" t="s">
        <v>97</v>
      </c>
      <c r="I516" s="80">
        <v>16000</v>
      </c>
      <c r="J516" s="84"/>
      <c r="K516" s="89"/>
      <c r="L516" s="90"/>
      <c r="M516" s="82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5"/>
    </row>
    <row r="517" s="63" customFormat="1" ht="14.4" customHeight="1" spans="1:31">
      <c r="A517" s="68">
        <v>516</v>
      </c>
      <c r="B517" s="69" t="s">
        <v>94</v>
      </c>
      <c r="C517" s="70" t="s">
        <v>277</v>
      </c>
      <c r="D517" s="70" t="s">
        <v>128</v>
      </c>
      <c r="E517" s="88" t="s">
        <v>121</v>
      </c>
      <c r="F517" s="91">
        <v>45429.4578703704</v>
      </c>
      <c r="G517" s="91">
        <v>45430.6912847222</v>
      </c>
      <c r="H517" s="79" t="s">
        <v>97</v>
      </c>
      <c r="I517" s="80">
        <v>16000</v>
      </c>
      <c r="J517" s="83" t="s">
        <v>116</v>
      </c>
      <c r="K517" s="89"/>
      <c r="L517" s="90"/>
      <c r="M517" s="82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5"/>
    </row>
    <row r="518" s="63" customFormat="1" ht="14.4" customHeight="1" spans="1:31">
      <c r="A518" s="68">
        <v>517</v>
      </c>
      <c r="B518" s="69" t="s">
        <v>94</v>
      </c>
      <c r="C518" s="70" t="s">
        <v>277</v>
      </c>
      <c r="D518" s="70" t="s">
        <v>129</v>
      </c>
      <c r="E518" s="88" t="s">
        <v>121</v>
      </c>
      <c r="F518" s="91">
        <v>45429.570775463</v>
      </c>
      <c r="G518" s="91">
        <v>45430.6922569444</v>
      </c>
      <c r="H518" s="79" t="s">
        <v>97</v>
      </c>
      <c r="I518" s="80">
        <v>16000</v>
      </c>
      <c r="J518" s="83" t="s">
        <v>116</v>
      </c>
      <c r="K518" s="89"/>
      <c r="L518" s="90"/>
      <c r="M518" s="82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5"/>
    </row>
    <row r="519" s="63" customFormat="1" ht="14.4" customHeight="1" spans="1:31">
      <c r="A519" s="68">
        <v>518</v>
      </c>
      <c r="B519" s="69" t="s">
        <v>94</v>
      </c>
      <c r="C519" s="70" t="s">
        <v>277</v>
      </c>
      <c r="D519" s="70" t="s">
        <v>130</v>
      </c>
      <c r="E519" s="88" t="s">
        <v>121</v>
      </c>
      <c r="F519" s="91">
        <v>45429.5709606481</v>
      </c>
      <c r="G519" s="91">
        <v>45430.6913425926</v>
      </c>
      <c r="H519" s="79" t="s">
        <v>97</v>
      </c>
      <c r="I519" s="80">
        <v>16000</v>
      </c>
      <c r="J519" s="83" t="s">
        <v>116</v>
      </c>
      <c r="K519" s="89"/>
      <c r="L519" s="90"/>
      <c r="M519" s="82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5"/>
    </row>
    <row r="520" s="63" customFormat="1" ht="14.4" customHeight="1" spans="1:31">
      <c r="A520" s="68">
        <v>519</v>
      </c>
      <c r="B520" s="69" t="s">
        <v>94</v>
      </c>
      <c r="C520" s="70" t="s">
        <v>277</v>
      </c>
      <c r="D520" s="70" t="s">
        <v>131</v>
      </c>
      <c r="E520" s="88" t="s">
        <v>121</v>
      </c>
      <c r="F520" s="91">
        <v>45429.5722106481</v>
      </c>
      <c r="G520" s="91">
        <v>45430.6923263889</v>
      </c>
      <c r="H520" s="79" t="s">
        <v>97</v>
      </c>
      <c r="I520" s="80">
        <v>16000</v>
      </c>
      <c r="J520" s="83" t="s">
        <v>116</v>
      </c>
      <c r="K520" s="89"/>
      <c r="L520" s="90"/>
      <c r="M520" s="82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5"/>
    </row>
    <row r="521" s="63" customFormat="1" ht="14.4" customHeight="1" spans="1:31">
      <c r="A521" s="68">
        <v>520</v>
      </c>
      <c r="B521" s="69" t="s">
        <v>94</v>
      </c>
      <c r="C521" s="70" t="s">
        <v>277</v>
      </c>
      <c r="D521" s="70" t="s">
        <v>132</v>
      </c>
      <c r="E521" s="88" t="s">
        <v>121</v>
      </c>
      <c r="F521" s="91">
        <v>45429.5682523148</v>
      </c>
      <c r="G521" s="91">
        <v>45430.691412037</v>
      </c>
      <c r="H521" s="79" t="s">
        <v>97</v>
      </c>
      <c r="I521" s="80">
        <v>16000</v>
      </c>
      <c r="J521" s="83" t="s">
        <v>116</v>
      </c>
      <c r="K521" s="89"/>
      <c r="L521" s="90"/>
      <c r="M521" s="82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5"/>
    </row>
    <row r="522" s="63" customFormat="1" ht="14.4" customHeight="1" spans="1:31">
      <c r="A522" s="68">
        <v>521</v>
      </c>
      <c r="B522" s="69" t="s">
        <v>94</v>
      </c>
      <c r="C522" s="92" t="s">
        <v>277</v>
      </c>
      <c r="D522" s="92" t="s">
        <v>137</v>
      </c>
      <c r="E522" s="101" t="s">
        <v>115</v>
      </c>
      <c r="F522" s="94">
        <v>46199.8822916667</v>
      </c>
      <c r="G522" s="94">
        <v>46198.8825</v>
      </c>
      <c r="H522" s="79" t="s">
        <v>97</v>
      </c>
      <c r="I522" s="80">
        <v>16000</v>
      </c>
      <c r="J522" s="83" t="s">
        <v>116</v>
      </c>
      <c r="K522" s="88" t="s">
        <v>121</v>
      </c>
      <c r="L522" s="91">
        <v>46184.7606481481</v>
      </c>
      <c r="M522" s="91">
        <v>46191.7708333333</v>
      </c>
      <c r="N522" s="95" t="s">
        <v>120</v>
      </c>
      <c r="O522" s="96">
        <v>46193.9167824074</v>
      </c>
      <c r="P522" s="96">
        <v>46192.9170023148</v>
      </c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5"/>
    </row>
    <row r="523" s="63" customFormat="1" ht="14.4" customHeight="1" spans="1:31">
      <c r="A523" s="68">
        <v>522</v>
      </c>
      <c r="B523" s="69" t="s">
        <v>94</v>
      </c>
      <c r="C523" s="70" t="s">
        <v>277</v>
      </c>
      <c r="D523" s="84" t="s">
        <v>139</v>
      </c>
      <c r="E523" s="88"/>
      <c r="F523" s="84"/>
      <c r="G523" s="84"/>
      <c r="H523" s="79" t="s">
        <v>97</v>
      </c>
      <c r="I523" s="80">
        <v>16000</v>
      </c>
      <c r="J523" s="84"/>
      <c r="K523" s="89"/>
      <c r="L523" s="90"/>
      <c r="M523" s="82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5"/>
    </row>
    <row r="524" s="63" customFormat="1" ht="14.4" customHeight="1" spans="1:31">
      <c r="A524" s="68">
        <v>523</v>
      </c>
      <c r="B524" s="69" t="s">
        <v>94</v>
      </c>
      <c r="C524" s="70" t="s">
        <v>277</v>
      </c>
      <c r="D524" s="84" t="s">
        <v>140</v>
      </c>
      <c r="E524" s="88"/>
      <c r="F524" s="84"/>
      <c r="G524" s="84"/>
      <c r="H524" s="79" t="s">
        <v>97</v>
      </c>
      <c r="I524" s="80">
        <v>16000</v>
      </c>
      <c r="J524" s="84"/>
      <c r="K524" s="89"/>
      <c r="L524" s="90"/>
      <c r="M524" s="82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5"/>
    </row>
    <row r="525" s="63" customFormat="1" ht="14.4" customHeight="1" spans="1:31">
      <c r="A525" s="68">
        <v>524</v>
      </c>
      <c r="B525" s="69" t="s">
        <v>94</v>
      </c>
      <c r="C525" s="70" t="s">
        <v>277</v>
      </c>
      <c r="D525" s="84" t="s">
        <v>141</v>
      </c>
      <c r="E525" s="88"/>
      <c r="F525" s="84"/>
      <c r="G525" s="84"/>
      <c r="H525" s="79" t="s">
        <v>97</v>
      </c>
      <c r="I525" s="80">
        <v>16000</v>
      </c>
      <c r="J525" s="84"/>
      <c r="K525" s="89"/>
      <c r="L525" s="90"/>
      <c r="M525" s="82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5"/>
    </row>
    <row r="526" s="63" customFormat="1" ht="14.4" customHeight="1" spans="1:31">
      <c r="A526" s="68">
        <v>525</v>
      </c>
      <c r="B526" s="69" t="s">
        <v>94</v>
      </c>
      <c r="C526" s="70" t="s">
        <v>277</v>
      </c>
      <c r="D526" s="84" t="s">
        <v>142</v>
      </c>
      <c r="E526" s="88"/>
      <c r="F526" s="84"/>
      <c r="G526" s="84"/>
      <c r="H526" s="79" t="s">
        <v>97</v>
      </c>
      <c r="I526" s="80">
        <v>16000</v>
      </c>
      <c r="J526" s="84"/>
      <c r="K526" s="89"/>
      <c r="L526" s="90"/>
      <c r="M526" s="82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5"/>
    </row>
    <row r="527" s="63" customFormat="1" ht="14.4" customHeight="1" spans="1:31">
      <c r="A527" s="68">
        <v>526</v>
      </c>
      <c r="B527" s="69" t="s">
        <v>94</v>
      </c>
      <c r="C527" s="70" t="s">
        <v>277</v>
      </c>
      <c r="D527" s="84" t="s">
        <v>143</v>
      </c>
      <c r="E527" s="88"/>
      <c r="F527" s="84"/>
      <c r="G527" s="84"/>
      <c r="H527" s="79" t="s">
        <v>97</v>
      </c>
      <c r="I527" s="80">
        <v>16000</v>
      </c>
      <c r="J527" s="84"/>
      <c r="K527" s="89"/>
      <c r="L527" s="90"/>
      <c r="M527" s="82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5"/>
    </row>
    <row r="528" s="63" customFormat="1" ht="14.4" customHeight="1" spans="1:31">
      <c r="A528" s="68">
        <v>527</v>
      </c>
      <c r="B528" s="69" t="s">
        <v>94</v>
      </c>
      <c r="C528" s="70" t="s">
        <v>277</v>
      </c>
      <c r="D528" s="84" t="s">
        <v>144</v>
      </c>
      <c r="E528" s="88"/>
      <c r="F528" s="84"/>
      <c r="G528" s="84"/>
      <c r="H528" s="79" t="s">
        <v>97</v>
      </c>
      <c r="I528" s="80">
        <v>16000</v>
      </c>
      <c r="J528" s="84"/>
      <c r="K528" s="89"/>
      <c r="L528" s="90"/>
      <c r="M528" s="82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5"/>
    </row>
    <row r="529" s="63" customFormat="1" ht="14.4" customHeight="1" spans="1:31">
      <c r="A529" s="68">
        <v>528</v>
      </c>
      <c r="B529" s="69" t="s">
        <v>94</v>
      </c>
      <c r="C529" s="70" t="s">
        <v>277</v>
      </c>
      <c r="D529" s="84" t="s">
        <v>145</v>
      </c>
      <c r="E529" s="88" t="s">
        <v>121</v>
      </c>
      <c r="F529" s="91">
        <v>45856.5926157407</v>
      </c>
      <c r="G529" s="91">
        <v>45859.771087963</v>
      </c>
      <c r="H529" s="79" t="s">
        <v>97</v>
      </c>
      <c r="I529" s="80">
        <v>16000</v>
      </c>
      <c r="J529" s="83" t="s">
        <v>116</v>
      </c>
      <c r="K529" s="89"/>
      <c r="L529" s="90"/>
      <c r="M529" s="82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5"/>
    </row>
    <row r="530" s="63" customFormat="1" ht="14.4" customHeight="1" spans="1:31">
      <c r="A530" s="68">
        <v>529</v>
      </c>
      <c r="B530" s="69" t="s">
        <v>94</v>
      </c>
      <c r="C530" s="70" t="s">
        <v>277</v>
      </c>
      <c r="D530" s="84" t="s">
        <v>146</v>
      </c>
      <c r="E530" s="88"/>
      <c r="F530" s="84"/>
      <c r="G530" s="84"/>
      <c r="H530" s="79" t="s">
        <v>97</v>
      </c>
      <c r="I530" s="80">
        <v>16000</v>
      </c>
      <c r="J530" s="84"/>
      <c r="K530" s="89"/>
      <c r="L530" s="90"/>
      <c r="M530" s="82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5"/>
    </row>
    <row r="531" s="63" customFormat="1" ht="14.4" customHeight="1" spans="1:31">
      <c r="A531" s="68">
        <v>530</v>
      </c>
      <c r="B531" s="69" t="s">
        <v>94</v>
      </c>
      <c r="C531" s="70" t="s">
        <v>277</v>
      </c>
      <c r="D531" s="84" t="s">
        <v>147</v>
      </c>
      <c r="E531" s="88"/>
      <c r="F531" s="84"/>
      <c r="G531" s="84"/>
      <c r="H531" s="79" t="s">
        <v>97</v>
      </c>
      <c r="I531" s="80">
        <v>16000</v>
      </c>
      <c r="J531" s="84"/>
      <c r="K531" s="89"/>
      <c r="L531" s="90"/>
      <c r="M531" s="82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5"/>
    </row>
    <row r="532" s="63" customFormat="1" ht="14.4" customHeight="1" spans="1:31">
      <c r="A532" s="68">
        <v>531</v>
      </c>
      <c r="B532" s="69" t="s">
        <v>94</v>
      </c>
      <c r="C532" s="70" t="s">
        <v>277</v>
      </c>
      <c r="D532" s="84" t="s">
        <v>148</v>
      </c>
      <c r="E532" s="88" t="s">
        <v>121</v>
      </c>
      <c r="F532" s="91">
        <v>45793.6849768519</v>
      </c>
      <c r="G532" s="91">
        <v>45794.7502546296</v>
      </c>
      <c r="H532" s="79" t="s">
        <v>97</v>
      </c>
      <c r="I532" s="80">
        <v>16000</v>
      </c>
      <c r="J532" s="83" t="s">
        <v>116</v>
      </c>
      <c r="K532" s="89"/>
      <c r="L532" s="90"/>
      <c r="M532" s="82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5"/>
    </row>
    <row r="533" s="63" customFormat="1" ht="14.4" customHeight="1" spans="1:31">
      <c r="A533" s="68">
        <v>532</v>
      </c>
      <c r="B533" s="69" t="s">
        <v>94</v>
      </c>
      <c r="C533" s="70" t="s">
        <v>277</v>
      </c>
      <c r="D533" s="84" t="s">
        <v>149</v>
      </c>
      <c r="E533" s="88" t="s">
        <v>121</v>
      </c>
      <c r="F533" s="91">
        <v>45793.6849768519</v>
      </c>
      <c r="G533" s="91">
        <v>45794.7502546296</v>
      </c>
      <c r="H533" s="79" t="s">
        <v>97</v>
      </c>
      <c r="I533" s="80">
        <v>16000</v>
      </c>
      <c r="J533" s="83" t="s">
        <v>116</v>
      </c>
      <c r="K533" s="89"/>
      <c r="L533" s="90"/>
      <c r="M533" s="82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5"/>
    </row>
    <row r="534" s="63" customFormat="1" ht="14.4" customHeight="1" spans="1:31">
      <c r="A534" s="68">
        <v>533</v>
      </c>
      <c r="B534" s="69" t="s">
        <v>94</v>
      </c>
      <c r="C534" s="102" t="s">
        <v>277</v>
      </c>
      <c r="D534" s="102" t="s">
        <v>154</v>
      </c>
      <c r="E534" s="84" t="s">
        <v>115</v>
      </c>
      <c r="F534" s="91">
        <v>46067.8821759259</v>
      </c>
      <c r="G534" s="91">
        <v>46066.8823263889</v>
      </c>
      <c r="H534" s="79" t="s">
        <v>97</v>
      </c>
      <c r="I534" s="80">
        <v>16000</v>
      </c>
      <c r="J534" s="83" t="s">
        <v>116</v>
      </c>
      <c r="K534" s="103" t="s">
        <v>121</v>
      </c>
      <c r="L534" s="104">
        <v>46058.718912037</v>
      </c>
      <c r="M534" s="104">
        <v>46059.7291319444</v>
      </c>
      <c r="N534" s="84" t="s">
        <v>120</v>
      </c>
      <c r="O534" s="91">
        <v>46061.9167708333</v>
      </c>
      <c r="P534" s="91">
        <v>46060.9169097222</v>
      </c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5"/>
    </row>
    <row r="535" s="63" customFormat="1" ht="14.4" customHeight="1" spans="1:31">
      <c r="A535" s="68">
        <v>534</v>
      </c>
      <c r="B535" s="69" t="s">
        <v>94</v>
      </c>
      <c r="C535" s="92" t="s">
        <v>277</v>
      </c>
      <c r="D535" s="92" t="s">
        <v>155</v>
      </c>
      <c r="E535" s="101" t="s">
        <v>115</v>
      </c>
      <c r="F535" s="94">
        <v>46198.8822569444</v>
      </c>
      <c r="G535" s="94">
        <v>46197.8824768519</v>
      </c>
      <c r="H535" s="79" t="s">
        <v>97</v>
      </c>
      <c r="I535" s="80">
        <v>16000</v>
      </c>
      <c r="J535" s="83" t="s">
        <v>116</v>
      </c>
      <c r="K535" s="88" t="s">
        <v>121</v>
      </c>
      <c r="L535" s="91">
        <v>46184.7606481481</v>
      </c>
      <c r="M535" s="91">
        <v>46191.7708333333</v>
      </c>
      <c r="N535" s="95" t="s">
        <v>120</v>
      </c>
      <c r="O535" s="96">
        <v>46193.9167824074</v>
      </c>
      <c r="P535" s="96">
        <v>46192.9170023148</v>
      </c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5"/>
    </row>
    <row r="536" s="63" customFormat="1" ht="14.4" customHeight="1" spans="1:31">
      <c r="A536" s="68">
        <v>535</v>
      </c>
      <c r="B536" s="69" t="s">
        <v>94</v>
      </c>
      <c r="C536" s="70" t="s">
        <v>277</v>
      </c>
      <c r="D536" s="84" t="s">
        <v>156</v>
      </c>
      <c r="E536" s="88"/>
      <c r="F536" s="84"/>
      <c r="G536" s="84"/>
      <c r="H536" s="79" t="s">
        <v>97</v>
      </c>
      <c r="I536" s="80">
        <v>16000</v>
      </c>
      <c r="J536" s="84"/>
      <c r="K536" s="89"/>
      <c r="L536" s="90"/>
      <c r="M536" s="82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5"/>
    </row>
    <row r="537" s="63" customFormat="1" ht="14.4" customHeight="1" spans="1:31">
      <c r="A537" s="68">
        <v>536</v>
      </c>
      <c r="B537" s="69" t="s">
        <v>94</v>
      </c>
      <c r="C537" s="70" t="s">
        <v>277</v>
      </c>
      <c r="D537" s="84" t="s">
        <v>157</v>
      </c>
      <c r="E537" s="88"/>
      <c r="F537" s="84"/>
      <c r="G537" s="84"/>
      <c r="H537" s="79" t="s">
        <v>97</v>
      </c>
      <c r="I537" s="80">
        <v>16000</v>
      </c>
      <c r="J537" s="84"/>
      <c r="K537" s="89"/>
      <c r="L537" s="90"/>
      <c r="M537" s="82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5"/>
    </row>
    <row r="538" s="63" customFormat="1" ht="14.4" customHeight="1" spans="1:31">
      <c r="A538" s="68">
        <v>537</v>
      </c>
      <c r="B538" s="69" t="s">
        <v>94</v>
      </c>
      <c r="C538" s="70" t="s">
        <v>277</v>
      </c>
      <c r="D538" s="84" t="s">
        <v>158</v>
      </c>
      <c r="E538" s="88"/>
      <c r="F538" s="84"/>
      <c r="G538" s="84"/>
      <c r="H538" s="79" t="s">
        <v>97</v>
      </c>
      <c r="I538" s="80">
        <v>16000</v>
      </c>
      <c r="J538" s="84"/>
      <c r="K538" s="89"/>
      <c r="L538" s="90"/>
      <c r="M538" s="82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5"/>
    </row>
    <row r="539" s="63" customFormat="1" ht="14.4" customHeight="1" spans="1:31">
      <c r="A539" s="68">
        <v>538</v>
      </c>
      <c r="B539" s="69" t="s">
        <v>94</v>
      </c>
      <c r="C539" s="70" t="s">
        <v>277</v>
      </c>
      <c r="D539" s="84" t="s">
        <v>159</v>
      </c>
      <c r="E539" s="88"/>
      <c r="F539" s="84"/>
      <c r="G539" s="84"/>
      <c r="H539" s="79" t="s">
        <v>97</v>
      </c>
      <c r="I539" s="80">
        <v>16000</v>
      </c>
      <c r="J539" s="84"/>
      <c r="K539" s="89"/>
      <c r="L539" s="90"/>
      <c r="M539" s="82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5"/>
    </row>
    <row r="540" s="63" customFormat="1" ht="14.4" customHeight="1" spans="1:31">
      <c r="A540" s="68">
        <v>539</v>
      </c>
      <c r="B540" s="69" t="s">
        <v>94</v>
      </c>
      <c r="C540" s="70" t="s">
        <v>277</v>
      </c>
      <c r="D540" s="84" t="s">
        <v>160</v>
      </c>
      <c r="E540" s="88"/>
      <c r="F540" s="84"/>
      <c r="G540" s="84"/>
      <c r="H540" s="79" t="s">
        <v>97</v>
      </c>
      <c r="I540" s="80">
        <v>16000</v>
      </c>
      <c r="J540" s="84"/>
      <c r="K540" s="89"/>
      <c r="L540" s="90"/>
      <c r="M540" s="82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5"/>
    </row>
    <row r="541" s="63" customFormat="1" ht="14.4" customHeight="1" spans="1:31">
      <c r="A541" s="68">
        <v>540</v>
      </c>
      <c r="B541" s="69" t="s">
        <v>94</v>
      </c>
      <c r="C541" s="70" t="s">
        <v>277</v>
      </c>
      <c r="D541" s="84" t="s">
        <v>161</v>
      </c>
      <c r="E541" s="88" t="s">
        <v>121</v>
      </c>
      <c r="F541" s="91">
        <v>45856.5926157407</v>
      </c>
      <c r="G541" s="91">
        <v>45859.771087963</v>
      </c>
      <c r="H541" s="79" t="s">
        <v>97</v>
      </c>
      <c r="I541" s="80">
        <v>16000</v>
      </c>
      <c r="J541" s="83" t="s">
        <v>116</v>
      </c>
      <c r="K541" s="89"/>
      <c r="L541" s="90"/>
      <c r="M541" s="82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5"/>
    </row>
    <row r="542" s="63" customFormat="1" ht="14.4" customHeight="1" spans="1:31">
      <c r="A542" s="68">
        <v>541</v>
      </c>
      <c r="B542" s="69" t="s">
        <v>94</v>
      </c>
      <c r="C542" s="70" t="s">
        <v>277</v>
      </c>
      <c r="D542" s="84" t="s">
        <v>162</v>
      </c>
      <c r="E542" s="88"/>
      <c r="F542" s="84"/>
      <c r="G542" s="84"/>
      <c r="H542" s="79" t="s">
        <v>97</v>
      </c>
      <c r="I542" s="80">
        <v>16000</v>
      </c>
      <c r="J542" s="84"/>
      <c r="K542" s="89"/>
      <c r="L542" s="90"/>
      <c r="M542" s="82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5"/>
    </row>
    <row r="543" s="63" customFormat="1" ht="14.4" customHeight="1" spans="1:31">
      <c r="A543" s="68">
        <v>542</v>
      </c>
      <c r="B543" s="69" t="s">
        <v>94</v>
      </c>
      <c r="C543" s="70" t="s">
        <v>277</v>
      </c>
      <c r="D543" s="84" t="s">
        <v>163</v>
      </c>
      <c r="E543" s="84" t="s">
        <v>115</v>
      </c>
      <c r="F543" s="91">
        <v>45857.8821875</v>
      </c>
      <c r="G543" s="91">
        <v>45856.8822569444</v>
      </c>
      <c r="H543" s="79" t="s">
        <v>97</v>
      </c>
      <c r="I543" s="80">
        <v>16000</v>
      </c>
      <c r="J543" s="83" t="s">
        <v>116</v>
      </c>
      <c r="K543" s="88" t="s">
        <v>121</v>
      </c>
      <c r="L543" s="91">
        <v>45833.6849768519</v>
      </c>
      <c r="M543" s="91">
        <v>45833.771087963</v>
      </c>
      <c r="N543" s="84" t="s">
        <v>120</v>
      </c>
      <c r="O543" s="91">
        <v>45835.9167939815</v>
      </c>
      <c r="P543" s="91">
        <v>45834.916875</v>
      </c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5"/>
    </row>
    <row r="544" s="63" customFormat="1" ht="14.4" customHeight="1" spans="1:31">
      <c r="A544" s="68">
        <v>543</v>
      </c>
      <c r="B544" s="69" t="s">
        <v>94</v>
      </c>
      <c r="C544" s="70" t="s">
        <v>277</v>
      </c>
      <c r="D544" s="84" t="s">
        <v>164</v>
      </c>
      <c r="E544" s="88"/>
      <c r="F544" s="84"/>
      <c r="G544" s="84"/>
      <c r="H544" s="79" t="s">
        <v>97</v>
      </c>
      <c r="I544" s="80">
        <v>16000</v>
      </c>
      <c r="J544" s="84"/>
      <c r="K544" s="89"/>
      <c r="L544" s="90"/>
      <c r="M544" s="82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5"/>
    </row>
    <row r="545" s="63" customFormat="1" ht="14.4" customHeight="1" spans="1:31">
      <c r="A545" s="68">
        <v>544</v>
      </c>
      <c r="B545" s="69" t="s">
        <v>94</v>
      </c>
      <c r="C545" s="70" t="s">
        <v>277</v>
      </c>
      <c r="D545" s="84" t="s">
        <v>165</v>
      </c>
      <c r="E545" s="88"/>
      <c r="F545" s="84"/>
      <c r="G545" s="84"/>
      <c r="H545" s="79" t="s">
        <v>97</v>
      </c>
      <c r="I545" s="80">
        <v>16000</v>
      </c>
      <c r="J545" s="84"/>
      <c r="K545" s="89"/>
      <c r="L545" s="90"/>
      <c r="M545" s="82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5"/>
    </row>
    <row r="546" s="63" customFormat="1" ht="14.4" customHeight="1" spans="1:31">
      <c r="A546" s="68">
        <v>545</v>
      </c>
      <c r="B546" s="69" t="s">
        <v>94</v>
      </c>
      <c r="C546" s="70" t="s">
        <v>277</v>
      </c>
      <c r="D546" s="84" t="s">
        <v>166</v>
      </c>
      <c r="E546" s="88" t="s">
        <v>121</v>
      </c>
      <c r="F546" s="91">
        <v>45793.6849768519</v>
      </c>
      <c r="G546" s="91">
        <v>45794.7502546296</v>
      </c>
      <c r="H546" s="79" t="s">
        <v>97</v>
      </c>
      <c r="I546" s="80">
        <v>16000</v>
      </c>
      <c r="J546" s="83" t="s">
        <v>116</v>
      </c>
      <c r="K546" s="89"/>
      <c r="L546" s="90"/>
      <c r="M546" s="82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5"/>
    </row>
    <row r="547" s="63" customFormat="1" ht="14.4" customHeight="1" spans="1:31">
      <c r="A547" s="68">
        <v>546</v>
      </c>
      <c r="B547" s="69" t="s">
        <v>94</v>
      </c>
      <c r="C547" s="70" t="s">
        <v>277</v>
      </c>
      <c r="D547" s="84" t="s">
        <v>167</v>
      </c>
      <c r="E547" s="88" t="s">
        <v>121</v>
      </c>
      <c r="F547" s="91">
        <v>45793.6849768519</v>
      </c>
      <c r="G547" s="91">
        <v>45794.7502546296</v>
      </c>
      <c r="H547" s="79" t="s">
        <v>97</v>
      </c>
      <c r="I547" s="80">
        <v>16000</v>
      </c>
      <c r="J547" s="83" t="s">
        <v>116</v>
      </c>
      <c r="K547" s="89"/>
      <c r="L547" s="90"/>
      <c r="M547" s="82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  <c r="AA547" s="84"/>
      <c r="AB547" s="84"/>
      <c r="AC547" s="84"/>
      <c r="AD547" s="84"/>
      <c r="AE547" s="85"/>
    </row>
    <row r="548" s="63" customFormat="1" ht="14.4" customHeight="1" spans="1:31">
      <c r="A548" s="68">
        <v>547</v>
      </c>
      <c r="B548" s="69" t="s">
        <v>94</v>
      </c>
      <c r="C548" s="97" t="s">
        <v>277</v>
      </c>
      <c r="D548" s="97" t="s">
        <v>172</v>
      </c>
      <c r="E548" s="95" t="s">
        <v>115</v>
      </c>
      <c r="F548" s="96">
        <v>46155.4528009259</v>
      </c>
      <c r="G548" s="96">
        <v>46153.4530208333</v>
      </c>
      <c r="H548" s="79" t="s">
        <v>97</v>
      </c>
      <c r="I548" s="80">
        <v>16000</v>
      </c>
      <c r="J548" s="83" t="s">
        <v>116</v>
      </c>
      <c r="K548" s="93" t="s">
        <v>121</v>
      </c>
      <c r="L548" s="94">
        <v>46093.6755092593</v>
      </c>
      <c r="M548" s="94">
        <v>46094.6408449074</v>
      </c>
      <c r="N548" s="84"/>
      <c r="O548" s="84"/>
      <c r="P548" s="84"/>
      <c r="Q548" s="84"/>
      <c r="R548" s="84"/>
      <c r="S548" s="84"/>
      <c r="T548" s="105" t="s">
        <v>120</v>
      </c>
      <c r="U548" s="106">
        <v>46100.8336226852</v>
      </c>
      <c r="V548" s="106">
        <v>46099.8338541667</v>
      </c>
      <c r="W548" s="84"/>
      <c r="X548" s="84"/>
      <c r="Y548" s="84"/>
      <c r="Z548" s="84"/>
      <c r="AA548" s="84"/>
      <c r="AB548" s="84"/>
      <c r="AC548" s="84"/>
      <c r="AD548" s="84"/>
      <c r="AE548" s="85"/>
    </row>
    <row r="549" s="63" customFormat="1" ht="14.4" customHeight="1" spans="1:31">
      <c r="A549" s="68">
        <v>548</v>
      </c>
      <c r="B549" s="69" t="s">
        <v>94</v>
      </c>
      <c r="C549" s="97" t="s">
        <v>277</v>
      </c>
      <c r="D549" s="97" t="s">
        <v>173</v>
      </c>
      <c r="E549" s="95" t="s">
        <v>115</v>
      </c>
      <c r="F549" s="96">
        <v>46155.4563078704</v>
      </c>
      <c r="G549" s="96">
        <v>46153.4565162037</v>
      </c>
      <c r="H549" s="86" t="s">
        <v>99</v>
      </c>
      <c r="I549" s="87">
        <v>12000</v>
      </c>
      <c r="J549" s="83" t="s">
        <v>116</v>
      </c>
      <c r="K549" s="88" t="s">
        <v>117</v>
      </c>
      <c r="L549" s="91">
        <v>45561.5636689815</v>
      </c>
      <c r="M549" s="91">
        <v>45608.730625</v>
      </c>
      <c r="N549" s="84" t="s">
        <v>138</v>
      </c>
      <c r="O549" s="91">
        <v>45646.6181481481</v>
      </c>
      <c r="P549" s="91">
        <v>45652.6962962963</v>
      </c>
      <c r="Q549" s="107" t="s">
        <v>121</v>
      </c>
      <c r="R549" s="108">
        <v>46093.6754861111</v>
      </c>
      <c r="S549" s="108">
        <v>46094.6427083333</v>
      </c>
      <c r="T549" s="93" t="s">
        <v>120</v>
      </c>
      <c r="U549" s="94">
        <v>46104.8335185185</v>
      </c>
      <c r="V549" s="94">
        <v>46103.8337268519</v>
      </c>
      <c r="W549" s="84"/>
      <c r="X549" s="84"/>
      <c r="Y549" s="84"/>
      <c r="Z549" s="84"/>
      <c r="AA549" s="84"/>
      <c r="AB549" s="84"/>
      <c r="AC549" s="84"/>
      <c r="AD549" s="84"/>
      <c r="AE549" s="85"/>
    </row>
    <row r="550" s="63" customFormat="1" ht="14.4" customHeight="1" spans="1:31">
      <c r="A550" s="68">
        <v>549</v>
      </c>
      <c r="B550" s="69" t="s">
        <v>94</v>
      </c>
      <c r="C550" s="97" t="s">
        <v>277</v>
      </c>
      <c r="D550" s="97" t="s">
        <v>174</v>
      </c>
      <c r="E550" s="95" t="s">
        <v>115</v>
      </c>
      <c r="F550" s="96">
        <v>46155.4562037037</v>
      </c>
      <c r="G550" s="96">
        <v>46153.4564236111</v>
      </c>
      <c r="H550" s="86" t="s">
        <v>99</v>
      </c>
      <c r="I550" s="87">
        <v>12000</v>
      </c>
      <c r="J550" s="83" t="s">
        <v>116</v>
      </c>
      <c r="K550" s="88" t="s">
        <v>117</v>
      </c>
      <c r="L550" s="91">
        <v>45561.5636689815</v>
      </c>
      <c r="M550" s="91">
        <v>45608.730625</v>
      </c>
      <c r="N550" s="84" t="s">
        <v>138</v>
      </c>
      <c r="O550" s="91">
        <v>45646.6181481481</v>
      </c>
      <c r="P550" s="91">
        <v>45652.6962962963</v>
      </c>
      <c r="Q550" s="84"/>
      <c r="R550" s="84"/>
      <c r="S550" s="84"/>
      <c r="T550" s="83" t="s">
        <v>117</v>
      </c>
      <c r="U550" s="91">
        <v>46101.7259490741</v>
      </c>
      <c r="V550" s="91">
        <v>46104.7713078704</v>
      </c>
      <c r="W550" s="84"/>
      <c r="X550" s="84"/>
      <c r="Y550" s="84"/>
      <c r="Z550" s="84"/>
      <c r="AA550" s="84"/>
      <c r="AB550" s="84"/>
      <c r="AC550" s="84"/>
      <c r="AD550" s="84"/>
      <c r="AE550" s="85"/>
    </row>
    <row r="551" s="63" customFormat="1" ht="14.4" customHeight="1" spans="1:31">
      <c r="A551" s="68">
        <v>550</v>
      </c>
      <c r="B551" s="69" t="s">
        <v>94</v>
      </c>
      <c r="C551" s="97" t="s">
        <v>277</v>
      </c>
      <c r="D551" s="97" t="s">
        <v>175</v>
      </c>
      <c r="E551" s="95" t="s">
        <v>115</v>
      </c>
      <c r="F551" s="96">
        <v>46155.4597106481</v>
      </c>
      <c r="G551" s="96">
        <v>46153.4599305556</v>
      </c>
      <c r="H551" s="86" t="s">
        <v>99</v>
      </c>
      <c r="I551" s="87">
        <v>12000</v>
      </c>
      <c r="J551" s="83" t="s">
        <v>116</v>
      </c>
      <c r="K551" s="88" t="s">
        <v>117</v>
      </c>
      <c r="L551" s="91">
        <v>45561.5636689815</v>
      </c>
      <c r="M551" s="91">
        <v>45608.730625</v>
      </c>
      <c r="N551" s="84" t="s">
        <v>138</v>
      </c>
      <c r="O551" s="91">
        <v>45646.6181481481</v>
      </c>
      <c r="P551" s="91">
        <v>45652.6962962963</v>
      </c>
      <c r="Q551" s="93" t="s">
        <v>121</v>
      </c>
      <c r="R551" s="94">
        <v>46093.6755092593</v>
      </c>
      <c r="S551" s="94">
        <v>46094.6455787037</v>
      </c>
      <c r="T551" s="105" t="s">
        <v>120</v>
      </c>
      <c r="U551" s="106">
        <v>46100.8336226852</v>
      </c>
      <c r="V551" s="106">
        <v>46099.8338541667</v>
      </c>
      <c r="W551" s="84"/>
      <c r="X551" s="84"/>
      <c r="Y551" s="84"/>
      <c r="Z551" s="84"/>
      <c r="AA551" s="84"/>
      <c r="AB551" s="84"/>
      <c r="AC551" s="84"/>
      <c r="AD551" s="84"/>
      <c r="AE551" s="85"/>
    </row>
    <row r="552" s="63" customFormat="1" ht="14.4" customHeight="1" spans="1:31">
      <c r="A552" s="68">
        <v>551</v>
      </c>
      <c r="B552" s="69" t="s">
        <v>94</v>
      </c>
      <c r="C552" s="97" t="s">
        <v>277</v>
      </c>
      <c r="D552" s="97" t="s">
        <v>176</v>
      </c>
      <c r="E552" s="95" t="s">
        <v>115</v>
      </c>
      <c r="F552" s="96">
        <v>46153.4379282407</v>
      </c>
      <c r="G552" s="96">
        <v>46151.4381481481</v>
      </c>
      <c r="H552" s="86" t="s">
        <v>99</v>
      </c>
      <c r="I552" s="87">
        <v>12000</v>
      </c>
      <c r="J552" s="83" t="s">
        <v>116</v>
      </c>
      <c r="K552" s="88" t="s">
        <v>117</v>
      </c>
      <c r="L552" s="91">
        <v>45561.5636689815</v>
      </c>
      <c r="M552" s="91">
        <v>45608.730625</v>
      </c>
      <c r="N552" s="84" t="s">
        <v>138</v>
      </c>
      <c r="O552" s="91">
        <v>45646.6181481481</v>
      </c>
      <c r="P552" s="91">
        <v>45652.6962962963</v>
      </c>
      <c r="Q552" s="93" t="s">
        <v>121</v>
      </c>
      <c r="R552" s="94">
        <v>46093.6754861111</v>
      </c>
      <c r="S552" s="94">
        <v>46094.6464236111</v>
      </c>
      <c r="T552" s="105" t="s">
        <v>120</v>
      </c>
      <c r="U552" s="106">
        <v>46100.8336226852</v>
      </c>
      <c r="V552" s="106">
        <v>46099.8338541667</v>
      </c>
      <c r="W552" s="84"/>
      <c r="X552" s="84"/>
      <c r="Y552" s="84"/>
      <c r="Z552" s="84"/>
      <c r="AA552" s="84"/>
      <c r="AB552" s="84"/>
      <c r="AC552" s="84"/>
      <c r="AD552" s="84"/>
      <c r="AE552" s="85"/>
    </row>
    <row r="553" s="63" customFormat="1" ht="14.4" customHeight="1" spans="1:31">
      <c r="A553" s="68">
        <v>552</v>
      </c>
      <c r="B553" s="69" t="s">
        <v>94</v>
      </c>
      <c r="C553" s="97" t="s">
        <v>277</v>
      </c>
      <c r="D553" s="97" t="s">
        <v>177</v>
      </c>
      <c r="E553" s="95" t="s">
        <v>115</v>
      </c>
      <c r="F553" s="96">
        <v>46153.4415393519</v>
      </c>
      <c r="G553" s="96">
        <v>46151.4417592593</v>
      </c>
      <c r="H553" s="86" t="s">
        <v>99</v>
      </c>
      <c r="I553" s="87">
        <v>12000</v>
      </c>
      <c r="J553" s="83" t="s">
        <v>116</v>
      </c>
      <c r="K553" s="88" t="s">
        <v>117</v>
      </c>
      <c r="L553" s="91">
        <v>45561.5636689815</v>
      </c>
      <c r="M553" s="91">
        <v>45608.730625</v>
      </c>
      <c r="N553" s="84" t="s">
        <v>138</v>
      </c>
      <c r="O553" s="91">
        <v>45646.6181481481</v>
      </c>
      <c r="P553" s="91">
        <v>45652.6962962963</v>
      </c>
      <c r="Q553" s="84"/>
      <c r="R553" s="84"/>
      <c r="S553" s="84"/>
      <c r="T553" s="83" t="s">
        <v>117</v>
      </c>
      <c r="U553" s="91">
        <v>46101.7259490741</v>
      </c>
      <c r="V553" s="91">
        <v>46105.7713078704</v>
      </c>
      <c r="W553" s="84"/>
      <c r="X553" s="84"/>
      <c r="Y553" s="84"/>
      <c r="Z553" s="84"/>
      <c r="AA553" s="84"/>
      <c r="AB553" s="84"/>
      <c r="AC553" s="84"/>
      <c r="AD553" s="84"/>
      <c r="AE553" s="85"/>
    </row>
    <row r="554" s="63" customFormat="1" ht="14.4" customHeight="1" spans="1:31">
      <c r="A554" s="68">
        <v>553</v>
      </c>
      <c r="B554" s="69" t="s">
        <v>94</v>
      </c>
      <c r="C554" s="97" t="s">
        <v>277</v>
      </c>
      <c r="D554" s="97" t="s">
        <v>178</v>
      </c>
      <c r="E554" s="95" t="s">
        <v>115</v>
      </c>
      <c r="F554" s="96">
        <v>46153.4415393519</v>
      </c>
      <c r="G554" s="96">
        <v>46151.4417592593</v>
      </c>
      <c r="H554" s="86" t="s">
        <v>99</v>
      </c>
      <c r="I554" s="87">
        <v>12000</v>
      </c>
      <c r="J554" s="83" t="s">
        <v>116</v>
      </c>
      <c r="K554" s="88" t="s">
        <v>117</v>
      </c>
      <c r="L554" s="91">
        <v>45561.5636689815</v>
      </c>
      <c r="M554" s="91">
        <v>45608.730625</v>
      </c>
      <c r="N554" s="84" t="s">
        <v>138</v>
      </c>
      <c r="O554" s="91">
        <v>45646.6181481481</v>
      </c>
      <c r="P554" s="91">
        <v>45652.6962962963</v>
      </c>
      <c r="Q554" s="93" t="s">
        <v>121</v>
      </c>
      <c r="R554" s="94">
        <v>46093.6754976852</v>
      </c>
      <c r="S554" s="94">
        <v>46094.6622800926</v>
      </c>
      <c r="T554" s="105" t="s">
        <v>120</v>
      </c>
      <c r="U554" s="106">
        <v>46100.8336226852</v>
      </c>
      <c r="V554" s="106">
        <v>46099.8338541667</v>
      </c>
      <c r="W554" s="84"/>
      <c r="X554" s="84"/>
      <c r="Y554" s="84"/>
      <c r="Z554" s="84"/>
      <c r="AA554" s="84"/>
      <c r="AB554" s="84"/>
      <c r="AC554" s="84"/>
      <c r="AD554" s="84"/>
      <c r="AE554" s="85"/>
    </row>
    <row r="555" s="63" customFormat="1" ht="14.4" customHeight="1" spans="1:31">
      <c r="A555" s="68">
        <v>554</v>
      </c>
      <c r="B555" s="69" t="s">
        <v>94</v>
      </c>
      <c r="C555" s="97" t="s">
        <v>277</v>
      </c>
      <c r="D555" s="97" t="s">
        <v>179</v>
      </c>
      <c r="E555" s="95" t="s">
        <v>115</v>
      </c>
      <c r="F555" s="96">
        <v>46153.4450347222</v>
      </c>
      <c r="G555" s="96">
        <v>46151.4452430556</v>
      </c>
      <c r="H555" s="86" t="s">
        <v>99</v>
      </c>
      <c r="I555" s="87">
        <v>12000</v>
      </c>
      <c r="J555" s="83" t="s">
        <v>116</v>
      </c>
      <c r="K555" s="88" t="s">
        <v>117</v>
      </c>
      <c r="L555" s="91">
        <v>45561.5636689815</v>
      </c>
      <c r="M555" s="91">
        <v>45608.730625</v>
      </c>
      <c r="N555" s="84" t="s">
        <v>138</v>
      </c>
      <c r="O555" s="91">
        <v>45646.6181481481</v>
      </c>
      <c r="P555" s="91">
        <v>45652.6962962963</v>
      </c>
      <c r="Q555" s="93" t="s">
        <v>121</v>
      </c>
      <c r="R555" s="94">
        <v>46093.6754861111</v>
      </c>
      <c r="S555" s="94">
        <v>46094.6623958333</v>
      </c>
      <c r="T555" s="105" t="s">
        <v>120</v>
      </c>
      <c r="U555" s="106">
        <v>46100.8336226852</v>
      </c>
      <c r="V555" s="106">
        <v>46099.8338541667</v>
      </c>
      <c r="W555" s="84"/>
      <c r="X555" s="84"/>
      <c r="Y555" s="84"/>
      <c r="Z555" s="84"/>
      <c r="AA555" s="84"/>
      <c r="AB555" s="84"/>
      <c r="AC555" s="84"/>
      <c r="AD555" s="84"/>
      <c r="AE555" s="85"/>
    </row>
    <row r="556" s="63" customFormat="1" ht="14.4" customHeight="1" spans="1:31">
      <c r="A556" s="68">
        <v>555</v>
      </c>
      <c r="B556" s="69" t="s">
        <v>94</v>
      </c>
      <c r="C556" s="97" t="s">
        <v>277</v>
      </c>
      <c r="D556" s="97" t="s">
        <v>180</v>
      </c>
      <c r="E556" s="95" t="s">
        <v>115</v>
      </c>
      <c r="F556" s="96">
        <v>46153.4480439815</v>
      </c>
      <c r="G556" s="96">
        <v>46151.4482638889</v>
      </c>
      <c r="H556" s="86" t="s">
        <v>99</v>
      </c>
      <c r="I556" s="87">
        <v>12000</v>
      </c>
      <c r="J556" s="83" t="s">
        <v>116</v>
      </c>
      <c r="K556" s="88" t="s">
        <v>117</v>
      </c>
      <c r="L556" s="91">
        <v>45561.5636689815</v>
      </c>
      <c r="M556" s="91">
        <v>45608.730625</v>
      </c>
      <c r="N556" s="109" t="s">
        <v>138</v>
      </c>
      <c r="O556" s="110">
        <v>45646.6181481481</v>
      </c>
      <c r="P556" s="110">
        <v>45652.6962962963</v>
      </c>
      <c r="Q556" s="84"/>
      <c r="R556" s="84"/>
      <c r="S556" s="84"/>
      <c r="T556" s="83" t="s">
        <v>117</v>
      </c>
      <c r="U556" s="91">
        <v>46101.7259490741</v>
      </c>
      <c r="V556" s="91">
        <v>46105.7713078704</v>
      </c>
      <c r="W556" s="84"/>
      <c r="X556" s="84"/>
      <c r="Y556" s="84"/>
      <c r="Z556" s="84"/>
      <c r="AA556" s="84"/>
      <c r="AB556" s="84"/>
      <c r="AC556" s="84"/>
      <c r="AD556" s="84"/>
      <c r="AE556" s="85"/>
    </row>
    <row r="557" s="63" customFormat="1" ht="14.4" customHeight="1" spans="1:31">
      <c r="A557" s="68">
        <v>556</v>
      </c>
      <c r="B557" s="69" t="s">
        <v>94</v>
      </c>
      <c r="C557" s="97" t="s">
        <v>277</v>
      </c>
      <c r="D557" s="97" t="s">
        <v>181</v>
      </c>
      <c r="E557" s="95" t="s">
        <v>115</v>
      </c>
      <c r="F557" s="96">
        <v>46153.4480324074</v>
      </c>
      <c r="G557" s="96">
        <v>46151.4482523148</v>
      </c>
      <c r="H557" s="86" t="s">
        <v>99</v>
      </c>
      <c r="I557" s="87">
        <v>12000</v>
      </c>
      <c r="J557" s="83" t="s">
        <v>116</v>
      </c>
      <c r="K557" s="88" t="s">
        <v>117</v>
      </c>
      <c r="L557" s="91">
        <v>45561.5636689815</v>
      </c>
      <c r="M557" s="91">
        <v>45608.730625</v>
      </c>
      <c r="N557" s="84" t="s">
        <v>138</v>
      </c>
      <c r="O557" s="91">
        <v>45646.6181481481</v>
      </c>
      <c r="P557" s="91">
        <v>45652.6962962963</v>
      </c>
      <c r="Q557" s="107" t="s">
        <v>121</v>
      </c>
      <c r="R557" s="108">
        <v>46093.6755208333</v>
      </c>
      <c r="S557" s="108">
        <v>46094.6625115741</v>
      </c>
      <c r="T557" s="111" t="s">
        <v>120</v>
      </c>
      <c r="U557" s="112">
        <v>46100.8336226852</v>
      </c>
      <c r="V557" s="112">
        <v>46099.8338541667</v>
      </c>
      <c r="W557" s="84"/>
      <c r="X557" s="84"/>
      <c r="Y557" s="84"/>
      <c r="Z557" s="84"/>
      <c r="AA557" s="84"/>
      <c r="AB557" s="84"/>
      <c r="AC557" s="84"/>
      <c r="AD557" s="84"/>
      <c r="AE557" s="85"/>
    </row>
    <row r="558" s="63" customFormat="1" ht="14.4" customHeight="1" spans="1:31">
      <c r="A558" s="68">
        <v>557</v>
      </c>
      <c r="B558" s="69" t="s">
        <v>94</v>
      </c>
      <c r="C558" s="70" t="s">
        <v>277</v>
      </c>
      <c r="D558" s="92" t="s">
        <v>182</v>
      </c>
      <c r="E558" s="93" t="s">
        <v>121</v>
      </c>
      <c r="F558" s="94">
        <v>46093.6754861111</v>
      </c>
      <c r="G558" s="94">
        <v>46094.6627083333</v>
      </c>
      <c r="H558" s="86" t="s">
        <v>99</v>
      </c>
      <c r="I558" s="87">
        <v>12000</v>
      </c>
      <c r="J558" s="83" t="s">
        <v>116</v>
      </c>
      <c r="K558" s="89"/>
      <c r="L558" s="90"/>
      <c r="M558" s="82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5"/>
    </row>
    <row r="559" s="63" customFormat="1" ht="14.4" customHeight="1" spans="1:31">
      <c r="A559" s="68">
        <v>558</v>
      </c>
      <c r="B559" s="69" t="s">
        <v>94</v>
      </c>
      <c r="C559" s="70" t="s">
        <v>277</v>
      </c>
      <c r="D559" s="84" t="s">
        <v>183</v>
      </c>
      <c r="E559" s="93" t="s">
        <v>121</v>
      </c>
      <c r="F559" s="91">
        <v>46101.7259490741</v>
      </c>
      <c r="G559" s="91">
        <v>46104.7713078704</v>
      </c>
      <c r="H559" s="86" t="s">
        <v>99</v>
      </c>
      <c r="I559" s="87">
        <v>12000</v>
      </c>
      <c r="J559" s="83" t="s">
        <v>116</v>
      </c>
      <c r="K559" s="89"/>
      <c r="L559" s="90"/>
      <c r="M559" s="82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5"/>
    </row>
    <row r="560" s="63" customFormat="1" ht="14.4" customHeight="1" spans="1:31">
      <c r="A560" s="68">
        <v>559</v>
      </c>
      <c r="B560" s="69" t="s">
        <v>94</v>
      </c>
      <c r="C560" s="92" t="s">
        <v>277</v>
      </c>
      <c r="D560" s="92" t="s">
        <v>184</v>
      </c>
      <c r="E560" s="93" t="s">
        <v>121</v>
      </c>
      <c r="F560" s="94">
        <v>46093.6754861111</v>
      </c>
      <c r="G560" s="94">
        <v>46094.690625</v>
      </c>
      <c r="H560" s="86" t="s">
        <v>99</v>
      </c>
      <c r="I560" s="87">
        <v>12000</v>
      </c>
      <c r="J560" s="83" t="s">
        <v>116</v>
      </c>
      <c r="K560" s="89"/>
      <c r="L560" s="90"/>
      <c r="M560" s="82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5"/>
    </row>
    <row r="561" s="63" customFormat="1" ht="14.4" customHeight="1" spans="1:31">
      <c r="A561" s="68">
        <v>560</v>
      </c>
      <c r="B561" s="69" t="s">
        <v>94</v>
      </c>
      <c r="C561" s="92" t="s">
        <v>277</v>
      </c>
      <c r="D561" s="92" t="s">
        <v>185</v>
      </c>
      <c r="E561" s="93" t="s">
        <v>121</v>
      </c>
      <c r="F561" s="94">
        <v>46093.6754861111</v>
      </c>
      <c r="G561" s="94">
        <v>46098.6603356482</v>
      </c>
      <c r="H561" s="86" t="s">
        <v>99</v>
      </c>
      <c r="I561" s="87">
        <v>12000</v>
      </c>
      <c r="J561" s="83" t="s">
        <v>116</v>
      </c>
      <c r="K561" s="89"/>
      <c r="L561" s="90"/>
      <c r="M561" s="82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5"/>
    </row>
    <row r="562" s="63" customFormat="1" ht="14.4" customHeight="1" spans="1:31">
      <c r="A562" s="68">
        <v>561</v>
      </c>
      <c r="B562" s="69" t="s">
        <v>94</v>
      </c>
      <c r="C562" s="70" t="s">
        <v>277</v>
      </c>
      <c r="D562" s="84" t="s">
        <v>186</v>
      </c>
      <c r="E562" s="93" t="s">
        <v>121</v>
      </c>
      <c r="F562" s="91">
        <v>46101.7259490741</v>
      </c>
      <c r="G562" s="91">
        <v>46104.7713078704</v>
      </c>
      <c r="H562" s="86" t="s">
        <v>99</v>
      </c>
      <c r="I562" s="87">
        <v>12000</v>
      </c>
      <c r="J562" s="83" t="s">
        <v>116</v>
      </c>
      <c r="K562" s="89"/>
      <c r="L562" s="90"/>
      <c r="M562" s="82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5"/>
    </row>
    <row r="563" s="63" customFormat="1" ht="14.4" customHeight="1" spans="1:31">
      <c r="A563" s="68">
        <v>562</v>
      </c>
      <c r="B563" s="69" t="s">
        <v>94</v>
      </c>
      <c r="C563" s="70" t="s">
        <v>277</v>
      </c>
      <c r="D563" s="84" t="s">
        <v>187</v>
      </c>
      <c r="E563" s="88"/>
      <c r="F563" s="84"/>
      <c r="G563" s="84"/>
      <c r="H563" s="86" t="s">
        <v>99</v>
      </c>
      <c r="I563" s="87">
        <v>12000</v>
      </c>
      <c r="J563" s="84"/>
      <c r="K563" s="89"/>
      <c r="L563" s="90"/>
      <c r="M563" s="82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5"/>
    </row>
    <row r="564" s="63" customFormat="1" ht="14.4" customHeight="1" spans="1:31">
      <c r="A564" s="68">
        <v>563</v>
      </c>
      <c r="B564" s="69" t="s">
        <v>94</v>
      </c>
      <c r="C564" s="97" t="s">
        <v>277</v>
      </c>
      <c r="D564" s="97" t="s">
        <v>188</v>
      </c>
      <c r="E564" s="95" t="s">
        <v>115</v>
      </c>
      <c r="F564" s="96">
        <v>46153.4732638889</v>
      </c>
      <c r="G564" s="96">
        <v>46151.4734837963</v>
      </c>
      <c r="H564" s="79" t="s">
        <v>97</v>
      </c>
      <c r="I564" s="80">
        <v>16000</v>
      </c>
      <c r="J564" s="83" t="s">
        <v>116</v>
      </c>
      <c r="K564" s="89"/>
      <c r="L564" s="90"/>
      <c r="M564" s="82"/>
      <c r="N564" s="84"/>
      <c r="O564" s="84"/>
      <c r="P564" s="84"/>
      <c r="Q564" s="84"/>
      <c r="R564" s="84"/>
      <c r="S564" s="84"/>
      <c r="T564" s="83" t="s">
        <v>117</v>
      </c>
      <c r="U564" s="91">
        <v>46101.7259490741</v>
      </c>
      <c r="V564" s="91">
        <v>46104.7713078704</v>
      </c>
      <c r="W564" s="84"/>
      <c r="X564" s="84"/>
      <c r="Y564" s="84"/>
      <c r="Z564" s="84"/>
      <c r="AA564" s="84"/>
      <c r="AB564" s="84"/>
      <c r="AC564" s="84"/>
      <c r="AD564" s="84"/>
      <c r="AE564" s="85"/>
    </row>
    <row r="565" s="63" customFormat="1" ht="14.4" customHeight="1" spans="1:31">
      <c r="A565" s="68">
        <v>564</v>
      </c>
      <c r="B565" s="69" t="s">
        <v>94</v>
      </c>
      <c r="C565" s="97" t="s">
        <v>277</v>
      </c>
      <c r="D565" s="97" t="s">
        <v>189</v>
      </c>
      <c r="E565" s="95" t="s">
        <v>115</v>
      </c>
      <c r="F565" s="96">
        <v>46153.4732638889</v>
      </c>
      <c r="G565" s="96">
        <v>46151.4734722222</v>
      </c>
      <c r="H565" s="86" t="s">
        <v>99</v>
      </c>
      <c r="I565" s="87">
        <v>12000</v>
      </c>
      <c r="J565" s="83" t="s">
        <v>116</v>
      </c>
      <c r="K565" s="88" t="s">
        <v>117</v>
      </c>
      <c r="L565" s="91">
        <v>45561.5636689815</v>
      </c>
      <c r="M565" s="91">
        <v>45608.730625</v>
      </c>
      <c r="N565" s="84" t="s">
        <v>138</v>
      </c>
      <c r="O565" s="91">
        <v>45646.6181481481</v>
      </c>
      <c r="P565" s="91">
        <v>45652.6962962963</v>
      </c>
      <c r="Q565" s="93" t="s">
        <v>121</v>
      </c>
      <c r="R565" s="94">
        <v>46093.6754976852</v>
      </c>
      <c r="S565" s="94">
        <v>46094.6907638889</v>
      </c>
      <c r="T565" s="95" t="s">
        <v>120</v>
      </c>
      <c r="U565" s="96">
        <v>46129.833587963</v>
      </c>
      <c r="V565" s="96">
        <v>46128.8338078704</v>
      </c>
      <c r="W565" s="84"/>
      <c r="X565" s="84"/>
      <c r="Y565" s="84"/>
      <c r="Z565" s="84"/>
      <c r="AA565" s="84"/>
      <c r="AB565" s="84"/>
      <c r="AC565" s="84"/>
      <c r="AD565" s="84"/>
      <c r="AE565" s="85"/>
    </row>
    <row r="566" s="63" customFormat="1" ht="14.4" customHeight="1" spans="1:31">
      <c r="A566" s="68">
        <v>565</v>
      </c>
      <c r="B566" s="69" t="s">
        <v>94</v>
      </c>
      <c r="C566" s="97" t="s">
        <v>277</v>
      </c>
      <c r="D566" s="97" t="s">
        <v>190</v>
      </c>
      <c r="E566" s="95" t="s">
        <v>115</v>
      </c>
      <c r="F566" s="96">
        <v>46125.8821875</v>
      </c>
      <c r="G566" s="96">
        <v>46124.8823958333</v>
      </c>
      <c r="H566" s="86" t="s">
        <v>99</v>
      </c>
      <c r="I566" s="87">
        <v>12000</v>
      </c>
      <c r="J566" s="83" t="s">
        <v>116</v>
      </c>
      <c r="K566" s="88" t="s">
        <v>117</v>
      </c>
      <c r="L566" s="91">
        <v>45561.5636689815</v>
      </c>
      <c r="M566" s="91">
        <v>45608.730625</v>
      </c>
      <c r="N566" s="84" t="s">
        <v>138</v>
      </c>
      <c r="O566" s="91">
        <v>45646.6181481481</v>
      </c>
      <c r="P566" s="91">
        <v>45652.6962962963</v>
      </c>
      <c r="Q566" s="93" t="s">
        <v>121</v>
      </c>
      <c r="R566" s="94">
        <v>46093.6754976852</v>
      </c>
      <c r="S566" s="94">
        <v>46094.6931712963</v>
      </c>
      <c r="T566" s="111" t="s">
        <v>120</v>
      </c>
      <c r="U566" s="112">
        <v>46100.8336226852</v>
      </c>
      <c r="V566" s="112">
        <v>46099.8338541667</v>
      </c>
      <c r="W566" s="84"/>
      <c r="X566" s="84"/>
      <c r="Y566" s="84"/>
      <c r="Z566" s="84"/>
      <c r="AA566" s="84"/>
      <c r="AB566" s="84"/>
      <c r="AC566" s="84"/>
      <c r="AD566" s="84"/>
      <c r="AE566" s="85"/>
    </row>
    <row r="567" s="63" customFormat="1" ht="14.4" customHeight="1" spans="1:31">
      <c r="A567" s="68">
        <v>566</v>
      </c>
      <c r="B567" s="69" t="s">
        <v>94</v>
      </c>
      <c r="C567" s="97" t="s">
        <v>277</v>
      </c>
      <c r="D567" s="97" t="s">
        <v>191</v>
      </c>
      <c r="E567" s="95" t="s">
        <v>115</v>
      </c>
      <c r="F567" s="96">
        <v>46124.8822453704</v>
      </c>
      <c r="G567" s="96">
        <v>46123.8824652778</v>
      </c>
      <c r="H567" s="86" t="s">
        <v>99</v>
      </c>
      <c r="I567" s="87">
        <v>12000</v>
      </c>
      <c r="J567" s="83" t="s">
        <v>116</v>
      </c>
      <c r="K567" s="88" t="s">
        <v>117</v>
      </c>
      <c r="L567" s="91">
        <v>45561.5636689815</v>
      </c>
      <c r="M567" s="91">
        <v>45608.730625</v>
      </c>
      <c r="N567" s="84" t="s">
        <v>138</v>
      </c>
      <c r="O567" s="91">
        <v>45646.6181481481</v>
      </c>
      <c r="P567" s="91">
        <v>45652.6962962963</v>
      </c>
      <c r="Q567" s="83" t="s">
        <v>117</v>
      </c>
      <c r="R567" s="91">
        <v>46101.7259490741</v>
      </c>
      <c r="S567" s="91">
        <v>46105.7713078704</v>
      </c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5"/>
    </row>
    <row r="568" s="63" customFormat="1" ht="14.4" customHeight="1" spans="1:31">
      <c r="A568" s="68">
        <v>567</v>
      </c>
      <c r="B568" s="69" t="s">
        <v>94</v>
      </c>
      <c r="C568" s="97" t="s">
        <v>277</v>
      </c>
      <c r="D568" s="97" t="s">
        <v>192</v>
      </c>
      <c r="E568" s="95" t="s">
        <v>115</v>
      </c>
      <c r="F568" s="96">
        <v>46124.8822453704</v>
      </c>
      <c r="G568" s="96">
        <v>46123.8824652778</v>
      </c>
      <c r="H568" s="86" t="s">
        <v>99</v>
      </c>
      <c r="I568" s="87">
        <v>12000</v>
      </c>
      <c r="J568" s="83" t="s">
        <v>116</v>
      </c>
      <c r="K568" s="88" t="s">
        <v>117</v>
      </c>
      <c r="L568" s="91">
        <v>45561.5636689815</v>
      </c>
      <c r="M568" s="91">
        <v>45608.730625</v>
      </c>
      <c r="N568" s="84" t="s">
        <v>138</v>
      </c>
      <c r="O568" s="91">
        <v>45646.6181481481</v>
      </c>
      <c r="P568" s="91">
        <v>45652.6962962963</v>
      </c>
      <c r="Q568" s="93" t="s">
        <v>121</v>
      </c>
      <c r="R568" s="94">
        <v>46093.6754861111</v>
      </c>
      <c r="S568" s="94">
        <v>46094.6933217593</v>
      </c>
      <c r="T568" s="95" t="s">
        <v>120</v>
      </c>
      <c r="U568" s="96">
        <v>46109.8336111111</v>
      </c>
      <c r="V568" s="96">
        <v>46108.8338310185</v>
      </c>
      <c r="W568" s="84"/>
      <c r="X568" s="84"/>
      <c r="Y568" s="84"/>
      <c r="Z568" s="84"/>
      <c r="AA568" s="84"/>
      <c r="AB568" s="84"/>
      <c r="AC568" s="84"/>
      <c r="AD568" s="84"/>
      <c r="AE568" s="85"/>
    </row>
    <row r="569" s="63" customFormat="1" ht="14.4" customHeight="1" spans="1:31">
      <c r="A569" s="68">
        <v>568</v>
      </c>
      <c r="B569" s="69" t="s">
        <v>94</v>
      </c>
      <c r="C569" s="97" t="s">
        <v>277</v>
      </c>
      <c r="D569" s="97" t="s">
        <v>193</v>
      </c>
      <c r="E569" s="95" t="s">
        <v>115</v>
      </c>
      <c r="F569" s="96">
        <v>46125.8821875</v>
      </c>
      <c r="G569" s="96">
        <v>46124.8823958333</v>
      </c>
      <c r="H569" s="86" t="s">
        <v>99</v>
      </c>
      <c r="I569" s="87">
        <v>12000</v>
      </c>
      <c r="J569" s="83" t="s">
        <v>116</v>
      </c>
      <c r="K569" s="88" t="s">
        <v>117</v>
      </c>
      <c r="L569" s="91">
        <v>45561.5636689815</v>
      </c>
      <c r="M569" s="91">
        <v>45608.730625</v>
      </c>
      <c r="N569" s="84" t="s">
        <v>138</v>
      </c>
      <c r="O569" s="91">
        <v>45646.6181481481</v>
      </c>
      <c r="P569" s="91">
        <v>45652.6962962963</v>
      </c>
      <c r="Q569" s="93" t="s">
        <v>121</v>
      </c>
      <c r="R569" s="94">
        <v>46093.6754861111</v>
      </c>
      <c r="S569" s="94">
        <v>46094.6936574074</v>
      </c>
      <c r="T569" s="111" t="s">
        <v>120</v>
      </c>
      <c r="U569" s="112">
        <v>46100.8336226852</v>
      </c>
      <c r="V569" s="112">
        <v>46099.8338541667</v>
      </c>
      <c r="W569" s="84"/>
      <c r="X569" s="84"/>
      <c r="Y569" s="84"/>
      <c r="Z569" s="84"/>
      <c r="AA569" s="84"/>
      <c r="AB569" s="84"/>
      <c r="AC569" s="84"/>
      <c r="AD569" s="84"/>
      <c r="AE569" s="85"/>
    </row>
    <row r="570" s="63" customFormat="1" ht="14.4" customHeight="1" spans="1:31">
      <c r="A570" s="68">
        <v>569</v>
      </c>
      <c r="B570" s="69" t="s">
        <v>94</v>
      </c>
      <c r="C570" s="97" t="s">
        <v>277</v>
      </c>
      <c r="D570" s="97" t="s">
        <v>194</v>
      </c>
      <c r="E570" s="95" t="s">
        <v>115</v>
      </c>
      <c r="F570" s="96">
        <v>46124.8822453704</v>
      </c>
      <c r="G570" s="96">
        <v>46123.8824652778</v>
      </c>
      <c r="H570" s="86" t="s">
        <v>99</v>
      </c>
      <c r="I570" s="87">
        <v>12000</v>
      </c>
      <c r="J570" s="83" t="s">
        <v>116</v>
      </c>
      <c r="K570" s="88" t="s">
        <v>117</v>
      </c>
      <c r="L570" s="91">
        <v>45561.5636689815</v>
      </c>
      <c r="M570" s="91">
        <v>45608.730625</v>
      </c>
      <c r="N570" s="84" t="s">
        <v>138</v>
      </c>
      <c r="O570" s="91">
        <v>45646.6181481481</v>
      </c>
      <c r="P570" s="91">
        <v>45652.6962962963</v>
      </c>
      <c r="Q570" s="83" t="s">
        <v>117</v>
      </c>
      <c r="R570" s="91">
        <v>46101.7259490741</v>
      </c>
      <c r="S570" s="91">
        <v>46105.7713078704</v>
      </c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5"/>
    </row>
    <row r="571" s="63" customFormat="1" ht="14.4" customHeight="1" spans="1:31">
      <c r="A571" s="68">
        <v>570</v>
      </c>
      <c r="B571" s="69" t="s">
        <v>94</v>
      </c>
      <c r="C571" s="97" t="s">
        <v>277</v>
      </c>
      <c r="D571" s="97" t="s">
        <v>195</v>
      </c>
      <c r="E571" s="95" t="s">
        <v>115</v>
      </c>
      <c r="F571" s="96">
        <v>46125.8821875</v>
      </c>
      <c r="G571" s="96">
        <v>46124.8823958333</v>
      </c>
      <c r="H571" s="86" t="s">
        <v>99</v>
      </c>
      <c r="I571" s="87">
        <v>12000</v>
      </c>
      <c r="J571" s="83" t="s">
        <v>116</v>
      </c>
      <c r="K571" s="88" t="s">
        <v>117</v>
      </c>
      <c r="L571" s="91">
        <v>45561.5636689815</v>
      </c>
      <c r="M571" s="91">
        <v>45608.730625</v>
      </c>
      <c r="N571" s="84" t="s">
        <v>138</v>
      </c>
      <c r="O571" s="91">
        <v>45646.6181481481</v>
      </c>
      <c r="P571" s="91">
        <v>45652.6962962963</v>
      </c>
      <c r="Q571" s="93" t="s">
        <v>121</v>
      </c>
      <c r="R571" s="94">
        <v>46093.6754976852</v>
      </c>
      <c r="S571" s="94">
        <v>46094.6939583333</v>
      </c>
      <c r="T571" s="113" t="s">
        <v>120</v>
      </c>
      <c r="U571" s="114">
        <v>46115.8335069444</v>
      </c>
      <c r="V571" s="114">
        <v>46114.8337152778</v>
      </c>
      <c r="W571" s="84"/>
      <c r="X571" s="84"/>
      <c r="Y571" s="84"/>
      <c r="Z571" s="84"/>
      <c r="AA571" s="84"/>
      <c r="AB571" s="84"/>
      <c r="AC571" s="84"/>
      <c r="AD571" s="84"/>
      <c r="AE571" s="85"/>
    </row>
    <row r="572" s="63" customFormat="1" ht="14.4" customHeight="1" spans="1:31">
      <c r="A572" s="68">
        <v>571</v>
      </c>
      <c r="B572" s="69" t="s">
        <v>94</v>
      </c>
      <c r="C572" s="97" t="s">
        <v>277</v>
      </c>
      <c r="D572" s="97" t="s">
        <v>196</v>
      </c>
      <c r="E572" s="95" t="s">
        <v>115</v>
      </c>
      <c r="F572" s="96">
        <v>46125.8821875</v>
      </c>
      <c r="G572" s="96">
        <v>46124.8823958333</v>
      </c>
      <c r="H572" s="86" t="s">
        <v>99</v>
      </c>
      <c r="I572" s="87">
        <v>12000</v>
      </c>
      <c r="J572" s="83" t="s">
        <v>116</v>
      </c>
      <c r="K572" s="88" t="s">
        <v>117</v>
      </c>
      <c r="L572" s="91">
        <v>45561.5636689815</v>
      </c>
      <c r="M572" s="91">
        <v>45608.730625</v>
      </c>
      <c r="N572" s="84" t="s">
        <v>138</v>
      </c>
      <c r="O572" s="91">
        <v>45646.6181481481</v>
      </c>
      <c r="P572" s="91">
        <v>45652.6962962963</v>
      </c>
      <c r="Q572" s="93" t="s">
        <v>121</v>
      </c>
      <c r="R572" s="94">
        <v>46093.6754861111</v>
      </c>
      <c r="S572" s="94">
        <v>46094.6946412037</v>
      </c>
      <c r="T572" s="111" t="s">
        <v>120</v>
      </c>
      <c r="U572" s="112">
        <v>46100.8336226852</v>
      </c>
      <c r="V572" s="112">
        <v>46099.8338541667</v>
      </c>
      <c r="W572" s="84"/>
      <c r="X572" s="84"/>
      <c r="Y572" s="84"/>
      <c r="Z572" s="84"/>
      <c r="AA572" s="84"/>
      <c r="AB572" s="84"/>
      <c r="AC572" s="84"/>
      <c r="AD572" s="84"/>
      <c r="AE572" s="85"/>
    </row>
    <row r="573" s="63" customFormat="1" ht="14.4" customHeight="1" spans="1:31">
      <c r="A573" s="68">
        <v>572</v>
      </c>
      <c r="B573" s="69" t="s">
        <v>94</v>
      </c>
      <c r="C573" s="97" t="s">
        <v>277</v>
      </c>
      <c r="D573" s="97" t="s">
        <v>197</v>
      </c>
      <c r="E573" s="95" t="s">
        <v>115</v>
      </c>
      <c r="F573" s="96">
        <v>46126.8821759259</v>
      </c>
      <c r="G573" s="96">
        <v>46125.8823842593</v>
      </c>
      <c r="H573" s="86" t="s">
        <v>99</v>
      </c>
      <c r="I573" s="87">
        <v>12000</v>
      </c>
      <c r="J573" s="83" t="s">
        <v>116</v>
      </c>
      <c r="K573" s="88" t="s">
        <v>117</v>
      </c>
      <c r="L573" s="91">
        <v>45561.5636689815</v>
      </c>
      <c r="M573" s="91">
        <v>45608.730625</v>
      </c>
      <c r="N573" s="84" t="s">
        <v>138</v>
      </c>
      <c r="O573" s="91">
        <v>45646.6181481481</v>
      </c>
      <c r="P573" s="91">
        <v>45652.6962962963</v>
      </c>
      <c r="Q573" s="83" t="s">
        <v>117</v>
      </c>
      <c r="R573" s="91">
        <v>46101.7259490741</v>
      </c>
      <c r="S573" s="91">
        <v>46104.7713078704</v>
      </c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5"/>
    </row>
    <row r="574" s="63" customFormat="1" ht="14.4" customHeight="1" spans="1:31">
      <c r="A574" s="68">
        <v>573</v>
      </c>
      <c r="B574" s="69" t="s">
        <v>94</v>
      </c>
      <c r="C574" s="97" t="s">
        <v>277</v>
      </c>
      <c r="D574" s="97" t="s">
        <v>198</v>
      </c>
      <c r="E574" s="95" t="s">
        <v>115</v>
      </c>
      <c r="F574" s="96">
        <v>46128.4870717593</v>
      </c>
      <c r="G574" s="96">
        <v>46126.4872916667</v>
      </c>
      <c r="H574" s="86" t="s">
        <v>99</v>
      </c>
      <c r="I574" s="87">
        <v>12000</v>
      </c>
      <c r="J574" s="83" t="s">
        <v>116</v>
      </c>
      <c r="K574" s="93" t="s">
        <v>121</v>
      </c>
      <c r="L574" s="94">
        <v>46093.6754861111</v>
      </c>
      <c r="M574" s="94">
        <v>46094.6949305556</v>
      </c>
      <c r="N574" s="93" t="s">
        <v>120</v>
      </c>
      <c r="O574" s="94">
        <v>46103.8344444444</v>
      </c>
      <c r="P574" s="94">
        <v>46102.8346643519</v>
      </c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5"/>
    </row>
    <row r="575" s="63" customFormat="1" ht="14.4" customHeight="1" spans="1:31">
      <c r="A575" s="68">
        <v>574</v>
      </c>
      <c r="B575" s="69" t="s">
        <v>94</v>
      </c>
      <c r="C575" s="97" t="s">
        <v>277</v>
      </c>
      <c r="D575" s="97" t="s">
        <v>199</v>
      </c>
      <c r="E575" s="95" t="s">
        <v>115</v>
      </c>
      <c r="F575" s="96">
        <v>46128.4906828704</v>
      </c>
      <c r="G575" s="96">
        <v>46126.4909027778</v>
      </c>
      <c r="H575" s="86" t="s">
        <v>99</v>
      </c>
      <c r="I575" s="87">
        <v>12000</v>
      </c>
      <c r="J575" s="83" t="s">
        <v>116</v>
      </c>
      <c r="K575" s="93" t="s">
        <v>121</v>
      </c>
      <c r="L575" s="94">
        <v>46093.6754976852</v>
      </c>
      <c r="M575" s="94">
        <v>46094.6952314815</v>
      </c>
      <c r="N575" s="111" t="s">
        <v>120</v>
      </c>
      <c r="O575" s="112">
        <v>46100.8336226852</v>
      </c>
      <c r="P575" s="112">
        <v>46099.8338541667</v>
      </c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5"/>
    </row>
    <row r="576" s="63" customFormat="1" ht="14.4" customHeight="1" spans="1:31">
      <c r="A576" s="68">
        <v>575</v>
      </c>
      <c r="B576" s="69" t="s">
        <v>94</v>
      </c>
      <c r="C576" s="97" t="s">
        <v>277</v>
      </c>
      <c r="D576" s="97" t="s">
        <v>200</v>
      </c>
      <c r="E576" s="95" t="s">
        <v>115</v>
      </c>
      <c r="F576" s="96">
        <v>46180.4956828704</v>
      </c>
      <c r="G576" s="96">
        <v>46178.4959027778</v>
      </c>
      <c r="H576" s="86" t="s">
        <v>99</v>
      </c>
      <c r="I576" s="87">
        <v>12000</v>
      </c>
      <c r="J576" s="83" t="s">
        <v>116</v>
      </c>
      <c r="K576" s="89"/>
      <c r="L576" s="90"/>
      <c r="M576" s="82"/>
      <c r="N576" s="83" t="s">
        <v>117</v>
      </c>
      <c r="O576" s="91">
        <v>46122.7502546296</v>
      </c>
      <c r="P576" s="91">
        <v>46122.458587963</v>
      </c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5"/>
    </row>
    <row r="577" s="63" customFormat="1" ht="14.4" customHeight="1" spans="1:31">
      <c r="A577" s="68">
        <v>576</v>
      </c>
      <c r="B577" s="69" t="s">
        <v>94</v>
      </c>
      <c r="C577" s="97" t="s">
        <v>277</v>
      </c>
      <c r="D577" s="97" t="s">
        <v>201</v>
      </c>
      <c r="E577" s="95" t="s">
        <v>115</v>
      </c>
      <c r="F577" s="96">
        <v>46180.4988078704</v>
      </c>
      <c r="G577" s="96">
        <v>46178.4990162037</v>
      </c>
      <c r="H577" s="86" t="s">
        <v>99</v>
      </c>
      <c r="I577" s="87">
        <v>12000</v>
      </c>
      <c r="J577" s="83" t="s">
        <v>116</v>
      </c>
      <c r="K577" s="95" t="s">
        <v>121</v>
      </c>
      <c r="L577" s="96">
        <v>46108.611875</v>
      </c>
      <c r="M577" s="96">
        <v>46112.4309606481</v>
      </c>
      <c r="N577" s="105" t="s">
        <v>120</v>
      </c>
      <c r="O577" s="106">
        <v>46121.8335648148</v>
      </c>
      <c r="P577" s="106">
        <v>46120.8337731482</v>
      </c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5"/>
    </row>
    <row r="578" s="63" customFormat="1" ht="14.4" customHeight="1" spans="1:31">
      <c r="A578" s="68">
        <v>577</v>
      </c>
      <c r="B578" s="69" t="s">
        <v>94</v>
      </c>
      <c r="C578" s="97" t="s">
        <v>277</v>
      </c>
      <c r="D578" s="97" t="s">
        <v>202</v>
      </c>
      <c r="E578" s="95" t="s">
        <v>115</v>
      </c>
      <c r="F578" s="96">
        <v>46237.7331481481</v>
      </c>
      <c r="G578" s="96">
        <v>46235.7333796296</v>
      </c>
      <c r="H578" s="86" t="s">
        <v>99</v>
      </c>
      <c r="I578" s="87">
        <v>12000</v>
      </c>
      <c r="J578" s="83" t="s">
        <v>116</v>
      </c>
      <c r="K578" s="95" t="s">
        <v>121</v>
      </c>
      <c r="L578" s="96">
        <v>46108.611875</v>
      </c>
      <c r="M578" s="96">
        <v>46112.4311226852</v>
      </c>
      <c r="N578" s="105" t="s">
        <v>120</v>
      </c>
      <c r="O578" s="106">
        <v>46115.8335069444</v>
      </c>
      <c r="P578" s="106">
        <v>46114.8337152778</v>
      </c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5"/>
    </row>
    <row r="579" s="63" customFormat="1" ht="14.4" customHeight="1" spans="1:31">
      <c r="A579" s="68">
        <v>578</v>
      </c>
      <c r="B579" s="69" t="s">
        <v>94</v>
      </c>
      <c r="C579" s="115" t="s">
        <v>277</v>
      </c>
      <c r="D579" s="116" t="s">
        <v>203</v>
      </c>
      <c r="E579" s="117"/>
      <c r="F579" s="116"/>
      <c r="G579" s="116"/>
      <c r="H579" s="86" t="s">
        <v>99</v>
      </c>
      <c r="I579" s="87">
        <v>12000</v>
      </c>
      <c r="J579" s="84"/>
      <c r="K579" s="89"/>
      <c r="L579" s="90"/>
      <c r="M579" s="82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5"/>
    </row>
    <row r="580" s="63" customFormat="1" ht="14.4" customHeight="1" spans="1:31">
      <c r="A580" s="68">
        <v>579</v>
      </c>
      <c r="B580" s="69" t="s">
        <v>94</v>
      </c>
      <c r="C580" s="70" t="s">
        <v>277</v>
      </c>
      <c r="D580" s="84" t="s">
        <v>204</v>
      </c>
      <c r="E580" s="88"/>
      <c r="F580" s="84"/>
      <c r="G580" s="84"/>
      <c r="H580" s="86" t="s">
        <v>99</v>
      </c>
      <c r="I580" s="87">
        <v>12000</v>
      </c>
      <c r="J580" s="84"/>
      <c r="K580" s="89"/>
      <c r="L580" s="90"/>
      <c r="M580" s="82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5"/>
    </row>
    <row r="581" s="63" customFormat="1" ht="14.4" customHeight="1" spans="1:31">
      <c r="A581" s="68">
        <v>580</v>
      </c>
      <c r="B581" s="69" t="s">
        <v>94</v>
      </c>
      <c r="C581" s="70" t="s">
        <v>277</v>
      </c>
      <c r="D581" s="84" t="s">
        <v>205</v>
      </c>
      <c r="E581" s="88"/>
      <c r="F581" s="84"/>
      <c r="G581" s="84"/>
      <c r="H581" s="86" t="s">
        <v>99</v>
      </c>
      <c r="I581" s="87">
        <v>12000</v>
      </c>
      <c r="J581" s="84"/>
      <c r="K581" s="89"/>
      <c r="L581" s="90"/>
      <c r="M581" s="82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5"/>
    </row>
    <row r="582" s="63" customFormat="1" ht="14.4" customHeight="1" spans="1:31">
      <c r="A582" s="68">
        <v>581</v>
      </c>
      <c r="B582" s="69" t="s">
        <v>94</v>
      </c>
      <c r="C582" s="97" t="s">
        <v>277</v>
      </c>
      <c r="D582" s="97" t="s">
        <v>206</v>
      </c>
      <c r="E582" s="95" t="s">
        <v>115</v>
      </c>
      <c r="F582" s="96">
        <v>46180.4886805556</v>
      </c>
      <c r="G582" s="96">
        <v>46178.4888888889</v>
      </c>
      <c r="H582" s="118" t="s">
        <v>97</v>
      </c>
      <c r="I582" s="80">
        <v>16000</v>
      </c>
      <c r="J582" s="83" t="s">
        <v>116</v>
      </c>
      <c r="K582" s="95" t="s">
        <v>121</v>
      </c>
      <c r="L582" s="96">
        <v>46108.611875</v>
      </c>
      <c r="M582" s="96">
        <v>46108.7186342593</v>
      </c>
      <c r="N582" s="84"/>
      <c r="O582" s="84"/>
      <c r="P582" s="84"/>
      <c r="Q582" s="84"/>
      <c r="R582" s="84"/>
      <c r="S582" s="84"/>
      <c r="T582" s="105" t="s">
        <v>120</v>
      </c>
      <c r="U582" s="106">
        <v>46115.8335069444</v>
      </c>
      <c r="V582" s="106">
        <v>46114.8337152778</v>
      </c>
      <c r="W582" s="84"/>
      <c r="X582" s="84"/>
      <c r="Y582" s="84"/>
      <c r="Z582" s="84"/>
      <c r="AA582" s="84"/>
      <c r="AB582" s="84"/>
      <c r="AC582" s="84"/>
      <c r="AD582" s="84"/>
      <c r="AE582" s="85"/>
    </row>
    <row r="583" s="63" customFormat="1" ht="14.4" customHeight="1" spans="1:31">
      <c r="A583" s="68">
        <v>582</v>
      </c>
      <c r="B583" s="69" t="s">
        <v>94</v>
      </c>
      <c r="C583" s="97" t="s">
        <v>277</v>
      </c>
      <c r="D583" s="97" t="s">
        <v>207</v>
      </c>
      <c r="E583" s="95" t="s">
        <v>115</v>
      </c>
      <c r="F583" s="96">
        <v>46180.4957523148</v>
      </c>
      <c r="G583" s="96">
        <v>46178.4959606481</v>
      </c>
      <c r="H583" s="86" t="s">
        <v>99</v>
      </c>
      <c r="I583" s="87">
        <v>12000</v>
      </c>
      <c r="J583" s="83" t="s">
        <v>116</v>
      </c>
      <c r="K583" s="88" t="s">
        <v>117</v>
      </c>
      <c r="L583" s="91">
        <v>45561.5636689815</v>
      </c>
      <c r="M583" s="91">
        <v>45608.730625</v>
      </c>
      <c r="N583" s="84" t="s">
        <v>138</v>
      </c>
      <c r="O583" s="91">
        <v>45646.6181481481</v>
      </c>
      <c r="P583" s="91">
        <v>45652.6962962963</v>
      </c>
      <c r="Q583" s="95" t="s">
        <v>121</v>
      </c>
      <c r="R583" s="96">
        <v>46108.611875</v>
      </c>
      <c r="S583" s="96">
        <v>46108.7187615741</v>
      </c>
      <c r="T583" s="105" t="s">
        <v>120</v>
      </c>
      <c r="U583" s="106">
        <v>46115.8335069444</v>
      </c>
      <c r="V583" s="106">
        <v>46114.8337152778</v>
      </c>
      <c r="W583" s="84"/>
      <c r="X583" s="84"/>
      <c r="Y583" s="84"/>
      <c r="Z583" s="84"/>
      <c r="AA583" s="84"/>
      <c r="AB583" s="84"/>
      <c r="AC583" s="84"/>
      <c r="AD583" s="84"/>
      <c r="AE583" s="85"/>
    </row>
    <row r="584" s="63" customFormat="1" ht="14.4" customHeight="1" spans="1:31">
      <c r="A584" s="68">
        <v>583</v>
      </c>
      <c r="B584" s="69" t="s">
        <v>94</v>
      </c>
      <c r="C584" s="97" t="s">
        <v>277</v>
      </c>
      <c r="D584" s="97" t="s">
        <v>208</v>
      </c>
      <c r="E584" s="95" t="s">
        <v>115</v>
      </c>
      <c r="F584" s="96">
        <v>46237.7684143518</v>
      </c>
      <c r="G584" s="96">
        <v>46235.7686342593</v>
      </c>
      <c r="H584" s="86" t="s">
        <v>99</v>
      </c>
      <c r="I584" s="87">
        <v>12000</v>
      </c>
      <c r="J584" s="83" t="s">
        <v>116</v>
      </c>
      <c r="K584" s="88" t="s">
        <v>117</v>
      </c>
      <c r="L584" s="91">
        <v>45561.5636689815</v>
      </c>
      <c r="M584" s="91">
        <v>45608.730625</v>
      </c>
      <c r="N584" s="116" t="s">
        <v>138</v>
      </c>
      <c r="O584" s="119">
        <v>45646.6181481481</v>
      </c>
      <c r="P584" s="119">
        <v>45652.6962962963</v>
      </c>
      <c r="Q584" s="95" t="s">
        <v>117</v>
      </c>
      <c r="R584" s="96">
        <v>46179</v>
      </c>
      <c r="S584" s="96">
        <v>46182.5742476852</v>
      </c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5"/>
    </row>
    <row r="585" s="63" customFormat="1" ht="14.4" customHeight="1" spans="1:31">
      <c r="A585" s="68">
        <v>584</v>
      </c>
      <c r="B585" s="69" t="s">
        <v>94</v>
      </c>
      <c r="C585" s="97" t="s">
        <v>277</v>
      </c>
      <c r="D585" s="97" t="s">
        <v>209</v>
      </c>
      <c r="E585" s="95" t="s">
        <v>115</v>
      </c>
      <c r="F585" s="96">
        <v>46153.4768865741</v>
      </c>
      <c r="G585" s="96">
        <v>46151.4771064815</v>
      </c>
      <c r="H585" s="86" t="s">
        <v>99</v>
      </c>
      <c r="I585" s="87">
        <v>12000</v>
      </c>
      <c r="J585" s="83" t="s">
        <v>116</v>
      </c>
      <c r="K585" s="88" t="s">
        <v>117</v>
      </c>
      <c r="L585" s="91">
        <v>45561.5636689815</v>
      </c>
      <c r="M585" s="91">
        <v>45608.730625</v>
      </c>
      <c r="N585" s="84" t="s">
        <v>138</v>
      </c>
      <c r="O585" s="91">
        <v>45646.6181481481</v>
      </c>
      <c r="P585" s="91">
        <v>45652.6962962963</v>
      </c>
      <c r="Q585" s="95" t="s">
        <v>121</v>
      </c>
      <c r="R585" s="96">
        <v>46108.611875</v>
      </c>
      <c r="S585" s="96">
        <v>46108.718900463</v>
      </c>
      <c r="T585" s="105" t="s">
        <v>120</v>
      </c>
      <c r="U585" s="106">
        <v>46116.833587963</v>
      </c>
      <c r="V585" s="106">
        <v>46115.8338078704</v>
      </c>
      <c r="W585" s="84"/>
      <c r="X585" s="84"/>
      <c r="Y585" s="84"/>
      <c r="Z585" s="84"/>
      <c r="AA585" s="84"/>
      <c r="AB585" s="84"/>
      <c r="AC585" s="84"/>
      <c r="AD585" s="84"/>
      <c r="AE585" s="85"/>
    </row>
    <row r="586" s="63" customFormat="1" ht="14.4" customHeight="1" spans="1:31">
      <c r="A586" s="68">
        <v>585</v>
      </c>
      <c r="B586" s="69" t="s">
        <v>94</v>
      </c>
      <c r="C586" s="97" t="s">
        <v>277</v>
      </c>
      <c r="D586" s="97" t="s">
        <v>210</v>
      </c>
      <c r="E586" s="95" t="s">
        <v>115</v>
      </c>
      <c r="F586" s="96">
        <v>46153.487962963</v>
      </c>
      <c r="G586" s="96">
        <v>46151.4881828704</v>
      </c>
      <c r="H586" s="86" t="s">
        <v>99</v>
      </c>
      <c r="I586" s="87">
        <v>12000</v>
      </c>
      <c r="J586" s="83" t="s">
        <v>116</v>
      </c>
      <c r="K586" s="88" t="s">
        <v>117</v>
      </c>
      <c r="L586" s="91">
        <v>45561.5636689815</v>
      </c>
      <c r="M586" s="91">
        <v>45608.730625</v>
      </c>
      <c r="N586" s="84" t="s">
        <v>138</v>
      </c>
      <c r="O586" s="91">
        <v>45646.6181481481</v>
      </c>
      <c r="P586" s="91">
        <v>45652.6962962963</v>
      </c>
      <c r="Q586" s="95" t="s">
        <v>121</v>
      </c>
      <c r="R586" s="96">
        <v>46108.611875</v>
      </c>
      <c r="S586" s="96">
        <v>46112.4315972222</v>
      </c>
      <c r="T586" s="105" t="s">
        <v>120</v>
      </c>
      <c r="U586" s="106">
        <v>46119.8337152778</v>
      </c>
      <c r="V586" s="106">
        <v>46118.8339236111</v>
      </c>
      <c r="W586" s="84"/>
      <c r="X586" s="84"/>
      <c r="Y586" s="84"/>
      <c r="Z586" s="84"/>
      <c r="AA586" s="84"/>
      <c r="AB586" s="84"/>
      <c r="AC586" s="84"/>
      <c r="AD586" s="84"/>
      <c r="AE586" s="85"/>
    </row>
    <row r="587" s="63" customFormat="1" ht="14.4" customHeight="1" spans="1:31">
      <c r="A587" s="68">
        <v>586</v>
      </c>
      <c r="B587" s="69" t="s">
        <v>94</v>
      </c>
      <c r="C587" s="97" t="s">
        <v>277</v>
      </c>
      <c r="D587" s="97" t="s">
        <v>211</v>
      </c>
      <c r="E587" s="95" t="s">
        <v>115</v>
      </c>
      <c r="F587" s="96">
        <v>46235.4962962963</v>
      </c>
      <c r="G587" s="96">
        <v>46233.4965277778</v>
      </c>
      <c r="H587" s="86" t="s">
        <v>99</v>
      </c>
      <c r="I587" s="87">
        <v>12000</v>
      </c>
      <c r="J587" s="83" t="s">
        <v>116</v>
      </c>
      <c r="K587" s="88" t="s">
        <v>117</v>
      </c>
      <c r="L587" s="91">
        <v>45561.5636689815</v>
      </c>
      <c r="M587" s="91">
        <v>45608.730625</v>
      </c>
      <c r="N587" s="95" t="s">
        <v>117</v>
      </c>
      <c r="O587" s="96">
        <v>46152</v>
      </c>
      <c r="P587" s="96">
        <v>46153.6423611111</v>
      </c>
      <c r="Q587" s="84"/>
      <c r="R587" s="84"/>
      <c r="S587" s="84"/>
      <c r="T587" s="116" t="s">
        <v>138</v>
      </c>
      <c r="U587" s="119">
        <v>45646.6181481481</v>
      </c>
      <c r="V587" s="119">
        <v>45652.6962962963</v>
      </c>
      <c r="W587" s="84"/>
      <c r="X587" s="84"/>
      <c r="Y587" s="84"/>
      <c r="Z587" s="84"/>
      <c r="AA587" s="84"/>
      <c r="AB587" s="84"/>
      <c r="AC587" s="84"/>
      <c r="AD587" s="84"/>
      <c r="AE587" s="85"/>
    </row>
    <row r="588" s="63" customFormat="1" ht="14.4" customHeight="1" spans="1:31">
      <c r="A588" s="68">
        <v>587</v>
      </c>
      <c r="B588" s="69" t="s">
        <v>94</v>
      </c>
      <c r="C588" s="97" t="s">
        <v>277</v>
      </c>
      <c r="D588" s="97" t="s">
        <v>212</v>
      </c>
      <c r="E588" s="95" t="s">
        <v>115</v>
      </c>
      <c r="F588" s="96">
        <v>46153.4803356481</v>
      </c>
      <c r="G588" s="96">
        <v>46151.4805555556</v>
      </c>
      <c r="H588" s="86" t="s">
        <v>99</v>
      </c>
      <c r="I588" s="87">
        <v>12000</v>
      </c>
      <c r="J588" s="83" t="s">
        <v>116</v>
      </c>
      <c r="K588" s="88" t="s">
        <v>117</v>
      </c>
      <c r="L588" s="91">
        <v>45561.5636689815</v>
      </c>
      <c r="M588" s="91">
        <v>45608.730625</v>
      </c>
      <c r="N588" s="84" t="s">
        <v>138</v>
      </c>
      <c r="O588" s="91">
        <v>45646.6181481481</v>
      </c>
      <c r="P588" s="91">
        <v>45652.6962962963</v>
      </c>
      <c r="Q588" s="95" t="s">
        <v>121</v>
      </c>
      <c r="R588" s="96">
        <v>46108.611875</v>
      </c>
      <c r="S588" s="96">
        <v>46112.4317824074</v>
      </c>
      <c r="T588" s="105" t="s">
        <v>120</v>
      </c>
      <c r="U588" s="106">
        <v>46117.8336111111</v>
      </c>
      <c r="V588" s="106">
        <v>46116.8338310185</v>
      </c>
      <c r="W588" s="84"/>
      <c r="X588" s="84"/>
      <c r="Y588" s="84"/>
      <c r="Z588" s="84"/>
      <c r="AA588" s="84"/>
      <c r="AB588" s="84"/>
      <c r="AC588" s="84"/>
      <c r="AD588" s="84"/>
      <c r="AE588" s="85"/>
    </row>
    <row r="589" s="63" customFormat="1" ht="14.4" customHeight="1" spans="1:31">
      <c r="A589" s="68">
        <v>588</v>
      </c>
      <c r="B589" s="69" t="s">
        <v>94</v>
      </c>
      <c r="C589" s="97" t="s">
        <v>277</v>
      </c>
      <c r="D589" s="97" t="s">
        <v>213</v>
      </c>
      <c r="E589" s="95" t="s">
        <v>115</v>
      </c>
      <c r="F589" s="96">
        <v>46153.484375</v>
      </c>
      <c r="G589" s="96">
        <v>46151.4845949074</v>
      </c>
      <c r="H589" s="86" t="s">
        <v>99</v>
      </c>
      <c r="I589" s="87">
        <v>12000</v>
      </c>
      <c r="J589" s="83" t="s">
        <v>116</v>
      </c>
      <c r="K589" s="88" t="s">
        <v>117</v>
      </c>
      <c r="L589" s="91">
        <v>45561.5636689815</v>
      </c>
      <c r="M589" s="91">
        <v>45608.730625</v>
      </c>
      <c r="N589" s="84" t="s">
        <v>138</v>
      </c>
      <c r="O589" s="91">
        <v>45646.6181481481</v>
      </c>
      <c r="P589" s="91">
        <v>45652.6962962963</v>
      </c>
      <c r="Q589" s="95" t="s">
        <v>121</v>
      </c>
      <c r="R589" s="96">
        <v>46108.611875</v>
      </c>
      <c r="S589" s="96">
        <v>46108.7191087963</v>
      </c>
      <c r="T589" s="105" t="s">
        <v>120</v>
      </c>
      <c r="U589" s="106">
        <v>46115.8335069444</v>
      </c>
      <c r="V589" s="106">
        <v>46114.8337152778</v>
      </c>
      <c r="W589" s="84"/>
      <c r="X589" s="84"/>
      <c r="Y589" s="84"/>
      <c r="Z589" s="84"/>
      <c r="AA589" s="84"/>
      <c r="AB589" s="84"/>
      <c r="AC589" s="84"/>
      <c r="AD589" s="84"/>
      <c r="AE589" s="85"/>
    </row>
    <row r="590" s="63" customFormat="1" ht="14.4" customHeight="1" spans="1:31">
      <c r="A590" s="68">
        <v>589</v>
      </c>
      <c r="B590" s="69" t="s">
        <v>94</v>
      </c>
      <c r="C590" s="97" t="s">
        <v>277</v>
      </c>
      <c r="D590" s="97" t="s">
        <v>214</v>
      </c>
      <c r="E590" s="95" t="s">
        <v>115</v>
      </c>
      <c r="F590" s="96">
        <v>46238.5287847222</v>
      </c>
      <c r="G590" s="96">
        <v>46236.5290162037</v>
      </c>
      <c r="H590" s="86" t="s">
        <v>99</v>
      </c>
      <c r="I590" s="87">
        <v>12000</v>
      </c>
      <c r="J590" s="83" t="s">
        <v>116</v>
      </c>
      <c r="K590" s="88" t="s">
        <v>117</v>
      </c>
      <c r="L590" s="91">
        <v>45561.5636689815</v>
      </c>
      <c r="M590" s="91">
        <v>45608.730625</v>
      </c>
      <c r="N590" s="95" t="s">
        <v>117</v>
      </c>
      <c r="O590" s="96">
        <v>46152</v>
      </c>
      <c r="P590" s="96">
        <v>46153.6424074074</v>
      </c>
      <c r="Q590" s="84"/>
      <c r="R590" s="84"/>
      <c r="S590" s="84"/>
      <c r="T590" s="116" t="s">
        <v>138</v>
      </c>
      <c r="U590" s="119">
        <v>45646.6181481481</v>
      </c>
      <c r="V590" s="119">
        <v>45652.6962962963</v>
      </c>
      <c r="W590" s="84"/>
      <c r="X590" s="84"/>
      <c r="Y590" s="84"/>
      <c r="Z590" s="84"/>
      <c r="AA590" s="84"/>
      <c r="AB590" s="84"/>
      <c r="AC590" s="84"/>
      <c r="AD590" s="84"/>
      <c r="AE590" s="85"/>
    </row>
    <row r="591" s="63" customFormat="1" ht="14.4" customHeight="1" spans="1:31">
      <c r="A591" s="68">
        <v>590</v>
      </c>
      <c r="B591" s="69" t="s">
        <v>94</v>
      </c>
      <c r="C591" s="70" t="s">
        <v>277</v>
      </c>
      <c r="D591" s="84" t="s">
        <v>215</v>
      </c>
      <c r="E591" s="84" t="s">
        <v>138</v>
      </c>
      <c r="F591" s="91">
        <v>45653.6181365741</v>
      </c>
      <c r="G591" s="91">
        <v>45656.6812037037</v>
      </c>
      <c r="H591" s="86" t="s">
        <v>99</v>
      </c>
      <c r="I591" s="87">
        <v>12000</v>
      </c>
      <c r="J591" s="83" t="s">
        <v>116</v>
      </c>
      <c r="K591" s="88" t="s">
        <v>117</v>
      </c>
      <c r="L591" s="91">
        <v>45603.6737731481</v>
      </c>
      <c r="M591" s="91">
        <v>45615.7382291667</v>
      </c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5"/>
    </row>
    <row r="592" s="63" customFormat="1" ht="14.4" customHeight="1" spans="1:31">
      <c r="A592" s="68">
        <v>591</v>
      </c>
      <c r="B592" s="69" t="s">
        <v>94</v>
      </c>
      <c r="C592" s="70" t="s">
        <v>277</v>
      </c>
      <c r="D592" s="84" t="s">
        <v>216</v>
      </c>
      <c r="E592" s="88"/>
      <c r="F592" s="84"/>
      <c r="G592" s="84"/>
      <c r="H592" s="86" t="s">
        <v>99</v>
      </c>
      <c r="I592" s="87">
        <v>12000</v>
      </c>
      <c r="J592" s="84"/>
      <c r="K592" s="89"/>
      <c r="L592" s="90"/>
      <c r="M592" s="82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5"/>
    </row>
    <row r="593" s="63" customFormat="1" ht="14.4" customHeight="1" spans="1:31">
      <c r="A593" s="68">
        <v>592</v>
      </c>
      <c r="B593" s="69" t="s">
        <v>94</v>
      </c>
      <c r="C593" s="70" t="s">
        <v>277</v>
      </c>
      <c r="D593" s="84" t="s">
        <v>217</v>
      </c>
      <c r="E593" s="88"/>
      <c r="F593" s="84"/>
      <c r="G593" s="84"/>
      <c r="H593" s="86" t="s">
        <v>99</v>
      </c>
      <c r="I593" s="87">
        <v>12000</v>
      </c>
      <c r="J593" s="84"/>
      <c r="K593" s="89"/>
      <c r="L593" s="90"/>
      <c r="M593" s="82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5"/>
    </row>
    <row r="594" s="63" customFormat="1" ht="14.4" customHeight="1" spans="1:31">
      <c r="A594" s="68">
        <v>593</v>
      </c>
      <c r="B594" s="69" t="s">
        <v>94</v>
      </c>
      <c r="C594" s="70" t="s">
        <v>277</v>
      </c>
      <c r="D594" s="84" t="s">
        <v>218</v>
      </c>
      <c r="E594" s="88"/>
      <c r="F594" s="84"/>
      <c r="G594" s="84"/>
      <c r="H594" s="86" t="s">
        <v>99</v>
      </c>
      <c r="I594" s="87">
        <v>12000</v>
      </c>
      <c r="J594" s="84"/>
      <c r="K594" s="89"/>
      <c r="L594" s="90"/>
      <c r="M594" s="82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5"/>
    </row>
    <row r="595" s="63" customFormat="1" ht="14.4" customHeight="1" spans="1:31">
      <c r="A595" s="68">
        <v>594</v>
      </c>
      <c r="B595" s="69" t="s">
        <v>94</v>
      </c>
      <c r="C595" s="70" t="s">
        <v>277</v>
      </c>
      <c r="D595" s="84" t="s">
        <v>219</v>
      </c>
      <c r="E595" s="88"/>
      <c r="F595" s="84"/>
      <c r="G595" s="84"/>
      <c r="H595" s="86" t="s">
        <v>99</v>
      </c>
      <c r="I595" s="87">
        <v>12000</v>
      </c>
      <c r="J595" s="84"/>
      <c r="K595" s="89"/>
      <c r="L595" s="90"/>
      <c r="M595" s="82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5"/>
    </row>
    <row r="596" s="63" customFormat="1" ht="14.4" customHeight="1" spans="1:31">
      <c r="A596" s="68">
        <v>595</v>
      </c>
      <c r="B596" s="69" t="s">
        <v>94</v>
      </c>
      <c r="C596" s="70" t="s">
        <v>277</v>
      </c>
      <c r="D596" s="84" t="s">
        <v>220</v>
      </c>
      <c r="E596" s="88"/>
      <c r="F596" s="84"/>
      <c r="G596" s="84"/>
      <c r="H596" s="86" t="s">
        <v>99</v>
      </c>
      <c r="I596" s="87">
        <v>12000</v>
      </c>
      <c r="J596" s="84"/>
      <c r="K596" s="89"/>
      <c r="L596" s="90"/>
      <c r="M596" s="82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5"/>
    </row>
    <row r="597" s="63" customFormat="1" ht="14.4" customHeight="1" spans="1:31">
      <c r="A597" s="68">
        <v>596</v>
      </c>
      <c r="B597" s="69" t="s">
        <v>94</v>
      </c>
      <c r="C597" s="70" t="s">
        <v>277</v>
      </c>
      <c r="D597" s="84" t="s">
        <v>221</v>
      </c>
      <c r="E597" s="88"/>
      <c r="F597" s="84"/>
      <c r="G597" s="84"/>
      <c r="H597" s="86" t="s">
        <v>99</v>
      </c>
      <c r="I597" s="87">
        <v>12000</v>
      </c>
      <c r="J597" s="84"/>
      <c r="K597" s="89"/>
      <c r="L597" s="90"/>
      <c r="M597" s="82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5"/>
    </row>
    <row r="598" s="63" customFormat="1" ht="14.4" customHeight="1" spans="1:31">
      <c r="A598" s="68">
        <v>597</v>
      </c>
      <c r="B598" s="69" t="s">
        <v>94</v>
      </c>
      <c r="C598" s="70" t="s">
        <v>277</v>
      </c>
      <c r="D598" s="84" t="s">
        <v>222</v>
      </c>
      <c r="E598" s="88"/>
      <c r="F598" s="84"/>
      <c r="G598" s="84"/>
      <c r="H598" s="79" t="s">
        <v>97</v>
      </c>
      <c r="I598" s="80">
        <v>16000</v>
      </c>
      <c r="J598" s="84"/>
      <c r="K598" s="89"/>
      <c r="L598" s="90"/>
      <c r="M598" s="82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  <c r="AA598" s="84"/>
      <c r="AB598" s="84"/>
      <c r="AC598" s="84"/>
      <c r="AD598" s="84"/>
      <c r="AE598" s="85"/>
    </row>
    <row r="599" s="63" customFormat="1" ht="14.4" customHeight="1" spans="1:31">
      <c r="A599" s="68">
        <v>598</v>
      </c>
      <c r="B599" s="69" t="s">
        <v>94</v>
      </c>
      <c r="C599" s="70" t="s">
        <v>277</v>
      </c>
      <c r="D599" s="84" t="s">
        <v>223</v>
      </c>
      <c r="E599" s="84" t="s">
        <v>138</v>
      </c>
      <c r="F599" s="91">
        <v>45646.6181481481</v>
      </c>
      <c r="G599" s="91">
        <v>45652.6962962963</v>
      </c>
      <c r="H599" s="86" t="s">
        <v>99</v>
      </c>
      <c r="I599" s="87">
        <v>12000</v>
      </c>
      <c r="J599" s="83" t="s">
        <v>116</v>
      </c>
      <c r="K599" s="88" t="s">
        <v>117</v>
      </c>
      <c r="L599" s="91">
        <v>45561.5636689815</v>
      </c>
      <c r="M599" s="91">
        <v>45608.730625</v>
      </c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5"/>
    </row>
    <row r="600" s="63" customFormat="1" ht="14.4" customHeight="1" spans="1:31">
      <c r="A600" s="68">
        <v>599</v>
      </c>
      <c r="B600" s="69" t="s">
        <v>94</v>
      </c>
      <c r="C600" s="70" t="s">
        <v>277</v>
      </c>
      <c r="D600" s="84" t="s">
        <v>224</v>
      </c>
      <c r="E600" s="84" t="s">
        <v>138</v>
      </c>
      <c r="F600" s="91">
        <v>45646.6181481481</v>
      </c>
      <c r="G600" s="91">
        <v>45652.6962962963</v>
      </c>
      <c r="H600" s="86" t="s">
        <v>99</v>
      </c>
      <c r="I600" s="87">
        <v>12000</v>
      </c>
      <c r="J600" s="83" t="s">
        <v>116</v>
      </c>
      <c r="K600" s="88" t="s">
        <v>117</v>
      </c>
      <c r="L600" s="91">
        <v>45561.5636689815</v>
      </c>
      <c r="M600" s="91">
        <v>45608.730625</v>
      </c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5"/>
    </row>
    <row r="601" s="63" customFormat="1" ht="14.4" customHeight="1" spans="1:31">
      <c r="A601" s="68">
        <v>600</v>
      </c>
      <c r="B601" s="69" t="s">
        <v>94</v>
      </c>
      <c r="C601" s="70" t="s">
        <v>277</v>
      </c>
      <c r="D601" s="84" t="s">
        <v>225</v>
      </c>
      <c r="E601" s="84" t="s">
        <v>138</v>
      </c>
      <c r="F601" s="91">
        <v>45646.6181481481</v>
      </c>
      <c r="G601" s="91">
        <v>45652.6962962963</v>
      </c>
      <c r="H601" s="86" t="s">
        <v>99</v>
      </c>
      <c r="I601" s="87">
        <v>12000</v>
      </c>
      <c r="J601" s="83" t="s">
        <v>116</v>
      </c>
      <c r="K601" s="88" t="s">
        <v>117</v>
      </c>
      <c r="L601" s="91">
        <v>45561.5636689815</v>
      </c>
      <c r="M601" s="91">
        <v>45608.730625</v>
      </c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5"/>
    </row>
    <row r="602" s="63" customFormat="1" ht="14.4" customHeight="1" spans="1:31">
      <c r="A602" s="68">
        <v>601</v>
      </c>
      <c r="B602" s="69" t="s">
        <v>94</v>
      </c>
      <c r="C602" s="70" t="s">
        <v>277</v>
      </c>
      <c r="D602" s="84" t="s">
        <v>226</v>
      </c>
      <c r="E602" s="84" t="s">
        <v>138</v>
      </c>
      <c r="F602" s="91">
        <v>45646.6181481481</v>
      </c>
      <c r="G602" s="91">
        <v>45652.6962962963</v>
      </c>
      <c r="H602" s="86" t="s">
        <v>99</v>
      </c>
      <c r="I602" s="87">
        <v>12000</v>
      </c>
      <c r="J602" s="83" t="s">
        <v>116</v>
      </c>
      <c r="K602" s="88" t="s">
        <v>117</v>
      </c>
      <c r="L602" s="91">
        <v>45561.5636689815</v>
      </c>
      <c r="M602" s="91">
        <v>45608.730625</v>
      </c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5"/>
    </row>
    <row r="603" s="63" customFormat="1" ht="14.4" customHeight="1" spans="1:31">
      <c r="A603" s="68">
        <v>602</v>
      </c>
      <c r="B603" s="69" t="s">
        <v>94</v>
      </c>
      <c r="C603" s="70" t="s">
        <v>277</v>
      </c>
      <c r="D603" s="84" t="s">
        <v>227</v>
      </c>
      <c r="E603" s="84" t="s">
        <v>138</v>
      </c>
      <c r="F603" s="91">
        <v>45646.6181481481</v>
      </c>
      <c r="G603" s="91">
        <v>45652.6962962963</v>
      </c>
      <c r="H603" s="86" t="s">
        <v>99</v>
      </c>
      <c r="I603" s="87">
        <v>12000</v>
      </c>
      <c r="J603" s="83" t="s">
        <v>116</v>
      </c>
      <c r="K603" s="88" t="s">
        <v>117</v>
      </c>
      <c r="L603" s="91">
        <v>45561.5636689815</v>
      </c>
      <c r="M603" s="91">
        <v>45608.730625</v>
      </c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5"/>
    </row>
    <row r="604" s="63" customFormat="1" ht="14.4" customHeight="1" spans="1:31">
      <c r="A604" s="68">
        <v>603</v>
      </c>
      <c r="B604" s="69" t="s">
        <v>94</v>
      </c>
      <c r="C604" s="70" t="s">
        <v>277</v>
      </c>
      <c r="D604" s="84" t="s">
        <v>228</v>
      </c>
      <c r="E604" s="84" t="s">
        <v>138</v>
      </c>
      <c r="F604" s="91">
        <v>45646.6181481481</v>
      </c>
      <c r="G604" s="91">
        <v>45652.6962962963</v>
      </c>
      <c r="H604" s="86" t="s">
        <v>99</v>
      </c>
      <c r="I604" s="87">
        <v>12000</v>
      </c>
      <c r="J604" s="83" t="s">
        <v>116</v>
      </c>
      <c r="K604" s="88" t="s">
        <v>117</v>
      </c>
      <c r="L604" s="91">
        <v>45561.5636689815</v>
      </c>
      <c r="M604" s="91">
        <v>45608.730625</v>
      </c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5"/>
    </row>
    <row r="605" s="63" customFormat="1" ht="14.4" customHeight="1" spans="1:31">
      <c r="A605" s="68">
        <v>604</v>
      </c>
      <c r="B605" s="69" t="s">
        <v>94</v>
      </c>
      <c r="C605" s="70" t="s">
        <v>277</v>
      </c>
      <c r="D605" s="84" t="s">
        <v>229</v>
      </c>
      <c r="E605" s="84" t="s">
        <v>138</v>
      </c>
      <c r="F605" s="91">
        <v>45646.6181481481</v>
      </c>
      <c r="G605" s="91">
        <v>45652.6962962963</v>
      </c>
      <c r="H605" s="86" t="s">
        <v>99</v>
      </c>
      <c r="I605" s="87">
        <v>12000</v>
      </c>
      <c r="J605" s="83" t="s">
        <v>116</v>
      </c>
      <c r="K605" s="88" t="s">
        <v>117</v>
      </c>
      <c r="L605" s="91">
        <v>45561.5636689815</v>
      </c>
      <c r="M605" s="91">
        <v>45608.730625</v>
      </c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5"/>
    </row>
    <row r="606" s="63" customFormat="1" ht="14.4" customHeight="1" spans="1:31">
      <c r="A606" s="68">
        <v>605</v>
      </c>
      <c r="B606" s="69" t="s">
        <v>94</v>
      </c>
      <c r="C606" s="70" t="s">
        <v>277</v>
      </c>
      <c r="D606" s="84" t="s">
        <v>230</v>
      </c>
      <c r="E606" s="84" t="s">
        <v>138</v>
      </c>
      <c r="F606" s="91">
        <v>45646.6181481481</v>
      </c>
      <c r="G606" s="91">
        <v>45652.6962962963</v>
      </c>
      <c r="H606" s="86" t="s">
        <v>99</v>
      </c>
      <c r="I606" s="87">
        <v>12000</v>
      </c>
      <c r="J606" s="83" t="s">
        <v>116</v>
      </c>
      <c r="K606" s="88" t="s">
        <v>117</v>
      </c>
      <c r="L606" s="91">
        <v>45561.5636689815</v>
      </c>
      <c r="M606" s="91">
        <v>45608.730625</v>
      </c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5"/>
    </row>
    <row r="607" s="63" customFormat="1" ht="14.4" customHeight="1" spans="1:31">
      <c r="A607" s="68">
        <v>606</v>
      </c>
      <c r="B607" s="69" t="s">
        <v>94</v>
      </c>
      <c r="C607" s="70" t="s">
        <v>277</v>
      </c>
      <c r="D607" s="84" t="s">
        <v>231</v>
      </c>
      <c r="E607" s="84" t="s">
        <v>138</v>
      </c>
      <c r="F607" s="91">
        <v>45646.6181481481</v>
      </c>
      <c r="G607" s="91">
        <v>45652.6962962963</v>
      </c>
      <c r="H607" s="86" t="s">
        <v>99</v>
      </c>
      <c r="I607" s="87">
        <v>12000</v>
      </c>
      <c r="J607" s="83" t="s">
        <v>116</v>
      </c>
      <c r="K607" s="88" t="s">
        <v>117</v>
      </c>
      <c r="L607" s="91">
        <v>45561.5636689815</v>
      </c>
      <c r="M607" s="91">
        <v>45608.730625</v>
      </c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5"/>
    </row>
    <row r="608" s="63" customFormat="1" ht="14.4" customHeight="1" spans="1:31">
      <c r="A608" s="68">
        <v>607</v>
      </c>
      <c r="B608" s="69" t="s">
        <v>94</v>
      </c>
      <c r="C608" s="70" t="s">
        <v>277</v>
      </c>
      <c r="D608" s="84" t="s">
        <v>232</v>
      </c>
      <c r="E608" s="88"/>
      <c r="F608" s="84"/>
      <c r="G608" s="84"/>
      <c r="H608" s="86" t="s">
        <v>99</v>
      </c>
      <c r="I608" s="87">
        <v>12000</v>
      </c>
      <c r="J608" s="84"/>
      <c r="K608" s="89"/>
      <c r="L608" s="90"/>
      <c r="M608" s="82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5"/>
    </row>
    <row r="609" s="63" customFormat="1" ht="14.4" customHeight="1" spans="1:31">
      <c r="A609" s="68">
        <v>608</v>
      </c>
      <c r="B609" s="69" t="s">
        <v>94</v>
      </c>
      <c r="C609" s="70" t="s">
        <v>277</v>
      </c>
      <c r="D609" s="84" t="s">
        <v>233</v>
      </c>
      <c r="E609" s="88"/>
      <c r="F609" s="84"/>
      <c r="G609" s="84"/>
      <c r="H609" s="86" t="s">
        <v>99</v>
      </c>
      <c r="I609" s="87">
        <v>12000</v>
      </c>
      <c r="J609" s="84"/>
      <c r="K609" s="89"/>
      <c r="L609" s="90"/>
      <c r="M609" s="82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5"/>
    </row>
    <row r="610" s="63" customFormat="1" ht="14.4" customHeight="1" spans="1:31">
      <c r="A610" s="68">
        <v>609</v>
      </c>
      <c r="B610" s="69" t="s">
        <v>94</v>
      </c>
      <c r="C610" s="70" t="s">
        <v>277</v>
      </c>
      <c r="D610" s="84" t="s">
        <v>234</v>
      </c>
      <c r="E610" s="88"/>
      <c r="F610" s="84"/>
      <c r="G610" s="84"/>
      <c r="H610" s="86" t="s">
        <v>99</v>
      </c>
      <c r="I610" s="87">
        <v>12000</v>
      </c>
      <c r="J610" s="84"/>
      <c r="K610" s="89"/>
      <c r="L610" s="90"/>
      <c r="M610" s="82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5"/>
    </row>
    <row r="611" s="63" customFormat="1" ht="14.4" customHeight="1" spans="1:31">
      <c r="A611" s="68">
        <v>610</v>
      </c>
      <c r="B611" s="69" t="s">
        <v>94</v>
      </c>
      <c r="C611" s="70" t="s">
        <v>277</v>
      </c>
      <c r="D611" s="84" t="s">
        <v>235</v>
      </c>
      <c r="E611" s="88"/>
      <c r="F611" s="84"/>
      <c r="G611" s="84"/>
      <c r="H611" s="86" t="s">
        <v>99</v>
      </c>
      <c r="I611" s="87">
        <v>12000</v>
      </c>
      <c r="J611" s="84"/>
      <c r="K611" s="89"/>
      <c r="L611" s="90"/>
      <c r="M611" s="82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5"/>
    </row>
    <row r="612" s="63" customFormat="1" ht="14.4" customHeight="1" spans="1:31">
      <c r="A612" s="68">
        <v>611</v>
      </c>
      <c r="B612" s="69" t="s">
        <v>94</v>
      </c>
      <c r="C612" s="70" t="s">
        <v>277</v>
      </c>
      <c r="D612" s="84" t="s">
        <v>236</v>
      </c>
      <c r="E612" s="88"/>
      <c r="F612" s="84"/>
      <c r="G612" s="84"/>
      <c r="H612" s="86" t="s">
        <v>99</v>
      </c>
      <c r="I612" s="87">
        <v>12000</v>
      </c>
      <c r="J612" s="84"/>
      <c r="K612" s="89"/>
      <c r="L612" s="90"/>
      <c r="M612" s="82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5"/>
    </row>
    <row r="613" s="63" customFormat="1" ht="14.4" customHeight="1" spans="1:31">
      <c r="A613" s="68">
        <v>612</v>
      </c>
      <c r="B613" s="69" t="s">
        <v>94</v>
      </c>
      <c r="C613" s="70" t="s">
        <v>277</v>
      </c>
      <c r="D613" s="84" t="s">
        <v>237</v>
      </c>
      <c r="E613" s="88"/>
      <c r="F613" s="84"/>
      <c r="G613" s="84"/>
      <c r="H613" s="86" t="s">
        <v>99</v>
      </c>
      <c r="I613" s="87">
        <v>12000</v>
      </c>
      <c r="J613" s="84"/>
      <c r="K613" s="89"/>
      <c r="L613" s="90"/>
      <c r="M613" s="82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5"/>
    </row>
    <row r="614" s="63" customFormat="1" ht="14.4" customHeight="1" spans="1:31">
      <c r="A614" s="68">
        <v>613</v>
      </c>
      <c r="B614" s="69" t="s">
        <v>94</v>
      </c>
      <c r="C614" s="70" t="s">
        <v>277</v>
      </c>
      <c r="D614" s="84" t="s">
        <v>238</v>
      </c>
      <c r="E614" s="88"/>
      <c r="F614" s="84"/>
      <c r="G614" s="84"/>
      <c r="H614" s="86" t="s">
        <v>99</v>
      </c>
      <c r="I614" s="87">
        <v>12000</v>
      </c>
      <c r="J614" s="84"/>
      <c r="K614" s="89"/>
      <c r="L614" s="90"/>
      <c r="M614" s="82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5"/>
    </row>
    <row r="615" s="63" customFormat="1" ht="14.4" customHeight="1" spans="1:31">
      <c r="A615" s="68">
        <v>614</v>
      </c>
      <c r="B615" s="69" t="s">
        <v>94</v>
      </c>
      <c r="C615" s="70" t="s">
        <v>277</v>
      </c>
      <c r="D615" s="84" t="s">
        <v>239</v>
      </c>
      <c r="E615" s="88"/>
      <c r="F615" s="84"/>
      <c r="G615" s="84"/>
      <c r="H615" s="86" t="s">
        <v>99</v>
      </c>
      <c r="I615" s="87">
        <v>12000</v>
      </c>
      <c r="J615" s="84"/>
      <c r="K615" s="89"/>
      <c r="L615" s="90"/>
      <c r="M615" s="82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5"/>
    </row>
    <row r="616" s="63" customFormat="1" ht="14.4" customHeight="1" spans="1:31">
      <c r="A616" s="68">
        <v>615</v>
      </c>
      <c r="B616" s="69" t="s">
        <v>94</v>
      </c>
      <c r="C616" s="70" t="s">
        <v>277</v>
      </c>
      <c r="D616" s="84" t="s">
        <v>240</v>
      </c>
      <c r="E616" s="88"/>
      <c r="F616" s="84"/>
      <c r="G616" s="84"/>
      <c r="H616" s="79" t="s">
        <v>97</v>
      </c>
      <c r="I616" s="80">
        <v>16000</v>
      </c>
      <c r="J616" s="84"/>
      <c r="K616" s="89"/>
      <c r="L616" s="90"/>
      <c r="M616" s="82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5"/>
    </row>
    <row r="617" s="63" customFormat="1" ht="14.4" customHeight="1" spans="1:31">
      <c r="A617" s="68">
        <v>616</v>
      </c>
      <c r="B617" s="69" t="s">
        <v>94</v>
      </c>
      <c r="C617" s="70" t="s">
        <v>277</v>
      </c>
      <c r="D617" s="84" t="s">
        <v>241</v>
      </c>
      <c r="E617" s="84" t="s">
        <v>138</v>
      </c>
      <c r="F617" s="91">
        <v>45646.6181481481</v>
      </c>
      <c r="G617" s="91">
        <v>45652.6962962963</v>
      </c>
      <c r="H617" s="86" t="s">
        <v>99</v>
      </c>
      <c r="I617" s="87">
        <v>12000</v>
      </c>
      <c r="J617" s="83" t="s">
        <v>116</v>
      </c>
      <c r="K617" s="88" t="s">
        <v>117</v>
      </c>
      <c r="L617" s="91">
        <v>45561.5636689815</v>
      </c>
      <c r="M617" s="91">
        <v>45608.730625</v>
      </c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5"/>
    </row>
    <row r="618" s="63" customFormat="1" ht="14.4" customHeight="1" spans="1:31">
      <c r="A618" s="68">
        <v>617</v>
      </c>
      <c r="B618" s="69" t="s">
        <v>94</v>
      </c>
      <c r="C618" s="70" t="s">
        <v>277</v>
      </c>
      <c r="D618" s="84" t="s">
        <v>242</v>
      </c>
      <c r="E618" s="84" t="s">
        <v>138</v>
      </c>
      <c r="F618" s="91">
        <v>45646.6181481481</v>
      </c>
      <c r="G618" s="91">
        <v>45652.6962962963</v>
      </c>
      <c r="H618" s="86" t="s">
        <v>99</v>
      </c>
      <c r="I618" s="87">
        <v>12000</v>
      </c>
      <c r="J618" s="83" t="s">
        <v>116</v>
      </c>
      <c r="K618" s="88" t="s">
        <v>117</v>
      </c>
      <c r="L618" s="91">
        <v>45561.5636689815</v>
      </c>
      <c r="M618" s="91">
        <v>45608.730625</v>
      </c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5"/>
    </row>
    <row r="619" s="63" customFormat="1" ht="14.4" customHeight="1" spans="1:31">
      <c r="A619" s="68">
        <v>618</v>
      </c>
      <c r="B619" s="69" t="s">
        <v>94</v>
      </c>
      <c r="C619" s="70" t="s">
        <v>277</v>
      </c>
      <c r="D619" s="84" t="s">
        <v>243</v>
      </c>
      <c r="E619" s="84" t="s">
        <v>138</v>
      </c>
      <c r="F619" s="91">
        <v>45646.6181481481</v>
      </c>
      <c r="G619" s="91">
        <v>45652.6962962963</v>
      </c>
      <c r="H619" s="86" t="s">
        <v>99</v>
      </c>
      <c r="I619" s="87">
        <v>12000</v>
      </c>
      <c r="J619" s="83" t="s">
        <v>116</v>
      </c>
      <c r="K619" s="88" t="s">
        <v>117</v>
      </c>
      <c r="L619" s="91">
        <v>45561.5636689815</v>
      </c>
      <c r="M619" s="91">
        <v>45608.730625</v>
      </c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5"/>
    </row>
    <row r="620" s="63" customFormat="1" ht="14.4" customHeight="1" spans="1:31">
      <c r="A620" s="68">
        <v>619</v>
      </c>
      <c r="B620" s="69" t="s">
        <v>94</v>
      </c>
      <c r="C620" s="70" t="s">
        <v>277</v>
      </c>
      <c r="D620" s="84" t="s">
        <v>244</v>
      </c>
      <c r="E620" s="84" t="s">
        <v>138</v>
      </c>
      <c r="F620" s="91">
        <v>45646.6181481481</v>
      </c>
      <c r="G620" s="91">
        <v>45652.6962962963</v>
      </c>
      <c r="H620" s="86" t="s">
        <v>99</v>
      </c>
      <c r="I620" s="87">
        <v>12000</v>
      </c>
      <c r="J620" s="83" t="s">
        <v>116</v>
      </c>
      <c r="K620" s="88" t="s">
        <v>117</v>
      </c>
      <c r="L620" s="91">
        <v>45561.5636689815</v>
      </c>
      <c r="M620" s="91">
        <v>45608.730625</v>
      </c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5"/>
    </row>
    <row r="621" s="63" customFormat="1" ht="14.4" customHeight="1" spans="1:31">
      <c r="A621" s="68">
        <v>620</v>
      </c>
      <c r="B621" s="69" t="s">
        <v>94</v>
      </c>
      <c r="C621" s="70" t="s">
        <v>277</v>
      </c>
      <c r="D621" s="84" t="s">
        <v>245</v>
      </c>
      <c r="E621" s="88"/>
      <c r="F621" s="84"/>
      <c r="G621" s="84"/>
      <c r="H621" s="86" t="s">
        <v>99</v>
      </c>
      <c r="I621" s="87">
        <v>12000</v>
      </c>
      <c r="J621" s="84"/>
      <c r="K621" s="89"/>
      <c r="L621" s="90"/>
      <c r="M621" s="82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5"/>
    </row>
    <row r="622" s="63" customFormat="1" ht="14.4" customHeight="1" spans="1:31">
      <c r="A622" s="68">
        <v>621</v>
      </c>
      <c r="B622" s="69" t="s">
        <v>94</v>
      </c>
      <c r="C622" s="70" t="s">
        <v>277</v>
      </c>
      <c r="D622" s="84" t="s">
        <v>246</v>
      </c>
      <c r="E622" s="84" t="s">
        <v>138</v>
      </c>
      <c r="F622" s="91">
        <v>45646.6181481481</v>
      </c>
      <c r="G622" s="91">
        <v>45652.6962962963</v>
      </c>
      <c r="H622" s="86" t="s">
        <v>99</v>
      </c>
      <c r="I622" s="87">
        <v>12000</v>
      </c>
      <c r="J622" s="83" t="s">
        <v>116</v>
      </c>
      <c r="K622" s="88" t="s">
        <v>117</v>
      </c>
      <c r="L622" s="91">
        <v>45561.5636689815</v>
      </c>
      <c r="M622" s="91">
        <v>45608.730625</v>
      </c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5"/>
    </row>
    <row r="623" s="63" customFormat="1" ht="14.4" customHeight="1" spans="1:31">
      <c r="A623" s="68">
        <v>622</v>
      </c>
      <c r="B623" s="69" t="s">
        <v>94</v>
      </c>
      <c r="C623" s="70" t="s">
        <v>277</v>
      </c>
      <c r="D623" s="84" t="s">
        <v>247</v>
      </c>
      <c r="E623" s="84" t="s">
        <v>138</v>
      </c>
      <c r="F623" s="91">
        <v>45646.6181481481</v>
      </c>
      <c r="G623" s="91">
        <v>45652.6962962963</v>
      </c>
      <c r="H623" s="86" t="s">
        <v>99</v>
      </c>
      <c r="I623" s="87">
        <v>12000</v>
      </c>
      <c r="J623" s="83" t="s">
        <v>116</v>
      </c>
      <c r="K623" s="88" t="s">
        <v>117</v>
      </c>
      <c r="L623" s="91">
        <v>45561.5636689815</v>
      </c>
      <c r="M623" s="91">
        <v>45608.730625</v>
      </c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5"/>
    </row>
    <row r="624" s="63" customFormat="1" ht="14.4" customHeight="1" spans="1:31">
      <c r="A624" s="68">
        <v>623</v>
      </c>
      <c r="B624" s="69" t="s">
        <v>94</v>
      </c>
      <c r="C624" s="70" t="s">
        <v>277</v>
      </c>
      <c r="D624" s="84" t="s">
        <v>248</v>
      </c>
      <c r="E624" s="84" t="s">
        <v>138</v>
      </c>
      <c r="F624" s="91">
        <v>45646.6181481481</v>
      </c>
      <c r="G624" s="91">
        <v>45652.6962962963</v>
      </c>
      <c r="H624" s="86" t="s">
        <v>99</v>
      </c>
      <c r="I624" s="87">
        <v>12000</v>
      </c>
      <c r="J624" s="83" t="s">
        <v>116</v>
      </c>
      <c r="K624" s="88" t="s">
        <v>117</v>
      </c>
      <c r="L624" s="91">
        <v>45561.5636689815</v>
      </c>
      <c r="M624" s="91">
        <v>45608.730625</v>
      </c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5"/>
    </row>
    <row r="625" s="63" customFormat="1" ht="14.4" customHeight="1" spans="1:31">
      <c r="A625" s="68">
        <v>624</v>
      </c>
      <c r="B625" s="69" t="s">
        <v>94</v>
      </c>
      <c r="C625" s="70" t="s">
        <v>277</v>
      </c>
      <c r="D625" s="84" t="s">
        <v>249</v>
      </c>
      <c r="E625" s="84" t="s">
        <v>138</v>
      </c>
      <c r="F625" s="91">
        <v>45646.6181481481</v>
      </c>
      <c r="G625" s="91">
        <v>45652.6962962963</v>
      </c>
      <c r="H625" s="86" t="s">
        <v>99</v>
      </c>
      <c r="I625" s="87">
        <v>12000</v>
      </c>
      <c r="J625" s="83" t="s">
        <v>116</v>
      </c>
      <c r="K625" s="88" t="s">
        <v>117</v>
      </c>
      <c r="L625" s="91">
        <v>45561.5636689815</v>
      </c>
      <c r="M625" s="91">
        <v>45608.730625</v>
      </c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5"/>
    </row>
    <row r="626" s="63" customFormat="1" ht="14.4" customHeight="1" spans="1:31">
      <c r="A626" s="68">
        <v>625</v>
      </c>
      <c r="B626" s="69" t="s">
        <v>94</v>
      </c>
      <c r="C626" s="70" t="s">
        <v>277</v>
      </c>
      <c r="D626" s="84" t="s">
        <v>250</v>
      </c>
      <c r="E626" s="88"/>
      <c r="F626" s="84"/>
      <c r="G626" s="84"/>
      <c r="H626" s="86" t="s">
        <v>99</v>
      </c>
      <c r="I626" s="87">
        <v>12000</v>
      </c>
      <c r="J626" s="84"/>
      <c r="K626" s="89"/>
      <c r="L626" s="90"/>
      <c r="M626" s="82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5"/>
    </row>
    <row r="627" s="63" customFormat="1" ht="14.4" customHeight="1" spans="1:31">
      <c r="A627" s="68">
        <v>626</v>
      </c>
      <c r="B627" s="69" t="s">
        <v>94</v>
      </c>
      <c r="C627" s="70" t="s">
        <v>277</v>
      </c>
      <c r="D627" s="84" t="s">
        <v>251</v>
      </c>
      <c r="E627" s="88"/>
      <c r="F627" s="84"/>
      <c r="G627" s="84"/>
      <c r="H627" s="86" t="s">
        <v>99</v>
      </c>
      <c r="I627" s="87">
        <v>12000</v>
      </c>
      <c r="J627" s="84"/>
      <c r="K627" s="89"/>
      <c r="L627" s="90"/>
      <c r="M627" s="82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5"/>
    </row>
    <row r="628" s="63" customFormat="1" ht="14.4" customHeight="1" spans="1:31">
      <c r="A628" s="68">
        <v>627</v>
      </c>
      <c r="B628" s="69" t="s">
        <v>94</v>
      </c>
      <c r="C628" s="70" t="s">
        <v>277</v>
      </c>
      <c r="D628" s="84" t="s">
        <v>252</v>
      </c>
      <c r="E628" s="88"/>
      <c r="F628" s="84"/>
      <c r="G628" s="84"/>
      <c r="H628" s="86" t="s">
        <v>99</v>
      </c>
      <c r="I628" s="87">
        <v>12000</v>
      </c>
      <c r="J628" s="84"/>
      <c r="K628" s="89"/>
      <c r="L628" s="90"/>
      <c r="M628" s="82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5"/>
    </row>
    <row r="629" s="63" customFormat="1" ht="14.4" customHeight="1" spans="1:31">
      <c r="A629" s="68">
        <v>628</v>
      </c>
      <c r="B629" s="69" t="s">
        <v>94</v>
      </c>
      <c r="C629" s="70" t="s">
        <v>277</v>
      </c>
      <c r="D629" s="84" t="s">
        <v>253</v>
      </c>
      <c r="E629" s="88"/>
      <c r="F629" s="84"/>
      <c r="G629" s="84"/>
      <c r="H629" s="86" t="s">
        <v>99</v>
      </c>
      <c r="I629" s="87">
        <v>12000</v>
      </c>
      <c r="J629" s="84"/>
      <c r="K629" s="89"/>
      <c r="L629" s="90"/>
      <c r="M629" s="82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5"/>
    </row>
    <row r="630" s="63" customFormat="1" ht="14.4" customHeight="1" spans="1:31">
      <c r="A630" s="68">
        <v>629</v>
      </c>
      <c r="B630" s="69" t="s">
        <v>94</v>
      </c>
      <c r="C630" s="70" t="s">
        <v>277</v>
      </c>
      <c r="D630" s="84" t="s">
        <v>254</v>
      </c>
      <c r="E630" s="88"/>
      <c r="F630" s="84"/>
      <c r="G630" s="84"/>
      <c r="H630" s="86" t="s">
        <v>99</v>
      </c>
      <c r="I630" s="87">
        <v>12000</v>
      </c>
      <c r="J630" s="84"/>
      <c r="K630" s="89"/>
      <c r="L630" s="90"/>
      <c r="M630" s="82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5"/>
    </row>
    <row r="631" s="63" customFormat="1" ht="14.4" customHeight="1" spans="1:31">
      <c r="A631" s="68">
        <v>630</v>
      </c>
      <c r="B631" s="69" t="s">
        <v>94</v>
      </c>
      <c r="C631" s="70" t="s">
        <v>277</v>
      </c>
      <c r="D631" s="84" t="s">
        <v>255</v>
      </c>
      <c r="E631" s="88"/>
      <c r="F631" s="84"/>
      <c r="G631" s="84"/>
      <c r="H631" s="86" t="s">
        <v>99</v>
      </c>
      <c r="I631" s="87">
        <v>12000</v>
      </c>
      <c r="J631" s="84"/>
      <c r="K631" s="89"/>
      <c r="L631" s="90"/>
      <c r="M631" s="82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5"/>
    </row>
    <row r="632" s="63" customFormat="1" ht="14.4" customHeight="1" spans="1:31">
      <c r="A632" s="68">
        <v>631</v>
      </c>
      <c r="B632" s="69" t="s">
        <v>94</v>
      </c>
      <c r="C632" s="70" t="s">
        <v>277</v>
      </c>
      <c r="D632" s="84" t="s">
        <v>256</v>
      </c>
      <c r="E632" s="88"/>
      <c r="F632" s="84"/>
      <c r="G632" s="84"/>
      <c r="H632" s="79" t="s">
        <v>97</v>
      </c>
      <c r="I632" s="80">
        <v>16000</v>
      </c>
      <c r="J632" s="84"/>
      <c r="K632" s="89"/>
      <c r="L632" s="90"/>
      <c r="M632" s="82"/>
      <c r="N632" s="84"/>
      <c r="O632" s="84"/>
      <c r="P632" s="84"/>
      <c r="Q632" s="84"/>
      <c r="R632" s="84"/>
      <c r="S632" s="84"/>
      <c r="T632" s="84"/>
      <c r="U632" s="84"/>
      <c r="V632" s="84"/>
      <c r="W632" s="84"/>
      <c r="X632" s="84"/>
      <c r="Y632" s="84"/>
      <c r="Z632" s="84"/>
      <c r="AA632" s="84"/>
      <c r="AB632" s="84"/>
      <c r="AC632" s="84"/>
      <c r="AD632" s="84"/>
      <c r="AE632" s="85"/>
    </row>
    <row r="633" s="63" customFormat="1" ht="14.4" customHeight="1" spans="1:31">
      <c r="A633" s="68">
        <v>632</v>
      </c>
      <c r="B633" s="69" t="s">
        <v>94</v>
      </c>
      <c r="C633" s="70" t="s">
        <v>277</v>
      </c>
      <c r="D633" s="84" t="s">
        <v>257</v>
      </c>
      <c r="E633" s="84" t="s">
        <v>138</v>
      </c>
      <c r="F633" s="91">
        <v>45646.6181481481</v>
      </c>
      <c r="G633" s="91">
        <v>45652.6962962963</v>
      </c>
      <c r="H633" s="86" t="s">
        <v>99</v>
      </c>
      <c r="I633" s="87">
        <v>12000</v>
      </c>
      <c r="J633" s="83" t="s">
        <v>116</v>
      </c>
      <c r="K633" s="88" t="s">
        <v>117</v>
      </c>
      <c r="L633" s="91">
        <v>45561.5636689815</v>
      </c>
      <c r="M633" s="91">
        <v>45608.730625</v>
      </c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5"/>
    </row>
    <row r="634" s="63" customFormat="1" ht="14.4" customHeight="1" spans="1:31">
      <c r="A634" s="68">
        <v>633</v>
      </c>
      <c r="B634" s="69" t="s">
        <v>94</v>
      </c>
      <c r="C634" s="70" t="s">
        <v>277</v>
      </c>
      <c r="D634" s="84" t="s">
        <v>258</v>
      </c>
      <c r="E634" s="84" t="s">
        <v>138</v>
      </c>
      <c r="F634" s="91">
        <v>45646.6181481481</v>
      </c>
      <c r="G634" s="91">
        <v>45652.6962962963</v>
      </c>
      <c r="H634" s="86" t="s">
        <v>99</v>
      </c>
      <c r="I634" s="87">
        <v>12000</v>
      </c>
      <c r="J634" s="83" t="s">
        <v>116</v>
      </c>
      <c r="K634" s="88" t="s">
        <v>117</v>
      </c>
      <c r="L634" s="91">
        <v>45561.5636689815</v>
      </c>
      <c r="M634" s="91">
        <v>45608.730625</v>
      </c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5"/>
    </row>
    <row r="635" s="63" customFormat="1" ht="14.4" customHeight="1" spans="1:31">
      <c r="A635" s="68">
        <v>634</v>
      </c>
      <c r="B635" s="69" t="s">
        <v>94</v>
      </c>
      <c r="C635" s="70" t="s">
        <v>277</v>
      </c>
      <c r="D635" s="84" t="s">
        <v>259</v>
      </c>
      <c r="E635" s="84" t="s">
        <v>138</v>
      </c>
      <c r="F635" s="91">
        <v>45646.6181481481</v>
      </c>
      <c r="G635" s="91">
        <v>45652.6962962963</v>
      </c>
      <c r="H635" s="86" t="s">
        <v>99</v>
      </c>
      <c r="I635" s="87">
        <v>12000</v>
      </c>
      <c r="J635" s="83" t="s">
        <v>116</v>
      </c>
      <c r="K635" s="88" t="s">
        <v>117</v>
      </c>
      <c r="L635" s="91">
        <v>45561.5636689815</v>
      </c>
      <c r="M635" s="91">
        <v>45608.730625</v>
      </c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5"/>
    </row>
    <row r="636" s="63" customFormat="1" ht="14.4" customHeight="1" spans="1:31">
      <c r="A636" s="68">
        <v>635</v>
      </c>
      <c r="B636" s="69" t="s">
        <v>94</v>
      </c>
      <c r="C636" s="70" t="s">
        <v>277</v>
      </c>
      <c r="D636" s="84" t="s">
        <v>260</v>
      </c>
      <c r="E636" s="84" t="s">
        <v>138</v>
      </c>
      <c r="F636" s="91">
        <v>45646.6181481481</v>
      </c>
      <c r="G636" s="91">
        <v>45652.6962962963</v>
      </c>
      <c r="H636" s="86" t="s">
        <v>99</v>
      </c>
      <c r="I636" s="87">
        <v>12000</v>
      </c>
      <c r="J636" s="83" t="s">
        <v>116</v>
      </c>
      <c r="K636" s="88" t="s">
        <v>117</v>
      </c>
      <c r="L636" s="91">
        <v>45561.5636689815</v>
      </c>
      <c r="M636" s="91">
        <v>45608.730625</v>
      </c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5"/>
    </row>
    <row r="637" s="63" customFormat="1" ht="14.4" customHeight="1" spans="1:31">
      <c r="A637" s="68">
        <v>636</v>
      </c>
      <c r="B637" s="69" t="s">
        <v>94</v>
      </c>
      <c r="C637" s="70" t="s">
        <v>277</v>
      </c>
      <c r="D637" s="84" t="s">
        <v>261</v>
      </c>
      <c r="E637" s="84" t="s">
        <v>138</v>
      </c>
      <c r="F637" s="91">
        <v>45646.6181481481</v>
      </c>
      <c r="G637" s="91">
        <v>45652.6962962963</v>
      </c>
      <c r="H637" s="86" t="s">
        <v>99</v>
      </c>
      <c r="I637" s="87">
        <v>12000</v>
      </c>
      <c r="J637" s="83" t="s">
        <v>116</v>
      </c>
      <c r="K637" s="88" t="s">
        <v>117</v>
      </c>
      <c r="L637" s="91">
        <v>45561.5636689815</v>
      </c>
      <c r="M637" s="91">
        <v>45608.730625</v>
      </c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5"/>
    </row>
    <row r="638" s="63" customFormat="1" ht="14.4" customHeight="1" spans="1:31">
      <c r="A638" s="68">
        <v>637</v>
      </c>
      <c r="B638" s="69" t="s">
        <v>94</v>
      </c>
      <c r="C638" s="70" t="s">
        <v>277</v>
      </c>
      <c r="D638" s="84" t="s">
        <v>262</v>
      </c>
      <c r="E638" s="84" t="s">
        <v>138</v>
      </c>
      <c r="F638" s="91">
        <v>45646.6181481481</v>
      </c>
      <c r="G638" s="91">
        <v>45652.6962962963</v>
      </c>
      <c r="H638" s="86" t="s">
        <v>99</v>
      </c>
      <c r="I638" s="87">
        <v>12000</v>
      </c>
      <c r="J638" s="83" t="s">
        <v>116</v>
      </c>
      <c r="K638" s="88" t="s">
        <v>117</v>
      </c>
      <c r="L638" s="91">
        <v>45561.5636689815</v>
      </c>
      <c r="M638" s="91">
        <v>45608.730625</v>
      </c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5"/>
    </row>
    <row r="639" s="63" customFormat="1" ht="14.4" customHeight="1" spans="1:31">
      <c r="A639" s="68">
        <v>638</v>
      </c>
      <c r="B639" s="69" t="s">
        <v>94</v>
      </c>
      <c r="C639" s="70" t="s">
        <v>277</v>
      </c>
      <c r="D639" s="84" t="s">
        <v>263</v>
      </c>
      <c r="E639" s="84" t="s">
        <v>138</v>
      </c>
      <c r="F639" s="91">
        <v>45646.6181481481</v>
      </c>
      <c r="G639" s="91">
        <v>45652.6962962963</v>
      </c>
      <c r="H639" s="86" t="s">
        <v>99</v>
      </c>
      <c r="I639" s="87">
        <v>12000</v>
      </c>
      <c r="J639" s="83" t="s">
        <v>116</v>
      </c>
      <c r="K639" s="88" t="s">
        <v>117</v>
      </c>
      <c r="L639" s="91">
        <v>45561.5636689815</v>
      </c>
      <c r="M639" s="91">
        <v>45608.730625</v>
      </c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5"/>
    </row>
    <row r="640" s="63" customFormat="1" ht="14.4" customHeight="1" spans="1:31">
      <c r="A640" s="68">
        <v>639</v>
      </c>
      <c r="B640" s="69" t="s">
        <v>94</v>
      </c>
      <c r="C640" s="70" t="s">
        <v>277</v>
      </c>
      <c r="D640" s="84" t="s">
        <v>264</v>
      </c>
      <c r="E640" s="84" t="s">
        <v>138</v>
      </c>
      <c r="F640" s="91">
        <v>45646.6181481481</v>
      </c>
      <c r="G640" s="91">
        <v>45652.6962962963</v>
      </c>
      <c r="H640" s="86" t="s">
        <v>99</v>
      </c>
      <c r="I640" s="87">
        <v>12000</v>
      </c>
      <c r="J640" s="83" t="s">
        <v>116</v>
      </c>
      <c r="K640" s="88" t="s">
        <v>117</v>
      </c>
      <c r="L640" s="91">
        <v>45561.5636689815</v>
      </c>
      <c r="M640" s="91">
        <v>45608.730625</v>
      </c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5"/>
    </row>
    <row r="641" s="63" customFormat="1" ht="14.4" customHeight="1" spans="1:31">
      <c r="A641" s="68">
        <v>640</v>
      </c>
      <c r="B641" s="69" t="s">
        <v>94</v>
      </c>
      <c r="C641" s="70" t="s">
        <v>277</v>
      </c>
      <c r="D641" s="84" t="s">
        <v>265</v>
      </c>
      <c r="E641" s="84" t="s">
        <v>138</v>
      </c>
      <c r="F641" s="91">
        <v>45646.6181481481</v>
      </c>
      <c r="G641" s="91">
        <v>45652.6962962963</v>
      </c>
      <c r="H641" s="86" t="s">
        <v>99</v>
      </c>
      <c r="I641" s="87">
        <v>12000</v>
      </c>
      <c r="J641" s="83" t="s">
        <v>116</v>
      </c>
      <c r="K641" s="88" t="s">
        <v>117</v>
      </c>
      <c r="L641" s="91">
        <v>45561.5636689815</v>
      </c>
      <c r="M641" s="91">
        <v>45608.730625</v>
      </c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5"/>
    </row>
    <row r="642" s="63" customFormat="1" ht="14.4" customHeight="1" spans="1:31">
      <c r="A642" s="68">
        <v>641</v>
      </c>
      <c r="B642" s="69" t="s">
        <v>94</v>
      </c>
      <c r="C642" s="70" t="s">
        <v>277</v>
      </c>
      <c r="D642" s="84" t="s">
        <v>266</v>
      </c>
      <c r="E642" s="88"/>
      <c r="F642" s="84"/>
      <c r="G642" s="84"/>
      <c r="H642" s="86" t="s">
        <v>99</v>
      </c>
      <c r="I642" s="87">
        <v>12000</v>
      </c>
      <c r="J642" s="84"/>
      <c r="K642" s="89"/>
      <c r="L642" s="90"/>
      <c r="M642" s="82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5"/>
    </row>
    <row r="643" s="63" customFormat="1" ht="14.4" customHeight="1" spans="1:31">
      <c r="A643" s="68">
        <v>642</v>
      </c>
      <c r="B643" s="69" t="s">
        <v>94</v>
      </c>
      <c r="C643" s="70" t="s">
        <v>277</v>
      </c>
      <c r="D643" s="84" t="s">
        <v>267</v>
      </c>
      <c r="E643" s="88"/>
      <c r="F643" s="84"/>
      <c r="G643" s="84"/>
      <c r="H643" s="86" t="s">
        <v>99</v>
      </c>
      <c r="I643" s="87">
        <v>12000</v>
      </c>
      <c r="J643" s="84"/>
      <c r="K643" s="89"/>
      <c r="L643" s="90"/>
      <c r="M643" s="82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5"/>
    </row>
    <row r="644" s="63" customFormat="1" ht="14.4" customHeight="1" spans="1:31">
      <c r="A644" s="68">
        <v>643</v>
      </c>
      <c r="B644" s="69" t="s">
        <v>94</v>
      </c>
      <c r="C644" s="70" t="s">
        <v>277</v>
      </c>
      <c r="D644" s="84" t="s">
        <v>268</v>
      </c>
      <c r="E644" s="88"/>
      <c r="F644" s="84"/>
      <c r="G644" s="84"/>
      <c r="H644" s="86" t="s">
        <v>99</v>
      </c>
      <c r="I644" s="87">
        <v>12000</v>
      </c>
      <c r="J644" s="84"/>
      <c r="K644" s="89"/>
      <c r="L644" s="90"/>
      <c r="M644" s="82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5"/>
    </row>
    <row r="645" s="63" customFormat="1" ht="14.4" customHeight="1" spans="1:31">
      <c r="A645" s="68">
        <v>644</v>
      </c>
      <c r="B645" s="69" t="s">
        <v>94</v>
      </c>
      <c r="C645" s="70" t="s">
        <v>277</v>
      </c>
      <c r="D645" s="84" t="s">
        <v>269</v>
      </c>
      <c r="E645" s="88"/>
      <c r="F645" s="84"/>
      <c r="G645" s="84"/>
      <c r="H645" s="86" t="s">
        <v>99</v>
      </c>
      <c r="I645" s="87">
        <v>12000</v>
      </c>
      <c r="J645" s="84"/>
      <c r="K645" s="89"/>
      <c r="L645" s="90"/>
      <c r="M645" s="82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5"/>
    </row>
    <row r="646" s="63" customFormat="1" ht="14.4" customHeight="1" spans="1:31">
      <c r="A646" s="68">
        <v>645</v>
      </c>
      <c r="B646" s="69" t="s">
        <v>94</v>
      </c>
      <c r="C646" s="70" t="s">
        <v>277</v>
      </c>
      <c r="D646" s="84" t="s">
        <v>270</v>
      </c>
      <c r="E646" s="88"/>
      <c r="F646" s="84"/>
      <c r="G646" s="84"/>
      <c r="H646" s="86" t="s">
        <v>99</v>
      </c>
      <c r="I646" s="87">
        <v>12000</v>
      </c>
      <c r="J646" s="84"/>
      <c r="K646" s="89"/>
      <c r="L646" s="90"/>
      <c r="M646" s="82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5"/>
    </row>
    <row r="647" s="63" customFormat="1" ht="14.4" customHeight="1" spans="1:31">
      <c r="A647" s="68">
        <v>646</v>
      </c>
      <c r="B647" s="69" t="s">
        <v>94</v>
      </c>
      <c r="C647" s="70" t="s">
        <v>277</v>
      </c>
      <c r="D647" s="84" t="s">
        <v>271</v>
      </c>
      <c r="E647" s="88"/>
      <c r="F647" s="84"/>
      <c r="G647" s="84"/>
      <c r="H647" s="86" t="s">
        <v>99</v>
      </c>
      <c r="I647" s="87">
        <v>12000</v>
      </c>
      <c r="J647" s="84"/>
      <c r="K647" s="89"/>
      <c r="L647" s="90"/>
      <c r="M647" s="82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5"/>
    </row>
    <row r="648" s="63" customFormat="1" ht="14.4" customHeight="1" spans="1:31">
      <c r="A648" s="68">
        <v>647</v>
      </c>
      <c r="B648" s="69" t="s">
        <v>94</v>
      </c>
      <c r="C648" s="70" t="s">
        <v>277</v>
      </c>
      <c r="D648" s="84" t="s">
        <v>272</v>
      </c>
      <c r="E648" s="88"/>
      <c r="F648" s="84"/>
      <c r="G648" s="84"/>
      <c r="H648" s="86" t="s">
        <v>99</v>
      </c>
      <c r="I648" s="87">
        <v>12000</v>
      </c>
      <c r="J648" s="84"/>
      <c r="K648" s="89"/>
      <c r="L648" s="90"/>
      <c r="M648" s="82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5"/>
    </row>
    <row r="649" s="63" customFormat="1" ht="14.4" customHeight="1" spans="1:31">
      <c r="A649" s="68">
        <v>648</v>
      </c>
      <c r="B649" s="69" t="s">
        <v>94</v>
      </c>
      <c r="C649" s="70" t="s">
        <v>277</v>
      </c>
      <c r="D649" s="84" t="s">
        <v>273</v>
      </c>
      <c r="E649" s="88"/>
      <c r="F649" s="84"/>
      <c r="G649" s="84"/>
      <c r="H649" s="86" t="s">
        <v>99</v>
      </c>
      <c r="I649" s="87">
        <v>12000</v>
      </c>
      <c r="J649" s="84"/>
      <c r="K649" s="89"/>
      <c r="L649" s="90"/>
      <c r="M649" s="82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5"/>
    </row>
    <row r="650" s="63" customFormat="1" ht="14.4" customHeight="1" spans="1:31">
      <c r="A650" s="68">
        <v>649</v>
      </c>
      <c r="B650" s="69" t="s">
        <v>94</v>
      </c>
      <c r="C650" s="97" t="s">
        <v>278</v>
      </c>
      <c r="D650" s="97" t="s">
        <v>96</v>
      </c>
      <c r="E650" s="95" t="s">
        <v>117</v>
      </c>
      <c r="F650" s="96">
        <v>46227.8969907407</v>
      </c>
      <c r="G650" s="96">
        <v>46237.6284143518</v>
      </c>
      <c r="H650" s="79" t="s">
        <v>97</v>
      </c>
      <c r="I650" s="80">
        <v>16000</v>
      </c>
      <c r="J650" s="83" t="s">
        <v>116</v>
      </c>
      <c r="K650" s="89"/>
      <c r="L650" s="90"/>
      <c r="M650" s="82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5"/>
    </row>
    <row r="651" s="63" customFormat="1" spans="1:31">
      <c r="A651" s="68">
        <v>650</v>
      </c>
      <c r="B651" s="69" t="s">
        <v>94</v>
      </c>
      <c r="C651" s="97" t="s">
        <v>278</v>
      </c>
      <c r="D651" s="97" t="s">
        <v>98</v>
      </c>
      <c r="E651" s="95" t="s">
        <v>120</v>
      </c>
      <c r="F651" s="96">
        <v>46225.8336574074</v>
      </c>
      <c r="G651" s="96">
        <v>46224.8338888889</v>
      </c>
      <c r="H651" s="86" t="s">
        <v>99</v>
      </c>
      <c r="I651" s="87">
        <v>12000</v>
      </c>
      <c r="J651" s="83" t="s">
        <v>116</v>
      </c>
      <c r="K651" s="93" t="s">
        <v>121</v>
      </c>
      <c r="L651" s="94">
        <v>46221.7364814815</v>
      </c>
      <c r="M651" s="94">
        <v>46221.8621527778</v>
      </c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5"/>
    </row>
    <row r="652" s="63" customFormat="1" spans="1:31">
      <c r="A652" s="68">
        <v>651</v>
      </c>
      <c r="B652" s="69" t="s">
        <v>94</v>
      </c>
      <c r="C652" s="97" t="s">
        <v>278</v>
      </c>
      <c r="D652" s="97" t="s">
        <v>100</v>
      </c>
      <c r="E652" s="95" t="s">
        <v>120</v>
      </c>
      <c r="F652" s="96">
        <v>46225.8336574074</v>
      </c>
      <c r="G652" s="96">
        <v>46224.8338888889</v>
      </c>
      <c r="H652" s="86" t="s">
        <v>99</v>
      </c>
      <c r="I652" s="87">
        <v>12000</v>
      </c>
      <c r="J652" s="83" t="s">
        <v>116</v>
      </c>
      <c r="K652" s="93" t="s">
        <v>121</v>
      </c>
      <c r="L652" s="94">
        <v>46221.7364930556</v>
      </c>
      <c r="M652" s="94">
        <v>46221.8640509259</v>
      </c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5"/>
    </row>
    <row r="653" s="63" customFormat="1" ht="14.4" customHeight="1" spans="1:31">
      <c r="A653" s="68">
        <v>652</v>
      </c>
      <c r="B653" s="69" t="s">
        <v>94</v>
      </c>
      <c r="C653" s="97" t="s">
        <v>278</v>
      </c>
      <c r="D653" s="97" t="s">
        <v>101</v>
      </c>
      <c r="E653" s="95" t="s">
        <v>117</v>
      </c>
      <c r="F653" s="96">
        <v>46227.8969907407</v>
      </c>
      <c r="G653" s="96">
        <v>46237.6284722222</v>
      </c>
      <c r="H653" s="86" t="s">
        <v>99</v>
      </c>
      <c r="I653" s="87">
        <v>12000</v>
      </c>
      <c r="J653" s="83" t="s">
        <v>116</v>
      </c>
      <c r="K653" s="88" t="s">
        <v>117</v>
      </c>
      <c r="L653" s="91">
        <v>45610.7299074074</v>
      </c>
      <c r="M653" s="91">
        <v>45616.7651388889</v>
      </c>
      <c r="N653" s="84" t="s">
        <v>138</v>
      </c>
      <c r="O653" s="91">
        <v>45653.6181365741</v>
      </c>
      <c r="P653" s="91">
        <v>45656.6812037037</v>
      </c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5"/>
    </row>
    <row r="654" s="63" customFormat="1" spans="1:31">
      <c r="A654" s="68">
        <v>653</v>
      </c>
      <c r="B654" s="69" t="s">
        <v>94</v>
      </c>
      <c r="C654" s="97" t="s">
        <v>278</v>
      </c>
      <c r="D654" s="97" t="s">
        <v>102</v>
      </c>
      <c r="E654" s="95" t="s">
        <v>120</v>
      </c>
      <c r="F654" s="96">
        <v>46225.8336574074</v>
      </c>
      <c r="G654" s="96">
        <v>46224.8338888889</v>
      </c>
      <c r="H654" s="86" t="s">
        <v>99</v>
      </c>
      <c r="I654" s="87">
        <v>12000</v>
      </c>
      <c r="J654" s="83" t="s">
        <v>116</v>
      </c>
      <c r="K654" s="88" t="s">
        <v>117</v>
      </c>
      <c r="L654" s="91">
        <v>45610.7299074074</v>
      </c>
      <c r="M654" s="91">
        <v>45616.7651388889</v>
      </c>
      <c r="N654" s="84" t="s">
        <v>138</v>
      </c>
      <c r="O654" s="91">
        <v>45653.6181365741</v>
      </c>
      <c r="P654" s="91">
        <v>45656.6812037037</v>
      </c>
      <c r="Q654" s="93" t="s">
        <v>121</v>
      </c>
      <c r="R654" s="94">
        <v>46221.7364814815</v>
      </c>
      <c r="S654" s="94">
        <v>46221.8134606481</v>
      </c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5"/>
    </row>
    <row r="655" s="63" customFormat="1" spans="1:31">
      <c r="A655" s="68">
        <v>654</v>
      </c>
      <c r="B655" s="69" t="s">
        <v>94</v>
      </c>
      <c r="C655" s="97" t="s">
        <v>278</v>
      </c>
      <c r="D655" s="97" t="s">
        <v>103</v>
      </c>
      <c r="E655" s="95" t="s">
        <v>120</v>
      </c>
      <c r="F655" s="96">
        <v>46225.8336574074</v>
      </c>
      <c r="G655" s="96">
        <v>46224.8338888889</v>
      </c>
      <c r="H655" s="86" t="s">
        <v>99</v>
      </c>
      <c r="I655" s="87">
        <v>12000</v>
      </c>
      <c r="J655" s="83" t="s">
        <v>116</v>
      </c>
      <c r="K655" s="88" t="s">
        <v>117</v>
      </c>
      <c r="L655" s="91">
        <v>45610.7299074074</v>
      </c>
      <c r="M655" s="91">
        <v>45616.7651388889</v>
      </c>
      <c r="N655" s="84" t="s">
        <v>138</v>
      </c>
      <c r="O655" s="91">
        <v>45653.6181365741</v>
      </c>
      <c r="P655" s="91">
        <v>45656.6812037037</v>
      </c>
      <c r="Q655" s="93" t="s">
        <v>121</v>
      </c>
      <c r="R655" s="94">
        <v>46221.7365162037</v>
      </c>
      <c r="S655" s="94">
        <v>46221.816712963</v>
      </c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5"/>
    </row>
    <row r="656" s="63" customFormat="1" ht="14.4" customHeight="1" spans="1:31">
      <c r="A656" s="68">
        <v>655</v>
      </c>
      <c r="B656" s="69" t="s">
        <v>94</v>
      </c>
      <c r="C656" s="97" t="s">
        <v>278</v>
      </c>
      <c r="D656" s="97" t="s">
        <v>104</v>
      </c>
      <c r="E656" s="95" t="s">
        <v>117</v>
      </c>
      <c r="F656" s="96">
        <v>46227.8969791667</v>
      </c>
      <c r="G656" s="96">
        <v>46237.6285300926</v>
      </c>
      <c r="H656" s="86" t="s">
        <v>99</v>
      </c>
      <c r="I656" s="87">
        <v>12000</v>
      </c>
      <c r="J656" s="83" t="s">
        <v>116</v>
      </c>
      <c r="K656" s="88" t="s">
        <v>117</v>
      </c>
      <c r="L656" s="91">
        <v>45610.7299074074</v>
      </c>
      <c r="M656" s="91">
        <v>45616.7651388889</v>
      </c>
      <c r="N656" s="84" t="s">
        <v>138</v>
      </c>
      <c r="O656" s="91">
        <v>45653.6181365741</v>
      </c>
      <c r="P656" s="91">
        <v>45656.6812037037</v>
      </c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5"/>
    </row>
    <row r="657" s="63" customFormat="1" spans="1:31">
      <c r="A657" s="68">
        <v>656</v>
      </c>
      <c r="B657" s="69" t="s">
        <v>94</v>
      </c>
      <c r="C657" s="97" t="s">
        <v>278</v>
      </c>
      <c r="D657" s="97" t="s">
        <v>105</v>
      </c>
      <c r="E657" s="95" t="s">
        <v>120</v>
      </c>
      <c r="F657" s="96">
        <v>46225.8336574074</v>
      </c>
      <c r="G657" s="96">
        <v>46224.8338888889</v>
      </c>
      <c r="H657" s="86" t="s">
        <v>99</v>
      </c>
      <c r="I657" s="87">
        <v>12000</v>
      </c>
      <c r="J657" s="83" t="s">
        <v>116</v>
      </c>
      <c r="K657" s="88" t="s">
        <v>117</v>
      </c>
      <c r="L657" s="91">
        <v>45610.7299074074</v>
      </c>
      <c r="M657" s="91">
        <v>45616.7651388889</v>
      </c>
      <c r="N657" s="84" t="s">
        <v>138</v>
      </c>
      <c r="O657" s="91">
        <v>45653.6181365741</v>
      </c>
      <c r="P657" s="91">
        <v>45656.6812037037</v>
      </c>
      <c r="Q657" s="93" t="s">
        <v>121</v>
      </c>
      <c r="R657" s="94">
        <v>46221.7364814815</v>
      </c>
      <c r="S657" s="94">
        <v>46221.8194444444</v>
      </c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5"/>
    </row>
    <row r="658" s="63" customFormat="1" spans="1:31">
      <c r="A658" s="68">
        <v>657</v>
      </c>
      <c r="B658" s="69" t="s">
        <v>94</v>
      </c>
      <c r="C658" s="97" t="s">
        <v>278</v>
      </c>
      <c r="D658" s="97" t="s">
        <v>106</v>
      </c>
      <c r="E658" s="95" t="s">
        <v>120</v>
      </c>
      <c r="F658" s="96">
        <v>46225.8336574074</v>
      </c>
      <c r="G658" s="96">
        <v>46224.8338888889</v>
      </c>
      <c r="H658" s="86" t="s">
        <v>99</v>
      </c>
      <c r="I658" s="87">
        <v>12000</v>
      </c>
      <c r="J658" s="83" t="s">
        <v>116</v>
      </c>
      <c r="K658" s="88" t="s">
        <v>117</v>
      </c>
      <c r="L658" s="91">
        <v>45610.7299074074</v>
      </c>
      <c r="M658" s="91">
        <v>45616.7651388889</v>
      </c>
      <c r="N658" s="84" t="s">
        <v>138</v>
      </c>
      <c r="O658" s="91">
        <v>45653.6181365741</v>
      </c>
      <c r="P658" s="91">
        <v>45656.6812037037</v>
      </c>
      <c r="Q658" s="93" t="s">
        <v>121</v>
      </c>
      <c r="R658" s="94">
        <v>46221.7365046296</v>
      </c>
      <c r="S658" s="94">
        <v>46221.8188541667</v>
      </c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5"/>
    </row>
    <row r="659" s="63" customFormat="1" ht="14.4" customHeight="1" spans="1:31">
      <c r="A659" s="68">
        <v>658</v>
      </c>
      <c r="B659" s="69" t="s">
        <v>94</v>
      </c>
      <c r="C659" s="97" t="s">
        <v>278</v>
      </c>
      <c r="D659" s="97" t="s">
        <v>107</v>
      </c>
      <c r="E659" s="95" t="s">
        <v>117</v>
      </c>
      <c r="F659" s="96">
        <v>46227.897037037</v>
      </c>
      <c r="G659" s="96">
        <v>46237.628599537</v>
      </c>
      <c r="H659" s="86" t="s">
        <v>99</v>
      </c>
      <c r="I659" s="87">
        <v>12000</v>
      </c>
      <c r="J659" s="83" t="s">
        <v>116</v>
      </c>
      <c r="K659" s="88" t="s">
        <v>117</v>
      </c>
      <c r="L659" s="91">
        <v>45610.7299074074</v>
      </c>
      <c r="M659" s="91">
        <v>45616.7651388889</v>
      </c>
      <c r="N659" s="84" t="s">
        <v>138</v>
      </c>
      <c r="O659" s="91">
        <v>45653.6181365741</v>
      </c>
      <c r="P659" s="91">
        <v>45656.6812037037</v>
      </c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5"/>
    </row>
    <row r="660" s="63" customFormat="1" spans="1:31">
      <c r="A660" s="68">
        <v>659</v>
      </c>
      <c r="B660" s="69" t="s">
        <v>94</v>
      </c>
      <c r="C660" s="97" t="s">
        <v>278</v>
      </c>
      <c r="D660" s="97" t="s">
        <v>108</v>
      </c>
      <c r="E660" s="95" t="s">
        <v>120</v>
      </c>
      <c r="F660" s="96">
        <v>46225.8336574074</v>
      </c>
      <c r="G660" s="96">
        <v>46224.8338888889</v>
      </c>
      <c r="H660" s="86" t="s">
        <v>99</v>
      </c>
      <c r="I660" s="87">
        <v>12000</v>
      </c>
      <c r="J660" s="83" t="s">
        <v>116</v>
      </c>
      <c r="K660" s="93" t="s">
        <v>121</v>
      </c>
      <c r="L660" s="94">
        <v>46221.7364814815</v>
      </c>
      <c r="M660" s="94">
        <v>46221.8195601852</v>
      </c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5"/>
    </row>
    <row r="661" s="63" customFormat="1" spans="1:31">
      <c r="A661" s="68">
        <v>660</v>
      </c>
      <c r="B661" s="69" t="s">
        <v>94</v>
      </c>
      <c r="C661" s="97" t="s">
        <v>278</v>
      </c>
      <c r="D661" s="97" t="s">
        <v>109</v>
      </c>
      <c r="E661" s="95" t="s">
        <v>120</v>
      </c>
      <c r="F661" s="96">
        <v>46225.8336574074</v>
      </c>
      <c r="G661" s="96">
        <v>46224.8338888889</v>
      </c>
      <c r="H661" s="86" t="s">
        <v>99</v>
      </c>
      <c r="I661" s="87">
        <v>12000</v>
      </c>
      <c r="J661" s="83" t="s">
        <v>116</v>
      </c>
      <c r="K661" s="93" t="s">
        <v>121</v>
      </c>
      <c r="L661" s="94">
        <v>46221.7364814815</v>
      </c>
      <c r="M661" s="94">
        <v>46221.8235763889</v>
      </c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5"/>
    </row>
    <row r="662" s="63" customFormat="1" ht="14.4" customHeight="1" spans="1:31">
      <c r="A662" s="68">
        <v>661</v>
      </c>
      <c r="B662" s="69" t="s">
        <v>94</v>
      </c>
      <c r="C662" s="97" t="s">
        <v>278</v>
      </c>
      <c r="D662" s="97" t="s">
        <v>110</v>
      </c>
      <c r="E662" s="95" t="s">
        <v>117</v>
      </c>
      <c r="F662" s="96">
        <v>46227.8969907407</v>
      </c>
      <c r="G662" s="96">
        <v>46237.6286689815</v>
      </c>
      <c r="H662" s="86" t="s">
        <v>99</v>
      </c>
      <c r="I662" s="87">
        <v>12000</v>
      </c>
      <c r="J662" s="83" t="s">
        <v>116</v>
      </c>
      <c r="K662" s="89"/>
      <c r="L662" s="90"/>
      <c r="M662" s="82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5"/>
    </row>
    <row r="663" s="63" customFormat="1" spans="1:31">
      <c r="A663" s="68">
        <v>662</v>
      </c>
      <c r="B663" s="69" t="s">
        <v>94</v>
      </c>
      <c r="C663" s="97" t="s">
        <v>278</v>
      </c>
      <c r="D663" s="97" t="s">
        <v>111</v>
      </c>
      <c r="E663" s="95" t="s">
        <v>120</v>
      </c>
      <c r="F663" s="96">
        <v>46225.8336574074</v>
      </c>
      <c r="G663" s="96">
        <v>46224.8338888889</v>
      </c>
      <c r="H663" s="86" t="s">
        <v>99</v>
      </c>
      <c r="I663" s="87">
        <v>12000</v>
      </c>
      <c r="J663" s="83" t="s">
        <v>116</v>
      </c>
      <c r="K663" s="93" t="s">
        <v>121</v>
      </c>
      <c r="L663" s="94">
        <v>46221.7364814815</v>
      </c>
      <c r="M663" s="94">
        <v>46221.8236689815</v>
      </c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5"/>
    </row>
    <row r="664" s="63" customFormat="1" spans="1:31">
      <c r="A664" s="68">
        <v>663</v>
      </c>
      <c r="B664" s="69" t="s">
        <v>94</v>
      </c>
      <c r="C664" s="97" t="s">
        <v>278</v>
      </c>
      <c r="D664" s="97" t="s">
        <v>112</v>
      </c>
      <c r="E664" s="95" t="s">
        <v>120</v>
      </c>
      <c r="F664" s="96">
        <v>46225.8336574074</v>
      </c>
      <c r="G664" s="96">
        <v>46224.8338888889</v>
      </c>
      <c r="H664" s="86" t="s">
        <v>99</v>
      </c>
      <c r="I664" s="87">
        <v>12000</v>
      </c>
      <c r="J664" s="83" t="s">
        <v>116</v>
      </c>
      <c r="K664" s="93" t="s">
        <v>121</v>
      </c>
      <c r="L664" s="94">
        <v>46221.7364930556</v>
      </c>
      <c r="M664" s="94">
        <v>46221.8239467593</v>
      </c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5"/>
    </row>
    <row r="665" s="63" customFormat="1" ht="14.4" customHeight="1" spans="1:31">
      <c r="A665" s="68">
        <v>664</v>
      </c>
      <c r="B665" s="69" t="s">
        <v>94</v>
      </c>
      <c r="C665" s="70" t="s">
        <v>278</v>
      </c>
      <c r="D665" s="70" t="s">
        <v>113</v>
      </c>
      <c r="E665" s="88"/>
      <c r="F665" s="84"/>
      <c r="G665" s="84"/>
      <c r="H665" s="86" t="s">
        <v>99</v>
      </c>
      <c r="I665" s="87">
        <v>12000</v>
      </c>
      <c r="J665" s="84"/>
      <c r="K665" s="89"/>
      <c r="L665" s="90"/>
      <c r="M665" s="82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5"/>
    </row>
    <row r="666" s="63" customFormat="1" ht="14.4" customHeight="1" spans="1:31">
      <c r="A666" s="68">
        <v>665</v>
      </c>
      <c r="B666" s="69" t="s">
        <v>94</v>
      </c>
      <c r="C666" s="97" t="s">
        <v>278</v>
      </c>
      <c r="D666" s="97" t="s">
        <v>114</v>
      </c>
      <c r="E666" s="95" t="s">
        <v>121</v>
      </c>
      <c r="F666" s="96">
        <v>46152.7256134259</v>
      </c>
      <c r="G666" s="96">
        <v>46153.6322222222</v>
      </c>
      <c r="H666" s="79" t="s">
        <v>97</v>
      </c>
      <c r="I666" s="80">
        <v>16000</v>
      </c>
      <c r="J666" s="83" t="s">
        <v>116</v>
      </c>
      <c r="K666" s="89"/>
      <c r="L666" s="90"/>
      <c r="M666" s="82"/>
      <c r="N666" s="84"/>
      <c r="O666" s="84"/>
      <c r="P666" s="84"/>
      <c r="Q666" s="84"/>
      <c r="R666" s="84"/>
      <c r="S666" s="84"/>
      <c r="T666" s="84"/>
      <c r="U666" s="84"/>
      <c r="V666" s="84"/>
      <c r="W666" s="84"/>
      <c r="X666" s="84"/>
      <c r="Y666" s="84"/>
      <c r="Z666" s="84"/>
      <c r="AA666" s="84"/>
      <c r="AB666" s="84"/>
      <c r="AC666" s="84"/>
      <c r="AD666" s="84"/>
      <c r="AE666" s="85"/>
    </row>
    <row r="667" s="63" customFormat="1" spans="1:31">
      <c r="A667" s="68">
        <v>666</v>
      </c>
      <c r="B667" s="69" t="s">
        <v>94</v>
      </c>
      <c r="C667" s="97" t="s">
        <v>278</v>
      </c>
      <c r="D667" s="97" t="s">
        <v>118</v>
      </c>
      <c r="E667" s="95" t="s">
        <v>120</v>
      </c>
      <c r="F667" s="96">
        <v>46225.8336574074</v>
      </c>
      <c r="G667" s="96">
        <v>46224.8338888889</v>
      </c>
      <c r="H667" s="86" t="s">
        <v>99</v>
      </c>
      <c r="I667" s="87">
        <v>12000</v>
      </c>
      <c r="J667" s="83" t="s">
        <v>116</v>
      </c>
      <c r="K667" s="88" t="s">
        <v>117</v>
      </c>
      <c r="L667" s="91">
        <v>45610.7299074074</v>
      </c>
      <c r="M667" s="91">
        <v>45616.7651388889</v>
      </c>
      <c r="N667" s="84" t="s">
        <v>138</v>
      </c>
      <c r="O667" s="91">
        <v>45653.6181365741</v>
      </c>
      <c r="P667" s="91">
        <v>45656.6812037037</v>
      </c>
      <c r="Q667" s="93" t="s">
        <v>121</v>
      </c>
      <c r="R667" s="94">
        <v>46221.7364930556</v>
      </c>
      <c r="S667" s="94">
        <v>46221.8644212963</v>
      </c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5"/>
    </row>
    <row r="668" s="63" customFormat="1" spans="1:31">
      <c r="A668" s="68">
        <v>667</v>
      </c>
      <c r="B668" s="69" t="s">
        <v>94</v>
      </c>
      <c r="C668" s="97" t="s">
        <v>278</v>
      </c>
      <c r="D668" s="97" t="s">
        <v>119</v>
      </c>
      <c r="E668" s="95" t="s">
        <v>120</v>
      </c>
      <c r="F668" s="96">
        <v>46225.8336574074</v>
      </c>
      <c r="G668" s="96">
        <v>46224.8338888889</v>
      </c>
      <c r="H668" s="86" t="s">
        <v>99</v>
      </c>
      <c r="I668" s="87">
        <v>12000</v>
      </c>
      <c r="J668" s="83" t="s">
        <v>116</v>
      </c>
      <c r="K668" s="88" t="s">
        <v>117</v>
      </c>
      <c r="L668" s="91">
        <v>45610.7299074074</v>
      </c>
      <c r="M668" s="91">
        <v>45616.7651388889</v>
      </c>
      <c r="N668" s="84" t="s">
        <v>138</v>
      </c>
      <c r="O668" s="91">
        <v>45653.6181365741</v>
      </c>
      <c r="P668" s="91">
        <v>45656.6812037037</v>
      </c>
      <c r="Q668" s="93" t="s">
        <v>121</v>
      </c>
      <c r="R668" s="94">
        <v>46221.7364930556</v>
      </c>
      <c r="S668" s="94">
        <v>46221.8641319444</v>
      </c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5"/>
    </row>
    <row r="669" s="63" customFormat="1" ht="14.4" customHeight="1" spans="1:31">
      <c r="A669" s="68">
        <v>668</v>
      </c>
      <c r="B669" s="69" t="s">
        <v>94</v>
      </c>
      <c r="C669" s="97" t="s">
        <v>278</v>
      </c>
      <c r="D669" s="97" t="s">
        <v>122</v>
      </c>
      <c r="E669" s="95" t="s">
        <v>117</v>
      </c>
      <c r="F669" s="96">
        <v>46227.8930671296</v>
      </c>
      <c r="G669" s="96">
        <v>46237.6593518518</v>
      </c>
      <c r="H669" s="86" t="s">
        <v>99</v>
      </c>
      <c r="I669" s="87">
        <v>12000</v>
      </c>
      <c r="J669" s="83" t="s">
        <v>116</v>
      </c>
      <c r="K669" s="88" t="s">
        <v>117</v>
      </c>
      <c r="L669" s="91">
        <v>45610.7299074074</v>
      </c>
      <c r="M669" s="91">
        <v>45616.7651388889</v>
      </c>
      <c r="N669" s="84" t="s">
        <v>138</v>
      </c>
      <c r="O669" s="91">
        <v>45653.6181365741</v>
      </c>
      <c r="P669" s="91">
        <v>45656.6812037037</v>
      </c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5"/>
    </row>
    <row r="670" s="63" customFormat="1" spans="1:31">
      <c r="A670" s="68">
        <v>669</v>
      </c>
      <c r="B670" s="69" t="s">
        <v>94</v>
      </c>
      <c r="C670" s="97" t="s">
        <v>278</v>
      </c>
      <c r="D670" s="97" t="s">
        <v>123</v>
      </c>
      <c r="E670" s="95" t="s">
        <v>120</v>
      </c>
      <c r="F670" s="96">
        <v>46225.8336574074</v>
      </c>
      <c r="G670" s="96">
        <v>46224.8338888889</v>
      </c>
      <c r="H670" s="86" t="s">
        <v>99</v>
      </c>
      <c r="I670" s="87">
        <v>12000</v>
      </c>
      <c r="J670" s="83" t="s">
        <v>116</v>
      </c>
      <c r="K670" s="88" t="s">
        <v>117</v>
      </c>
      <c r="L670" s="91">
        <v>45610.7299074074</v>
      </c>
      <c r="M670" s="91">
        <v>45616.7651388889</v>
      </c>
      <c r="N670" s="84" t="s">
        <v>138</v>
      </c>
      <c r="O670" s="91">
        <v>45653.6181365741</v>
      </c>
      <c r="P670" s="91">
        <v>45656.6812037037</v>
      </c>
      <c r="Q670" s="93" t="s">
        <v>121</v>
      </c>
      <c r="R670" s="94">
        <v>46221.7364814815</v>
      </c>
      <c r="S670" s="94">
        <v>46221.8645023148</v>
      </c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5"/>
    </row>
    <row r="671" s="63" customFormat="1" spans="1:31">
      <c r="A671" s="68">
        <v>670</v>
      </c>
      <c r="B671" s="69" t="s">
        <v>94</v>
      </c>
      <c r="C671" s="97" t="s">
        <v>278</v>
      </c>
      <c r="D671" s="97" t="s">
        <v>124</v>
      </c>
      <c r="E671" s="95" t="s">
        <v>120</v>
      </c>
      <c r="F671" s="96">
        <v>46225.8336574074</v>
      </c>
      <c r="G671" s="96">
        <v>46224.8338888889</v>
      </c>
      <c r="H671" s="86" t="s">
        <v>99</v>
      </c>
      <c r="I671" s="87">
        <v>12000</v>
      </c>
      <c r="J671" s="83" t="s">
        <v>116</v>
      </c>
      <c r="K671" s="88" t="s">
        <v>117</v>
      </c>
      <c r="L671" s="91">
        <v>45610.7299074074</v>
      </c>
      <c r="M671" s="91">
        <v>45616.7651388889</v>
      </c>
      <c r="N671" s="84" t="s">
        <v>138</v>
      </c>
      <c r="O671" s="91">
        <v>45653.6181365741</v>
      </c>
      <c r="P671" s="91">
        <v>45656.6812037037</v>
      </c>
      <c r="Q671" s="93" t="s">
        <v>121</v>
      </c>
      <c r="R671" s="94">
        <v>46221.7364699074</v>
      </c>
      <c r="S671" s="94">
        <v>46221.8645717593</v>
      </c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5"/>
    </row>
    <row r="672" s="63" customFormat="1" ht="14.4" customHeight="1" spans="1:31">
      <c r="A672" s="68">
        <v>671</v>
      </c>
      <c r="B672" s="69" t="s">
        <v>94</v>
      </c>
      <c r="C672" s="97" t="s">
        <v>278</v>
      </c>
      <c r="D672" s="97" t="s">
        <v>125</v>
      </c>
      <c r="E672" s="95" t="s">
        <v>117</v>
      </c>
      <c r="F672" s="96">
        <v>46227.8969907407</v>
      </c>
      <c r="G672" s="96">
        <v>46237.6594212963</v>
      </c>
      <c r="H672" s="86" t="s">
        <v>99</v>
      </c>
      <c r="I672" s="87">
        <v>12000</v>
      </c>
      <c r="J672" s="83" t="s">
        <v>116</v>
      </c>
      <c r="K672" s="88" t="s">
        <v>117</v>
      </c>
      <c r="L672" s="91">
        <v>45610.7299074074</v>
      </c>
      <c r="M672" s="91">
        <v>45616.7651388889</v>
      </c>
      <c r="N672" s="84" t="s">
        <v>138</v>
      </c>
      <c r="O672" s="91">
        <v>45653.6181365741</v>
      </c>
      <c r="P672" s="91">
        <v>45656.6812037037</v>
      </c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5"/>
    </row>
    <row r="673" s="63" customFormat="1" spans="1:31">
      <c r="A673" s="68">
        <v>672</v>
      </c>
      <c r="B673" s="69" t="s">
        <v>94</v>
      </c>
      <c r="C673" s="97" t="s">
        <v>278</v>
      </c>
      <c r="D673" s="97" t="s">
        <v>126</v>
      </c>
      <c r="E673" s="95" t="s">
        <v>120</v>
      </c>
      <c r="F673" s="96">
        <v>46225.8336574074</v>
      </c>
      <c r="G673" s="96">
        <v>46224.8338888889</v>
      </c>
      <c r="H673" s="86" t="s">
        <v>99</v>
      </c>
      <c r="I673" s="87">
        <v>12000</v>
      </c>
      <c r="J673" s="83" t="s">
        <v>116</v>
      </c>
      <c r="K673" s="88" t="s">
        <v>117</v>
      </c>
      <c r="L673" s="91">
        <v>45610.7299074074</v>
      </c>
      <c r="M673" s="91">
        <v>45616.7651388889</v>
      </c>
      <c r="N673" s="84" t="s">
        <v>138</v>
      </c>
      <c r="O673" s="91">
        <v>45653.6181365741</v>
      </c>
      <c r="P673" s="91">
        <v>45656.6812037037</v>
      </c>
      <c r="Q673" s="93" t="s">
        <v>121</v>
      </c>
      <c r="R673" s="94">
        <v>46221.7364930556</v>
      </c>
      <c r="S673" s="94">
        <v>46221.8646296296</v>
      </c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5"/>
    </row>
    <row r="674" s="63" customFormat="1" spans="1:31">
      <c r="A674" s="68">
        <v>673</v>
      </c>
      <c r="B674" s="69" t="s">
        <v>94</v>
      </c>
      <c r="C674" s="97" t="s">
        <v>278</v>
      </c>
      <c r="D674" s="97" t="s">
        <v>127</v>
      </c>
      <c r="E674" s="95" t="s">
        <v>120</v>
      </c>
      <c r="F674" s="96">
        <v>46225.8336574074</v>
      </c>
      <c r="G674" s="96">
        <v>46224.8338888889</v>
      </c>
      <c r="H674" s="86" t="s">
        <v>99</v>
      </c>
      <c r="I674" s="87">
        <v>12000</v>
      </c>
      <c r="J674" s="83" t="s">
        <v>116</v>
      </c>
      <c r="K674" s="88" t="s">
        <v>117</v>
      </c>
      <c r="L674" s="91">
        <v>45610.7299074074</v>
      </c>
      <c r="M674" s="91">
        <v>45616.7651388889</v>
      </c>
      <c r="N674" s="84" t="s">
        <v>138</v>
      </c>
      <c r="O674" s="91">
        <v>45653.6181365741</v>
      </c>
      <c r="P674" s="91">
        <v>45656.6812037037</v>
      </c>
      <c r="Q674" s="93" t="s">
        <v>121</v>
      </c>
      <c r="R674" s="94">
        <v>46221.7364699074</v>
      </c>
      <c r="S674" s="94">
        <v>46221.8647337963</v>
      </c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5"/>
    </row>
    <row r="675" s="63" customFormat="1" ht="14.4" customHeight="1" spans="1:31">
      <c r="A675" s="68">
        <v>674</v>
      </c>
      <c r="B675" s="69" t="s">
        <v>94</v>
      </c>
      <c r="C675" s="97" t="s">
        <v>278</v>
      </c>
      <c r="D675" s="97" t="s">
        <v>128</v>
      </c>
      <c r="E675" s="95" t="s">
        <v>117</v>
      </c>
      <c r="F675" s="96">
        <v>46227.8970138889</v>
      </c>
      <c r="G675" s="96">
        <v>46237.6594675926</v>
      </c>
      <c r="H675" s="86" t="s">
        <v>99</v>
      </c>
      <c r="I675" s="87">
        <v>12000</v>
      </c>
      <c r="J675" s="83" t="s">
        <v>116</v>
      </c>
      <c r="K675" s="89"/>
      <c r="L675" s="90"/>
      <c r="M675" s="82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5"/>
    </row>
    <row r="676" s="63" customFormat="1" spans="1:31">
      <c r="A676" s="68">
        <v>675</v>
      </c>
      <c r="B676" s="69" t="s">
        <v>94</v>
      </c>
      <c r="C676" s="97" t="s">
        <v>278</v>
      </c>
      <c r="D676" s="97" t="s">
        <v>129</v>
      </c>
      <c r="E676" s="95" t="s">
        <v>120</v>
      </c>
      <c r="F676" s="96">
        <v>46225.8336574074</v>
      </c>
      <c r="G676" s="96">
        <v>46224.8338888889</v>
      </c>
      <c r="H676" s="86" t="s">
        <v>99</v>
      </c>
      <c r="I676" s="87">
        <v>12000</v>
      </c>
      <c r="J676" s="83" t="s">
        <v>116</v>
      </c>
      <c r="K676" s="93" t="s">
        <v>121</v>
      </c>
      <c r="L676" s="94">
        <v>46221.7364814815</v>
      </c>
      <c r="M676" s="94">
        <v>46221.8648032407</v>
      </c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5"/>
    </row>
    <row r="677" s="63" customFormat="1" spans="1:31">
      <c r="A677" s="68">
        <v>676</v>
      </c>
      <c r="B677" s="69" t="s">
        <v>94</v>
      </c>
      <c r="C677" s="97" t="s">
        <v>278</v>
      </c>
      <c r="D677" s="97" t="s">
        <v>130</v>
      </c>
      <c r="E677" s="95" t="s">
        <v>120</v>
      </c>
      <c r="F677" s="96">
        <v>46225.8336574074</v>
      </c>
      <c r="G677" s="96">
        <v>46224.8338888889</v>
      </c>
      <c r="H677" s="86" t="s">
        <v>99</v>
      </c>
      <c r="I677" s="87">
        <v>12000</v>
      </c>
      <c r="J677" s="83" t="s">
        <v>116</v>
      </c>
      <c r="K677" s="93" t="s">
        <v>121</v>
      </c>
      <c r="L677" s="94">
        <v>46221.7364814815</v>
      </c>
      <c r="M677" s="94">
        <v>46221.8648842593</v>
      </c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5"/>
    </row>
    <row r="678" s="63" customFormat="1" ht="14.4" customHeight="1" spans="1:31">
      <c r="A678" s="68">
        <v>677</v>
      </c>
      <c r="B678" s="69" t="s">
        <v>94</v>
      </c>
      <c r="C678" s="97" t="s">
        <v>278</v>
      </c>
      <c r="D678" s="97" t="s">
        <v>131</v>
      </c>
      <c r="E678" s="95" t="s">
        <v>117</v>
      </c>
      <c r="F678" s="96">
        <v>46227.8969907407</v>
      </c>
      <c r="G678" s="96">
        <v>46237.659525463</v>
      </c>
      <c r="H678" s="86" t="s">
        <v>99</v>
      </c>
      <c r="I678" s="87">
        <v>12000</v>
      </c>
      <c r="J678" s="83" t="s">
        <v>116</v>
      </c>
      <c r="K678" s="89"/>
      <c r="L678" s="90"/>
      <c r="M678" s="82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5"/>
    </row>
    <row r="679" s="63" customFormat="1" spans="1:31">
      <c r="A679" s="68">
        <v>678</v>
      </c>
      <c r="B679" s="69" t="s">
        <v>94</v>
      </c>
      <c r="C679" s="97" t="s">
        <v>278</v>
      </c>
      <c r="D679" s="97" t="s">
        <v>132</v>
      </c>
      <c r="E679" s="95" t="s">
        <v>120</v>
      </c>
      <c r="F679" s="96">
        <v>46225.8336574074</v>
      </c>
      <c r="G679" s="96">
        <v>46224.8338888889</v>
      </c>
      <c r="H679" s="86" t="s">
        <v>99</v>
      </c>
      <c r="I679" s="87">
        <v>12000</v>
      </c>
      <c r="J679" s="83" t="s">
        <v>116</v>
      </c>
      <c r="K679" s="93" t="s">
        <v>121</v>
      </c>
      <c r="L679" s="94">
        <v>46221.7364930556</v>
      </c>
      <c r="M679" s="94">
        <v>46221.8641898148</v>
      </c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5"/>
    </row>
    <row r="680" s="63" customFormat="1" spans="1:31">
      <c r="A680" s="68">
        <v>679</v>
      </c>
      <c r="B680" s="69" t="s">
        <v>94</v>
      </c>
      <c r="C680" s="97" t="s">
        <v>278</v>
      </c>
      <c r="D680" s="97" t="s">
        <v>133</v>
      </c>
      <c r="E680" s="95" t="s">
        <v>120</v>
      </c>
      <c r="F680" s="96">
        <v>46225.8336574074</v>
      </c>
      <c r="G680" s="96">
        <v>46224.8338888889</v>
      </c>
      <c r="H680" s="86" t="s">
        <v>99</v>
      </c>
      <c r="I680" s="87">
        <v>12000</v>
      </c>
      <c r="J680" s="83" t="s">
        <v>116</v>
      </c>
      <c r="K680" s="93" t="s">
        <v>121</v>
      </c>
      <c r="L680" s="94">
        <v>46221.7364814815</v>
      </c>
      <c r="M680" s="94">
        <v>46221.8650347222</v>
      </c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5"/>
    </row>
    <row r="681" s="63" customFormat="1" ht="14.4" customHeight="1" spans="1:31">
      <c r="A681" s="68">
        <v>680</v>
      </c>
      <c r="B681" s="69" t="s">
        <v>94</v>
      </c>
      <c r="C681" s="97" t="s">
        <v>278</v>
      </c>
      <c r="D681" s="97" t="s">
        <v>134</v>
      </c>
      <c r="E681" s="95" t="s">
        <v>117</v>
      </c>
      <c r="F681" s="96">
        <v>46227.8969907407</v>
      </c>
      <c r="G681" s="96">
        <v>46237.6614351852</v>
      </c>
      <c r="H681" s="86" t="s">
        <v>99</v>
      </c>
      <c r="I681" s="87">
        <v>12000</v>
      </c>
      <c r="J681" s="83" t="s">
        <v>116</v>
      </c>
      <c r="K681" s="89"/>
      <c r="L681" s="90"/>
      <c r="M681" s="82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5"/>
    </row>
    <row r="682" s="63" customFormat="1" ht="14.4" customHeight="1" spans="1:31">
      <c r="A682" s="68">
        <v>681</v>
      </c>
      <c r="B682" s="69" t="s">
        <v>94</v>
      </c>
      <c r="C682" s="97" t="s">
        <v>278</v>
      </c>
      <c r="D682" s="97" t="s">
        <v>135</v>
      </c>
      <c r="E682" s="95" t="s">
        <v>117</v>
      </c>
      <c r="F682" s="96">
        <v>46227.8969907407</v>
      </c>
      <c r="G682" s="96">
        <v>46237.6615046296</v>
      </c>
      <c r="H682" s="86" t="s">
        <v>99</v>
      </c>
      <c r="I682" s="87">
        <v>12000</v>
      </c>
      <c r="J682" s="83" t="s">
        <v>116</v>
      </c>
      <c r="K682" s="89"/>
      <c r="L682" s="90"/>
      <c r="M682" s="82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5"/>
    </row>
    <row r="683" s="63" customFormat="1" spans="1:31">
      <c r="A683" s="68">
        <v>682</v>
      </c>
      <c r="B683" s="69" t="s">
        <v>94</v>
      </c>
      <c r="C683" s="97" t="s">
        <v>278</v>
      </c>
      <c r="D683" s="97" t="s">
        <v>136</v>
      </c>
      <c r="E683" s="95" t="s">
        <v>120</v>
      </c>
      <c r="F683" s="96">
        <v>46225.8336574074</v>
      </c>
      <c r="G683" s="96">
        <v>46224.8338888889</v>
      </c>
      <c r="H683" s="86" t="s">
        <v>99</v>
      </c>
      <c r="I683" s="87">
        <v>12000</v>
      </c>
      <c r="J683" s="83" t="s">
        <v>116</v>
      </c>
      <c r="K683" s="93" t="s">
        <v>121</v>
      </c>
      <c r="L683" s="94">
        <v>46221.7364814815</v>
      </c>
      <c r="M683" s="94">
        <v>46221.8650925926</v>
      </c>
      <c r="N683" s="84"/>
      <c r="O683" s="84"/>
      <c r="P683" s="84"/>
      <c r="Q683" s="84"/>
      <c r="R683" s="84"/>
      <c r="S683" s="84"/>
      <c r="T683" s="84"/>
      <c r="U683" s="84"/>
      <c r="V683" s="84"/>
      <c r="W683" s="84"/>
      <c r="X683" s="84"/>
      <c r="Y683" s="84"/>
      <c r="Z683" s="84"/>
      <c r="AA683" s="84"/>
      <c r="AB683" s="84"/>
      <c r="AC683" s="84"/>
      <c r="AD683" s="84"/>
      <c r="AE683" s="85"/>
    </row>
    <row r="684" s="63" customFormat="1" ht="14.4" customHeight="1" spans="1:31">
      <c r="A684" s="68">
        <v>683</v>
      </c>
      <c r="B684" s="69" t="s">
        <v>94</v>
      </c>
      <c r="C684" s="70" t="s">
        <v>278</v>
      </c>
      <c r="D684" s="84" t="s">
        <v>137</v>
      </c>
      <c r="E684" s="88"/>
      <c r="F684" s="84"/>
      <c r="G684" s="84"/>
      <c r="H684" s="79" t="s">
        <v>97</v>
      </c>
      <c r="I684" s="80">
        <v>16000</v>
      </c>
      <c r="J684" s="84"/>
      <c r="K684" s="89"/>
      <c r="L684" s="90"/>
      <c r="M684" s="82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5"/>
    </row>
    <row r="685" s="63" customFormat="1" ht="14.4" customHeight="1" spans="1:31">
      <c r="A685" s="68">
        <v>684</v>
      </c>
      <c r="B685" s="69" t="s">
        <v>94</v>
      </c>
      <c r="C685" s="70" t="s">
        <v>278</v>
      </c>
      <c r="D685" s="84" t="s">
        <v>139</v>
      </c>
      <c r="E685" s="84" t="s">
        <v>138</v>
      </c>
      <c r="F685" s="91">
        <v>45653.6181365741</v>
      </c>
      <c r="G685" s="91">
        <v>45656.6812037037</v>
      </c>
      <c r="H685" s="86" t="s">
        <v>99</v>
      </c>
      <c r="I685" s="87">
        <v>12000</v>
      </c>
      <c r="J685" s="83" t="s">
        <v>116</v>
      </c>
      <c r="K685" s="88" t="s">
        <v>117</v>
      </c>
      <c r="L685" s="91">
        <v>45610.7299074074</v>
      </c>
      <c r="M685" s="91">
        <v>45616.7651388889</v>
      </c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5"/>
    </row>
    <row r="686" s="63" customFormat="1" ht="14.4" customHeight="1" spans="1:31">
      <c r="A686" s="68">
        <v>685</v>
      </c>
      <c r="B686" s="69" t="s">
        <v>94</v>
      </c>
      <c r="C686" s="70" t="s">
        <v>278</v>
      </c>
      <c r="D686" s="84" t="s">
        <v>140</v>
      </c>
      <c r="E686" s="84" t="s">
        <v>138</v>
      </c>
      <c r="F686" s="91">
        <v>45653.6181365741</v>
      </c>
      <c r="G686" s="91">
        <v>45656.6812037037</v>
      </c>
      <c r="H686" s="86" t="s">
        <v>99</v>
      </c>
      <c r="I686" s="87">
        <v>12000</v>
      </c>
      <c r="J686" s="83" t="s">
        <v>116</v>
      </c>
      <c r="K686" s="88" t="s">
        <v>117</v>
      </c>
      <c r="L686" s="91">
        <v>45610.7299074074</v>
      </c>
      <c r="M686" s="91">
        <v>45616.7651388889</v>
      </c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5"/>
    </row>
    <row r="687" s="63" customFormat="1" ht="14.4" customHeight="1" spans="1:31">
      <c r="A687" s="68">
        <v>686</v>
      </c>
      <c r="B687" s="69" t="s">
        <v>94</v>
      </c>
      <c r="C687" s="97" t="s">
        <v>278</v>
      </c>
      <c r="D687" s="97" t="s">
        <v>141</v>
      </c>
      <c r="E687" s="95" t="s">
        <v>117</v>
      </c>
      <c r="F687" s="96">
        <v>46227.897037037</v>
      </c>
      <c r="G687" s="96">
        <v>46237.6615509259</v>
      </c>
      <c r="H687" s="86" t="s">
        <v>99</v>
      </c>
      <c r="I687" s="87">
        <v>12000</v>
      </c>
      <c r="J687" s="83" t="s">
        <v>116</v>
      </c>
      <c r="K687" s="88" t="s">
        <v>117</v>
      </c>
      <c r="L687" s="91">
        <v>45610.7299074074</v>
      </c>
      <c r="M687" s="91">
        <v>45616.7651388889</v>
      </c>
      <c r="N687" s="84" t="s">
        <v>138</v>
      </c>
      <c r="O687" s="91">
        <v>45653.6181365741</v>
      </c>
      <c r="P687" s="91">
        <v>45656.6812037037</v>
      </c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5"/>
    </row>
    <row r="688" s="63" customFormat="1" spans="1:31">
      <c r="A688" s="68">
        <v>687</v>
      </c>
      <c r="B688" s="69" t="s">
        <v>94</v>
      </c>
      <c r="C688" s="97" t="s">
        <v>278</v>
      </c>
      <c r="D688" s="97" t="s">
        <v>142</v>
      </c>
      <c r="E688" s="95" t="s">
        <v>120</v>
      </c>
      <c r="F688" s="96">
        <v>46225.8336574074</v>
      </c>
      <c r="G688" s="96">
        <v>46224.8338888889</v>
      </c>
      <c r="H688" s="86" t="s">
        <v>99</v>
      </c>
      <c r="I688" s="87">
        <v>12000</v>
      </c>
      <c r="J688" s="83" t="s">
        <v>116</v>
      </c>
      <c r="K688" s="88" t="s">
        <v>117</v>
      </c>
      <c r="L688" s="91">
        <v>45610.7299074074</v>
      </c>
      <c r="M688" s="91">
        <v>45616.7651388889</v>
      </c>
      <c r="N688" s="84" t="s">
        <v>138</v>
      </c>
      <c r="O688" s="91">
        <v>45653.6181365741</v>
      </c>
      <c r="P688" s="91">
        <v>45656.6812037037</v>
      </c>
      <c r="Q688" s="93" t="s">
        <v>121</v>
      </c>
      <c r="R688" s="94">
        <v>46221.7364814815</v>
      </c>
      <c r="S688" s="94">
        <v>46221.8860763889</v>
      </c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5"/>
    </row>
    <row r="689" s="63" customFormat="1" spans="1:31">
      <c r="A689" s="68">
        <v>688</v>
      </c>
      <c r="B689" s="69" t="s">
        <v>94</v>
      </c>
      <c r="C689" s="97" t="s">
        <v>278</v>
      </c>
      <c r="D689" s="97" t="s">
        <v>143</v>
      </c>
      <c r="E689" s="95" t="s">
        <v>120</v>
      </c>
      <c r="F689" s="96">
        <v>46225.8336574074</v>
      </c>
      <c r="G689" s="96">
        <v>46224.8338888889</v>
      </c>
      <c r="H689" s="86" t="s">
        <v>99</v>
      </c>
      <c r="I689" s="87">
        <v>12000</v>
      </c>
      <c r="J689" s="83" t="s">
        <v>116</v>
      </c>
      <c r="K689" s="88" t="s">
        <v>117</v>
      </c>
      <c r="L689" s="91">
        <v>45561.6753125</v>
      </c>
      <c r="M689" s="91">
        <v>45610.7963078704</v>
      </c>
      <c r="N689" s="84" t="s">
        <v>138</v>
      </c>
      <c r="O689" s="91">
        <v>45646.6181481481</v>
      </c>
      <c r="P689" s="91">
        <v>45652.6962962963</v>
      </c>
      <c r="Q689" s="93" t="s">
        <v>121</v>
      </c>
      <c r="R689" s="94">
        <v>46221.7364814815</v>
      </c>
      <c r="S689" s="94">
        <v>46221.8866898148</v>
      </c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5"/>
    </row>
    <row r="690" s="63" customFormat="1" ht="14.4" customHeight="1" spans="1:31">
      <c r="A690" s="68">
        <v>689</v>
      </c>
      <c r="B690" s="69" t="s">
        <v>94</v>
      </c>
      <c r="C690" s="97" t="s">
        <v>278</v>
      </c>
      <c r="D690" s="97" t="s">
        <v>144</v>
      </c>
      <c r="E690" s="95" t="s">
        <v>117</v>
      </c>
      <c r="F690" s="96">
        <v>46227.8969791667</v>
      </c>
      <c r="G690" s="96">
        <v>46237.6615972222</v>
      </c>
      <c r="H690" s="86" t="s">
        <v>99</v>
      </c>
      <c r="I690" s="87">
        <v>12000</v>
      </c>
      <c r="J690" s="83" t="s">
        <v>116</v>
      </c>
      <c r="K690" s="88" t="s">
        <v>117</v>
      </c>
      <c r="L690" s="91">
        <v>45561.6753125</v>
      </c>
      <c r="M690" s="91">
        <v>45610.7963078704</v>
      </c>
      <c r="N690" s="84" t="s">
        <v>138</v>
      </c>
      <c r="O690" s="91">
        <v>45646.6181481481</v>
      </c>
      <c r="P690" s="91">
        <v>45652.6962962963</v>
      </c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5"/>
    </row>
    <row r="691" s="63" customFormat="1" spans="1:31">
      <c r="A691" s="68">
        <v>690</v>
      </c>
      <c r="B691" s="69" t="s">
        <v>94</v>
      </c>
      <c r="C691" s="97" t="s">
        <v>278</v>
      </c>
      <c r="D691" s="97" t="s">
        <v>145</v>
      </c>
      <c r="E691" s="95" t="s">
        <v>120</v>
      </c>
      <c r="F691" s="96">
        <v>46225.8336574074</v>
      </c>
      <c r="G691" s="96">
        <v>46224.8338888889</v>
      </c>
      <c r="H691" s="86" t="s">
        <v>99</v>
      </c>
      <c r="I691" s="87">
        <v>12000</v>
      </c>
      <c r="J691" s="83" t="s">
        <v>116</v>
      </c>
      <c r="K691" s="88" t="s">
        <v>117</v>
      </c>
      <c r="L691" s="91">
        <v>45561.6753125</v>
      </c>
      <c r="M691" s="91">
        <v>45610.7963078704</v>
      </c>
      <c r="N691" s="84" t="s">
        <v>138</v>
      </c>
      <c r="O691" s="91">
        <v>45646.6181481481</v>
      </c>
      <c r="P691" s="91">
        <v>45652.6962962963</v>
      </c>
      <c r="Q691" s="93" t="s">
        <v>121</v>
      </c>
      <c r="R691" s="94">
        <v>46221.7364699074</v>
      </c>
      <c r="S691" s="94">
        <v>46221.8867708333</v>
      </c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5"/>
    </row>
    <row r="692" s="63" customFormat="1" spans="1:31">
      <c r="A692" s="68">
        <v>691</v>
      </c>
      <c r="B692" s="69" t="s">
        <v>94</v>
      </c>
      <c r="C692" s="97" t="s">
        <v>278</v>
      </c>
      <c r="D692" s="97" t="s">
        <v>146</v>
      </c>
      <c r="E692" s="95" t="s">
        <v>120</v>
      </c>
      <c r="F692" s="96">
        <v>46225.8336574074</v>
      </c>
      <c r="G692" s="96">
        <v>46224.8338888889</v>
      </c>
      <c r="H692" s="86" t="s">
        <v>99</v>
      </c>
      <c r="I692" s="87">
        <v>12000</v>
      </c>
      <c r="J692" s="83" t="s">
        <v>116</v>
      </c>
      <c r="K692" s="88" t="s">
        <v>117</v>
      </c>
      <c r="L692" s="91">
        <v>45561.6753125</v>
      </c>
      <c r="M692" s="91">
        <v>45610.7963078704</v>
      </c>
      <c r="N692" s="84" t="s">
        <v>138</v>
      </c>
      <c r="O692" s="91">
        <v>45646.6181481481</v>
      </c>
      <c r="P692" s="91">
        <v>45652.6962962963</v>
      </c>
      <c r="Q692" s="93" t="s">
        <v>121</v>
      </c>
      <c r="R692" s="94">
        <v>46221.7364814815</v>
      </c>
      <c r="S692" s="94">
        <v>46221.8869791667</v>
      </c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5"/>
    </row>
    <row r="693" s="63" customFormat="1" ht="14.4" customHeight="1" spans="1:31">
      <c r="A693" s="68">
        <v>692</v>
      </c>
      <c r="B693" s="69" t="s">
        <v>94</v>
      </c>
      <c r="C693" s="97" t="s">
        <v>278</v>
      </c>
      <c r="D693" s="97" t="s">
        <v>147</v>
      </c>
      <c r="E693" s="95" t="s">
        <v>117</v>
      </c>
      <c r="F693" s="96">
        <v>46227.8969907407</v>
      </c>
      <c r="G693" s="96">
        <v>46237.6616435185</v>
      </c>
      <c r="H693" s="86" t="s">
        <v>99</v>
      </c>
      <c r="I693" s="87">
        <v>12000</v>
      </c>
      <c r="J693" s="83" t="s">
        <v>116</v>
      </c>
      <c r="K693" s="88" t="s">
        <v>117</v>
      </c>
      <c r="L693" s="91">
        <v>45561.6753125</v>
      </c>
      <c r="M693" s="91">
        <v>45610.7963078704</v>
      </c>
      <c r="N693" s="84" t="s">
        <v>138</v>
      </c>
      <c r="O693" s="91">
        <v>45646.6181481481</v>
      </c>
      <c r="P693" s="91">
        <v>45652.6962962963</v>
      </c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5"/>
    </row>
    <row r="694" s="63" customFormat="1" spans="1:31">
      <c r="A694" s="68">
        <v>693</v>
      </c>
      <c r="B694" s="69" t="s">
        <v>94</v>
      </c>
      <c r="C694" s="97" t="s">
        <v>278</v>
      </c>
      <c r="D694" s="97" t="s">
        <v>148</v>
      </c>
      <c r="E694" s="95" t="s">
        <v>120</v>
      </c>
      <c r="F694" s="96">
        <v>46225.8336574074</v>
      </c>
      <c r="G694" s="96">
        <v>46224.8338888889</v>
      </c>
      <c r="H694" s="86" t="s">
        <v>99</v>
      </c>
      <c r="I694" s="87">
        <v>12000</v>
      </c>
      <c r="J694" s="83" t="s">
        <v>116</v>
      </c>
      <c r="K694" s="93" t="s">
        <v>121</v>
      </c>
      <c r="L694" s="94">
        <v>46221.7364930556</v>
      </c>
      <c r="M694" s="94">
        <v>46221.887025463</v>
      </c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5"/>
    </row>
    <row r="695" s="63" customFormat="1" spans="1:31">
      <c r="A695" s="68">
        <v>694</v>
      </c>
      <c r="B695" s="69" t="s">
        <v>94</v>
      </c>
      <c r="C695" s="97" t="s">
        <v>278</v>
      </c>
      <c r="D695" s="97" t="s">
        <v>149</v>
      </c>
      <c r="E695" s="95" t="s">
        <v>120</v>
      </c>
      <c r="F695" s="96">
        <v>46225.8336574074</v>
      </c>
      <c r="G695" s="96">
        <v>46224.8338888889</v>
      </c>
      <c r="H695" s="86" t="s">
        <v>99</v>
      </c>
      <c r="I695" s="87">
        <v>12000</v>
      </c>
      <c r="J695" s="83" t="s">
        <v>116</v>
      </c>
      <c r="K695" s="93" t="s">
        <v>121</v>
      </c>
      <c r="L695" s="94">
        <v>46221.7364814815</v>
      </c>
      <c r="M695" s="94">
        <v>46221.8871180556</v>
      </c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5"/>
    </row>
    <row r="696" s="63" customFormat="1" ht="14.4" customHeight="1" spans="1:31">
      <c r="A696" s="68">
        <v>695</v>
      </c>
      <c r="B696" s="69" t="s">
        <v>94</v>
      </c>
      <c r="C696" s="97" t="s">
        <v>278</v>
      </c>
      <c r="D696" s="97" t="s">
        <v>150</v>
      </c>
      <c r="E696" s="95" t="s">
        <v>117</v>
      </c>
      <c r="F696" s="96">
        <v>46227.8969907407</v>
      </c>
      <c r="G696" s="96">
        <v>46237.6620601852</v>
      </c>
      <c r="H696" s="86" t="s">
        <v>99</v>
      </c>
      <c r="I696" s="87">
        <v>12000</v>
      </c>
      <c r="J696" s="83" t="s">
        <v>116</v>
      </c>
      <c r="K696" s="89"/>
      <c r="L696" s="90"/>
      <c r="M696" s="82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5"/>
    </row>
    <row r="697" s="63" customFormat="1" spans="1:31">
      <c r="A697" s="68">
        <v>696</v>
      </c>
      <c r="B697" s="69" t="s">
        <v>94</v>
      </c>
      <c r="C697" s="97" t="s">
        <v>278</v>
      </c>
      <c r="D697" s="97" t="s">
        <v>151</v>
      </c>
      <c r="E697" s="95" t="s">
        <v>120</v>
      </c>
      <c r="F697" s="96">
        <v>46225.8336574074</v>
      </c>
      <c r="G697" s="96">
        <v>46224.8338888889</v>
      </c>
      <c r="H697" s="86" t="s">
        <v>99</v>
      </c>
      <c r="I697" s="87">
        <v>12000</v>
      </c>
      <c r="J697" s="83" t="s">
        <v>116</v>
      </c>
      <c r="K697" s="93" t="s">
        <v>121</v>
      </c>
      <c r="L697" s="94">
        <v>46221.7364699074</v>
      </c>
      <c r="M697" s="94">
        <v>46221.8890277778</v>
      </c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5"/>
    </row>
    <row r="698" s="63" customFormat="1" spans="1:31">
      <c r="A698" s="68">
        <v>697</v>
      </c>
      <c r="B698" s="69" t="s">
        <v>94</v>
      </c>
      <c r="C698" s="97" t="s">
        <v>278</v>
      </c>
      <c r="D698" s="97" t="s">
        <v>152</v>
      </c>
      <c r="E698" s="95" t="s">
        <v>120</v>
      </c>
      <c r="F698" s="96">
        <v>46225.8336574074</v>
      </c>
      <c r="G698" s="96">
        <v>46224.8338888889</v>
      </c>
      <c r="H698" s="86" t="s">
        <v>99</v>
      </c>
      <c r="I698" s="87">
        <v>12000</v>
      </c>
      <c r="J698" s="83" t="s">
        <v>116</v>
      </c>
      <c r="K698" s="93" t="s">
        <v>121</v>
      </c>
      <c r="L698" s="94">
        <v>46221.7364930556</v>
      </c>
      <c r="M698" s="94">
        <v>46221.8913541667</v>
      </c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5"/>
    </row>
    <row r="699" s="63" customFormat="1" spans="1:31">
      <c r="A699" s="68">
        <v>698</v>
      </c>
      <c r="B699" s="69" t="s">
        <v>94</v>
      </c>
      <c r="C699" s="97" t="s">
        <v>278</v>
      </c>
      <c r="D699" s="97" t="s">
        <v>153</v>
      </c>
      <c r="E699" s="95" t="s">
        <v>120</v>
      </c>
      <c r="F699" s="96">
        <v>46225.8336574074</v>
      </c>
      <c r="G699" s="96">
        <v>46224.8338888889</v>
      </c>
      <c r="H699" s="86" t="s">
        <v>99</v>
      </c>
      <c r="I699" s="87">
        <v>12000</v>
      </c>
      <c r="J699" s="83" t="s">
        <v>116</v>
      </c>
      <c r="K699" s="93" t="s">
        <v>121</v>
      </c>
      <c r="L699" s="94">
        <v>46221.7364930556</v>
      </c>
      <c r="M699" s="94">
        <v>46221.8914351852</v>
      </c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5"/>
    </row>
    <row r="700" s="63" customFormat="1" ht="14.4" customHeight="1" spans="1:31">
      <c r="A700" s="68">
        <v>699</v>
      </c>
      <c r="B700" s="69" t="s">
        <v>94</v>
      </c>
      <c r="C700" s="97" t="s">
        <v>278</v>
      </c>
      <c r="D700" s="97" t="s">
        <v>154</v>
      </c>
      <c r="E700" s="95" t="s">
        <v>121</v>
      </c>
      <c r="F700" s="96">
        <v>46152.725462963</v>
      </c>
      <c r="G700" s="96">
        <v>46153.6321527778</v>
      </c>
      <c r="H700" s="79" t="s">
        <v>97</v>
      </c>
      <c r="I700" s="80">
        <v>16000</v>
      </c>
      <c r="J700" s="83" t="s">
        <v>116</v>
      </c>
      <c r="K700" s="89"/>
      <c r="L700" s="90"/>
      <c r="M700" s="82"/>
      <c r="N700" s="84"/>
      <c r="O700" s="84"/>
      <c r="P700" s="84"/>
      <c r="Q700" s="84"/>
      <c r="R700" s="84"/>
      <c r="S700" s="84"/>
      <c r="T700" s="84"/>
      <c r="U700" s="84"/>
      <c r="V700" s="84"/>
      <c r="W700" s="84"/>
      <c r="X700" s="84"/>
      <c r="Y700" s="84"/>
      <c r="Z700" s="84"/>
      <c r="AA700" s="84"/>
      <c r="AB700" s="84"/>
      <c r="AC700" s="84"/>
      <c r="AD700" s="84"/>
      <c r="AE700" s="85"/>
    </row>
    <row r="701" s="63" customFormat="1" ht="14.4" customHeight="1" spans="1:31">
      <c r="A701" s="68">
        <v>700</v>
      </c>
      <c r="B701" s="69" t="s">
        <v>94</v>
      </c>
      <c r="C701" s="70" t="s">
        <v>278</v>
      </c>
      <c r="D701" s="84" t="s">
        <v>155</v>
      </c>
      <c r="E701" s="84" t="s">
        <v>138</v>
      </c>
      <c r="F701" s="91">
        <v>45646.6181481481</v>
      </c>
      <c r="G701" s="91">
        <v>45652.6962962963</v>
      </c>
      <c r="H701" s="86" t="s">
        <v>99</v>
      </c>
      <c r="I701" s="87">
        <v>12000</v>
      </c>
      <c r="J701" s="83" t="s">
        <v>116</v>
      </c>
      <c r="K701" s="88" t="s">
        <v>117</v>
      </c>
      <c r="L701" s="91">
        <v>45561.6753125</v>
      </c>
      <c r="M701" s="91">
        <v>45610.7963078704</v>
      </c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5"/>
    </row>
    <row r="702" s="63" customFormat="1" ht="14.4" customHeight="1" spans="1:31">
      <c r="A702" s="68">
        <v>701</v>
      </c>
      <c r="B702" s="69" t="s">
        <v>94</v>
      </c>
      <c r="C702" s="70" t="s">
        <v>278</v>
      </c>
      <c r="D702" s="84" t="s">
        <v>156</v>
      </c>
      <c r="E702" s="84" t="s">
        <v>138</v>
      </c>
      <c r="F702" s="91">
        <v>45646.6181481481</v>
      </c>
      <c r="G702" s="91">
        <v>45652.6962962963</v>
      </c>
      <c r="H702" s="86" t="s">
        <v>99</v>
      </c>
      <c r="I702" s="87">
        <v>12000</v>
      </c>
      <c r="J702" s="83" t="s">
        <v>116</v>
      </c>
      <c r="K702" s="88" t="s">
        <v>117</v>
      </c>
      <c r="L702" s="91">
        <v>45561.6753125</v>
      </c>
      <c r="M702" s="91">
        <v>45610.7963078704</v>
      </c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5"/>
    </row>
    <row r="703" s="63" customFormat="1" ht="14.4" customHeight="1" spans="1:31">
      <c r="A703" s="68">
        <v>702</v>
      </c>
      <c r="B703" s="69" t="s">
        <v>94</v>
      </c>
      <c r="C703" s="70" t="s">
        <v>278</v>
      </c>
      <c r="D703" s="84" t="s">
        <v>157</v>
      </c>
      <c r="E703" s="84" t="s">
        <v>138</v>
      </c>
      <c r="F703" s="91">
        <v>45646.6181481481</v>
      </c>
      <c r="G703" s="91">
        <v>45652.6962962963</v>
      </c>
      <c r="H703" s="86" t="s">
        <v>99</v>
      </c>
      <c r="I703" s="87">
        <v>12000</v>
      </c>
      <c r="J703" s="83" t="s">
        <v>116</v>
      </c>
      <c r="K703" s="88" t="s">
        <v>117</v>
      </c>
      <c r="L703" s="91">
        <v>45561.6753125</v>
      </c>
      <c r="M703" s="91">
        <v>45610.7963078704</v>
      </c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5"/>
    </row>
    <row r="704" s="63" customFormat="1" ht="14.4" customHeight="1" spans="1:31">
      <c r="A704" s="68">
        <v>703</v>
      </c>
      <c r="B704" s="69" t="s">
        <v>94</v>
      </c>
      <c r="C704" s="70" t="s">
        <v>278</v>
      </c>
      <c r="D704" s="84" t="s">
        <v>158</v>
      </c>
      <c r="E704" s="84" t="s">
        <v>138</v>
      </c>
      <c r="F704" s="91">
        <v>45646.6181481481</v>
      </c>
      <c r="G704" s="91">
        <v>45652.6962962963</v>
      </c>
      <c r="H704" s="86" t="s">
        <v>99</v>
      </c>
      <c r="I704" s="87">
        <v>12000</v>
      </c>
      <c r="J704" s="83" t="s">
        <v>116</v>
      </c>
      <c r="K704" s="88" t="s">
        <v>117</v>
      </c>
      <c r="L704" s="91">
        <v>45561.6753125</v>
      </c>
      <c r="M704" s="91">
        <v>45610.7963078704</v>
      </c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5"/>
    </row>
    <row r="705" s="63" customFormat="1" ht="14.4" customHeight="1" spans="1:31">
      <c r="A705" s="68">
        <v>704</v>
      </c>
      <c r="B705" s="69" t="s">
        <v>94</v>
      </c>
      <c r="C705" s="70" t="s">
        <v>278</v>
      </c>
      <c r="D705" s="84" t="s">
        <v>159</v>
      </c>
      <c r="E705" s="84" t="s">
        <v>138</v>
      </c>
      <c r="F705" s="91">
        <v>45646.6181481481</v>
      </c>
      <c r="G705" s="91">
        <v>45652.6962962963</v>
      </c>
      <c r="H705" s="86" t="s">
        <v>99</v>
      </c>
      <c r="I705" s="87">
        <v>12000</v>
      </c>
      <c r="J705" s="83" t="s">
        <v>116</v>
      </c>
      <c r="K705" s="88" t="s">
        <v>117</v>
      </c>
      <c r="L705" s="91">
        <v>45561.6753125</v>
      </c>
      <c r="M705" s="91">
        <v>45610.7963078704</v>
      </c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5"/>
    </row>
    <row r="706" s="63" customFormat="1" ht="14.4" customHeight="1" spans="1:31">
      <c r="A706" s="68">
        <v>705</v>
      </c>
      <c r="B706" s="69" t="s">
        <v>94</v>
      </c>
      <c r="C706" s="70" t="s">
        <v>278</v>
      </c>
      <c r="D706" s="84" t="s">
        <v>160</v>
      </c>
      <c r="E706" s="84" t="s">
        <v>138</v>
      </c>
      <c r="F706" s="91">
        <v>45646.6181481481</v>
      </c>
      <c r="G706" s="91">
        <v>45652.6962962963</v>
      </c>
      <c r="H706" s="86" t="s">
        <v>99</v>
      </c>
      <c r="I706" s="87">
        <v>12000</v>
      </c>
      <c r="J706" s="83" t="s">
        <v>116</v>
      </c>
      <c r="K706" s="88" t="s">
        <v>117</v>
      </c>
      <c r="L706" s="91">
        <v>45561.6753125</v>
      </c>
      <c r="M706" s="91">
        <v>45610.7963078704</v>
      </c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5"/>
    </row>
    <row r="707" s="63" customFormat="1" ht="14.4" customHeight="1" spans="1:31">
      <c r="A707" s="68">
        <v>706</v>
      </c>
      <c r="B707" s="69" t="s">
        <v>94</v>
      </c>
      <c r="C707" s="70" t="s">
        <v>278</v>
      </c>
      <c r="D707" s="84" t="s">
        <v>161</v>
      </c>
      <c r="E707" s="84" t="s">
        <v>138</v>
      </c>
      <c r="F707" s="91">
        <v>45646.6181481481</v>
      </c>
      <c r="G707" s="91">
        <v>45652.6962962963</v>
      </c>
      <c r="H707" s="86" t="s">
        <v>99</v>
      </c>
      <c r="I707" s="87">
        <v>12000</v>
      </c>
      <c r="J707" s="83" t="s">
        <v>116</v>
      </c>
      <c r="K707" s="88" t="s">
        <v>117</v>
      </c>
      <c r="L707" s="91">
        <v>45561.6753125</v>
      </c>
      <c r="M707" s="91">
        <v>45610.7963078704</v>
      </c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5"/>
    </row>
    <row r="708" s="63" customFormat="1" ht="14.4" customHeight="1" spans="1:31">
      <c r="A708" s="68">
        <v>707</v>
      </c>
      <c r="B708" s="69" t="s">
        <v>94</v>
      </c>
      <c r="C708" s="70" t="s">
        <v>278</v>
      </c>
      <c r="D708" s="84" t="s">
        <v>162</v>
      </c>
      <c r="E708" s="84" t="s">
        <v>138</v>
      </c>
      <c r="F708" s="91">
        <v>45646.6181481481</v>
      </c>
      <c r="G708" s="91">
        <v>45652.6962962963</v>
      </c>
      <c r="H708" s="86" t="s">
        <v>99</v>
      </c>
      <c r="I708" s="87">
        <v>12000</v>
      </c>
      <c r="J708" s="83" t="s">
        <v>116</v>
      </c>
      <c r="K708" s="88" t="s">
        <v>117</v>
      </c>
      <c r="L708" s="91">
        <v>45561.6753125</v>
      </c>
      <c r="M708" s="91">
        <v>45610.7963078704</v>
      </c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5"/>
    </row>
    <row r="709" s="63" customFormat="1" ht="14.4" customHeight="1" spans="1:31">
      <c r="A709" s="68">
        <v>708</v>
      </c>
      <c r="B709" s="69" t="s">
        <v>94</v>
      </c>
      <c r="C709" s="70" t="s">
        <v>278</v>
      </c>
      <c r="D709" s="84" t="s">
        <v>163</v>
      </c>
      <c r="E709" s="84" t="s">
        <v>138</v>
      </c>
      <c r="F709" s="91">
        <v>45646.6181481481</v>
      </c>
      <c r="G709" s="91">
        <v>45652.6962962963</v>
      </c>
      <c r="H709" s="86" t="s">
        <v>99</v>
      </c>
      <c r="I709" s="87">
        <v>12000</v>
      </c>
      <c r="J709" s="83" t="s">
        <v>116</v>
      </c>
      <c r="K709" s="88" t="s">
        <v>117</v>
      </c>
      <c r="L709" s="91">
        <v>45561.6753125</v>
      </c>
      <c r="M709" s="91">
        <v>45610.7963078704</v>
      </c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5"/>
    </row>
    <row r="710" s="63" customFormat="1" ht="14.4" customHeight="1" spans="1:31">
      <c r="A710" s="68">
        <v>709</v>
      </c>
      <c r="B710" s="69" t="s">
        <v>94</v>
      </c>
      <c r="C710" s="70" t="s">
        <v>278</v>
      </c>
      <c r="D710" s="84" t="s">
        <v>164</v>
      </c>
      <c r="E710" s="88"/>
      <c r="F710" s="84"/>
      <c r="G710" s="84"/>
      <c r="H710" s="86" t="s">
        <v>99</v>
      </c>
      <c r="I710" s="87">
        <v>12000</v>
      </c>
      <c r="J710" s="84"/>
      <c r="K710" s="89"/>
      <c r="L710" s="90"/>
      <c r="M710" s="82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5"/>
    </row>
    <row r="711" s="63" customFormat="1" ht="14.4" customHeight="1" spans="1:31">
      <c r="A711" s="68">
        <v>710</v>
      </c>
      <c r="B711" s="69" t="s">
        <v>94</v>
      </c>
      <c r="C711" s="70" t="s">
        <v>278</v>
      </c>
      <c r="D711" s="84" t="s">
        <v>165</v>
      </c>
      <c r="E711" s="88"/>
      <c r="F711" s="84"/>
      <c r="G711" s="84"/>
      <c r="H711" s="86" t="s">
        <v>99</v>
      </c>
      <c r="I711" s="87">
        <v>12000</v>
      </c>
      <c r="J711" s="84"/>
      <c r="K711" s="89"/>
      <c r="L711" s="90"/>
      <c r="M711" s="82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5"/>
    </row>
    <row r="712" s="63" customFormat="1" ht="14.4" customHeight="1" spans="1:31">
      <c r="A712" s="68">
        <v>711</v>
      </c>
      <c r="B712" s="69" t="s">
        <v>94</v>
      </c>
      <c r="C712" s="70" t="s">
        <v>278</v>
      </c>
      <c r="D712" s="84" t="s">
        <v>166</v>
      </c>
      <c r="E712" s="88"/>
      <c r="F712" s="84"/>
      <c r="G712" s="84"/>
      <c r="H712" s="86" t="s">
        <v>99</v>
      </c>
      <c r="I712" s="87">
        <v>12000</v>
      </c>
      <c r="J712" s="84"/>
      <c r="K712" s="89"/>
      <c r="L712" s="90"/>
      <c r="M712" s="82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5"/>
    </row>
    <row r="713" s="63" customFormat="1" ht="14.4" customHeight="1" spans="1:31">
      <c r="A713" s="68">
        <v>712</v>
      </c>
      <c r="B713" s="69" t="s">
        <v>94</v>
      </c>
      <c r="C713" s="70" t="s">
        <v>278</v>
      </c>
      <c r="D713" s="84" t="s">
        <v>167</v>
      </c>
      <c r="E713" s="88"/>
      <c r="F713" s="84"/>
      <c r="G713" s="84"/>
      <c r="H713" s="86" t="s">
        <v>99</v>
      </c>
      <c r="I713" s="87">
        <v>12000</v>
      </c>
      <c r="J713" s="84"/>
      <c r="K713" s="89"/>
      <c r="L713" s="90"/>
      <c r="M713" s="82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5"/>
    </row>
    <row r="714" s="63" customFormat="1" ht="14.4" customHeight="1" spans="1:31">
      <c r="A714" s="68">
        <v>713</v>
      </c>
      <c r="B714" s="69" t="s">
        <v>94</v>
      </c>
      <c r="C714" s="70" t="s">
        <v>278</v>
      </c>
      <c r="D714" s="84" t="s">
        <v>168</v>
      </c>
      <c r="E714" s="88"/>
      <c r="F714" s="84"/>
      <c r="G714" s="84"/>
      <c r="H714" s="86" t="s">
        <v>99</v>
      </c>
      <c r="I714" s="87">
        <v>12000</v>
      </c>
      <c r="J714" s="84"/>
      <c r="K714" s="89"/>
      <c r="L714" s="90"/>
      <c r="M714" s="82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5"/>
    </row>
    <row r="715" s="63" customFormat="1" ht="14.4" customHeight="1" spans="1:31">
      <c r="A715" s="68">
        <v>714</v>
      </c>
      <c r="B715" s="69" t="s">
        <v>94</v>
      </c>
      <c r="C715" s="70" t="s">
        <v>278</v>
      </c>
      <c r="D715" s="84" t="s">
        <v>169</v>
      </c>
      <c r="E715" s="88"/>
      <c r="F715" s="84"/>
      <c r="G715" s="84"/>
      <c r="H715" s="86" t="s">
        <v>99</v>
      </c>
      <c r="I715" s="87">
        <v>12000</v>
      </c>
      <c r="J715" s="84"/>
      <c r="K715" s="89"/>
      <c r="L715" s="90"/>
      <c r="M715" s="82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5"/>
    </row>
    <row r="716" s="63" customFormat="1" ht="14.4" customHeight="1" spans="1:31">
      <c r="A716" s="68">
        <v>715</v>
      </c>
      <c r="B716" s="69" t="s">
        <v>94</v>
      </c>
      <c r="C716" s="70" t="s">
        <v>278</v>
      </c>
      <c r="D716" s="84" t="s">
        <v>170</v>
      </c>
      <c r="E716" s="88"/>
      <c r="F716" s="84"/>
      <c r="G716" s="84"/>
      <c r="H716" s="86" t="s">
        <v>99</v>
      </c>
      <c r="I716" s="87">
        <v>12000</v>
      </c>
      <c r="J716" s="84"/>
      <c r="K716" s="89"/>
      <c r="L716" s="90"/>
      <c r="M716" s="82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5"/>
    </row>
    <row r="717" s="63" customFormat="1" ht="14.4" customHeight="1" spans="1:31">
      <c r="A717" s="68">
        <v>716</v>
      </c>
      <c r="B717" s="69" t="s">
        <v>94</v>
      </c>
      <c r="C717" s="70" t="s">
        <v>278</v>
      </c>
      <c r="D717" s="84" t="s">
        <v>171</v>
      </c>
      <c r="E717" s="88"/>
      <c r="F717" s="84"/>
      <c r="G717" s="84"/>
      <c r="H717" s="86" t="s">
        <v>99</v>
      </c>
      <c r="I717" s="87">
        <v>12000</v>
      </c>
      <c r="J717" s="84"/>
      <c r="K717" s="89"/>
      <c r="L717" s="90"/>
      <c r="M717" s="82"/>
      <c r="N717" s="84"/>
      <c r="O717" s="84"/>
      <c r="P717" s="84"/>
      <c r="Q717" s="84"/>
      <c r="R717" s="84"/>
      <c r="S717" s="84"/>
      <c r="T717" s="84"/>
      <c r="U717" s="84"/>
      <c r="V717" s="84"/>
      <c r="W717" s="84"/>
      <c r="X717" s="84"/>
      <c r="Y717" s="84"/>
      <c r="Z717" s="84"/>
      <c r="AA717" s="84"/>
      <c r="AB717" s="84"/>
      <c r="AC717" s="84"/>
      <c r="AD717" s="84"/>
      <c r="AE717" s="85"/>
    </row>
    <row r="718" s="63" customFormat="1" ht="14.4" customHeight="1" spans="1:31">
      <c r="A718" s="68">
        <v>717</v>
      </c>
      <c r="B718" s="69" t="s">
        <v>94</v>
      </c>
      <c r="C718" s="70" t="s">
        <v>278</v>
      </c>
      <c r="D718" s="84" t="s">
        <v>172</v>
      </c>
      <c r="E718" s="88"/>
      <c r="F718" s="84"/>
      <c r="G718" s="84"/>
      <c r="H718" s="79" t="s">
        <v>97</v>
      </c>
      <c r="I718" s="80">
        <v>16000</v>
      </c>
      <c r="J718" s="84"/>
      <c r="K718" s="89"/>
      <c r="L718" s="90"/>
      <c r="M718" s="82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5"/>
    </row>
    <row r="719" s="63" customFormat="1" ht="14.4" customHeight="1" spans="1:31">
      <c r="A719" s="68">
        <v>718</v>
      </c>
      <c r="B719" s="69" t="s">
        <v>94</v>
      </c>
      <c r="C719" s="70" t="s">
        <v>278</v>
      </c>
      <c r="D719" s="84" t="s">
        <v>173</v>
      </c>
      <c r="E719" s="84" t="s">
        <v>138</v>
      </c>
      <c r="F719" s="91">
        <v>45646.6181481481</v>
      </c>
      <c r="G719" s="91">
        <v>45652.6962962963</v>
      </c>
      <c r="H719" s="86" t="s">
        <v>99</v>
      </c>
      <c r="I719" s="87">
        <v>12000</v>
      </c>
      <c r="J719" s="83" t="s">
        <v>116</v>
      </c>
      <c r="K719" s="88" t="s">
        <v>117</v>
      </c>
      <c r="L719" s="91">
        <v>45561.6753125</v>
      </c>
      <c r="M719" s="91">
        <v>45610.7963078704</v>
      </c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5"/>
    </row>
    <row r="720" s="63" customFormat="1" ht="14.4" customHeight="1" spans="1:31">
      <c r="A720" s="68">
        <v>719</v>
      </c>
      <c r="B720" s="69" t="s">
        <v>94</v>
      </c>
      <c r="C720" s="70" t="s">
        <v>278</v>
      </c>
      <c r="D720" s="84" t="s">
        <v>174</v>
      </c>
      <c r="E720" s="84" t="s">
        <v>138</v>
      </c>
      <c r="F720" s="91">
        <v>45646.6181481481</v>
      </c>
      <c r="G720" s="91">
        <v>45652.6962962963</v>
      </c>
      <c r="H720" s="86" t="s">
        <v>99</v>
      </c>
      <c r="I720" s="87">
        <v>12000</v>
      </c>
      <c r="J720" s="83" t="s">
        <v>116</v>
      </c>
      <c r="K720" s="88" t="s">
        <v>117</v>
      </c>
      <c r="L720" s="91">
        <v>45561.6753125</v>
      </c>
      <c r="M720" s="91">
        <v>45610.7963078704</v>
      </c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5"/>
    </row>
    <row r="721" s="63" customFormat="1" ht="14.4" customHeight="1" spans="1:31">
      <c r="A721" s="68">
        <v>720</v>
      </c>
      <c r="B721" s="69" t="s">
        <v>94</v>
      </c>
      <c r="C721" s="70" t="s">
        <v>278</v>
      </c>
      <c r="D721" s="84" t="s">
        <v>175</v>
      </c>
      <c r="E721" s="84" t="s">
        <v>138</v>
      </c>
      <c r="F721" s="91">
        <v>45646.6181481481</v>
      </c>
      <c r="G721" s="91">
        <v>45652.6962962963</v>
      </c>
      <c r="H721" s="86" t="s">
        <v>99</v>
      </c>
      <c r="I721" s="87">
        <v>12000</v>
      </c>
      <c r="J721" s="83" t="s">
        <v>116</v>
      </c>
      <c r="K721" s="88" t="s">
        <v>117</v>
      </c>
      <c r="L721" s="91">
        <v>45561.6753125</v>
      </c>
      <c r="M721" s="91">
        <v>45610.7963078704</v>
      </c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5"/>
    </row>
    <row r="722" s="63" customFormat="1" ht="14.4" customHeight="1" spans="1:31">
      <c r="A722" s="68">
        <v>721</v>
      </c>
      <c r="B722" s="69" t="s">
        <v>94</v>
      </c>
      <c r="C722" s="70" t="s">
        <v>278</v>
      </c>
      <c r="D722" s="84" t="s">
        <v>176</v>
      </c>
      <c r="E722" s="84" t="s">
        <v>138</v>
      </c>
      <c r="F722" s="91">
        <v>45646.6181481481</v>
      </c>
      <c r="G722" s="91">
        <v>45652.6962962963</v>
      </c>
      <c r="H722" s="86" t="s">
        <v>99</v>
      </c>
      <c r="I722" s="87">
        <v>12000</v>
      </c>
      <c r="J722" s="83" t="s">
        <v>116</v>
      </c>
      <c r="K722" s="88" t="s">
        <v>117</v>
      </c>
      <c r="L722" s="91">
        <v>45561.6753125</v>
      </c>
      <c r="M722" s="91">
        <v>45610.7963078704</v>
      </c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5"/>
    </row>
    <row r="723" s="63" customFormat="1" ht="14.4" customHeight="1" spans="1:31">
      <c r="A723" s="68">
        <v>722</v>
      </c>
      <c r="B723" s="69" t="s">
        <v>94</v>
      </c>
      <c r="C723" s="70" t="s">
        <v>278</v>
      </c>
      <c r="D723" s="84" t="s">
        <v>177</v>
      </c>
      <c r="E723" s="84" t="s">
        <v>138</v>
      </c>
      <c r="F723" s="91">
        <v>45653.6181365741</v>
      </c>
      <c r="G723" s="91">
        <v>45656.6812037037</v>
      </c>
      <c r="H723" s="86" t="s">
        <v>99</v>
      </c>
      <c r="I723" s="87">
        <v>12000</v>
      </c>
      <c r="J723" s="83" t="s">
        <v>116</v>
      </c>
      <c r="K723" s="88" t="s">
        <v>117</v>
      </c>
      <c r="L723" s="91">
        <v>45610.7299074074</v>
      </c>
      <c r="M723" s="91">
        <v>45616.7651388889</v>
      </c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5"/>
    </row>
    <row r="724" s="63" customFormat="1" ht="14.4" customHeight="1" spans="1:31">
      <c r="A724" s="68">
        <v>723</v>
      </c>
      <c r="B724" s="69" t="s">
        <v>94</v>
      </c>
      <c r="C724" s="70" t="s">
        <v>278</v>
      </c>
      <c r="D724" s="84" t="s">
        <v>178</v>
      </c>
      <c r="E724" s="84" t="s">
        <v>138</v>
      </c>
      <c r="F724" s="91">
        <v>45653.6181365741</v>
      </c>
      <c r="G724" s="91">
        <v>45656.6812037037</v>
      </c>
      <c r="H724" s="86" t="s">
        <v>99</v>
      </c>
      <c r="I724" s="87">
        <v>12000</v>
      </c>
      <c r="J724" s="83" t="s">
        <v>116</v>
      </c>
      <c r="K724" s="88" t="s">
        <v>117</v>
      </c>
      <c r="L724" s="91">
        <v>45610.7299074074</v>
      </c>
      <c r="M724" s="91">
        <v>45616.7651388889</v>
      </c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5"/>
    </row>
    <row r="725" s="63" customFormat="1" ht="14.4" customHeight="1" spans="1:31">
      <c r="A725" s="68">
        <v>724</v>
      </c>
      <c r="B725" s="69" t="s">
        <v>94</v>
      </c>
      <c r="C725" s="70" t="s">
        <v>278</v>
      </c>
      <c r="D725" s="84" t="s">
        <v>179</v>
      </c>
      <c r="E725" s="84" t="s">
        <v>138</v>
      </c>
      <c r="F725" s="91">
        <v>45653.6181365741</v>
      </c>
      <c r="G725" s="91">
        <v>45656.6812037037</v>
      </c>
      <c r="H725" s="86" t="s">
        <v>99</v>
      </c>
      <c r="I725" s="87">
        <v>12000</v>
      </c>
      <c r="J725" s="83" t="s">
        <v>116</v>
      </c>
      <c r="K725" s="88" t="s">
        <v>117</v>
      </c>
      <c r="L725" s="91">
        <v>45610.7299074074</v>
      </c>
      <c r="M725" s="91">
        <v>45616.7651388889</v>
      </c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5"/>
    </row>
    <row r="726" s="63" customFormat="1" ht="14.4" customHeight="1" spans="1:31">
      <c r="A726" s="68">
        <v>725</v>
      </c>
      <c r="B726" s="69" t="s">
        <v>94</v>
      </c>
      <c r="C726" s="70" t="s">
        <v>278</v>
      </c>
      <c r="D726" s="84" t="s">
        <v>180</v>
      </c>
      <c r="E726" s="84" t="s">
        <v>138</v>
      </c>
      <c r="F726" s="91">
        <v>45653.6181365741</v>
      </c>
      <c r="G726" s="91">
        <v>45656.6812037037</v>
      </c>
      <c r="H726" s="86" t="s">
        <v>99</v>
      </c>
      <c r="I726" s="87">
        <v>12000</v>
      </c>
      <c r="J726" s="83" t="s">
        <v>116</v>
      </c>
      <c r="K726" s="88" t="s">
        <v>117</v>
      </c>
      <c r="L726" s="91">
        <v>45610.7299074074</v>
      </c>
      <c r="M726" s="91">
        <v>45616.7651388889</v>
      </c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5"/>
    </row>
    <row r="727" s="63" customFormat="1" ht="14.4" customHeight="1" spans="1:31">
      <c r="A727" s="68">
        <v>726</v>
      </c>
      <c r="B727" s="69" t="s">
        <v>94</v>
      </c>
      <c r="C727" s="70" t="s">
        <v>278</v>
      </c>
      <c r="D727" s="84" t="s">
        <v>181</v>
      </c>
      <c r="E727" s="84" t="s">
        <v>138</v>
      </c>
      <c r="F727" s="91">
        <v>45653.6181365741</v>
      </c>
      <c r="G727" s="91">
        <v>45656.6812037037</v>
      </c>
      <c r="H727" s="86" t="s">
        <v>99</v>
      </c>
      <c r="I727" s="87">
        <v>12000</v>
      </c>
      <c r="J727" s="83" t="s">
        <v>116</v>
      </c>
      <c r="K727" s="88" t="s">
        <v>117</v>
      </c>
      <c r="L727" s="91">
        <v>45610.7299074074</v>
      </c>
      <c r="M727" s="91">
        <v>45616.7651388889</v>
      </c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5"/>
    </row>
    <row r="728" s="63" customFormat="1" ht="14.4" customHeight="1" spans="1:31">
      <c r="A728" s="68">
        <v>727</v>
      </c>
      <c r="B728" s="69" t="s">
        <v>94</v>
      </c>
      <c r="C728" s="70" t="s">
        <v>278</v>
      </c>
      <c r="D728" s="84" t="s">
        <v>182</v>
      </c>
      <c r="E728" s="88"/>
      <c r="F728" s="84"/>
      <c r="G728" s="84"/>
      <c r="H728" s="86" t="s">
        <v>99</v>
      </c>
      <c r="I728" s="87">
        <v>12000</v>
      </c>
      <c r="J728" s="84"/>
      <c r="K728" s="89"/>
      <c r="L728" s="90"/>
      <c r="M728" s="82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5"/>
    </row>
    <row r="729" s="63" customFormat="1" ht="14.4" customHeight="1" spans="1:31">
      <c r="A729" s="68">
        <v>728</v>
      </c>
      <c r="B729" s="69" t="s">
        <v>94</v>
      </c>
      <c r="C729" s="70" t="s">
        <v>278</v>
      </c>
      <c r="D729" s="84" t="s">
        <v>183</v>
      </c>
      <c r="E729" s="88"/>
      <c r="F729" s="84"/>
      <c r="G729" s="84"/>
      <c r="H729" s="86" t="s">
        <v>99</v>
      </c>
      <c r="I729" s="87">
        <v>12000</v>
      </c>
      <c r="J729" s="84"/>
      <c r="K729" s="89"/>
      <c r="L729" s="90"/>
      <c r="M729" s="82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5"/>
    </row>
    <row r="730" s="63" customFormat="1" ht="14.4" customHeight="1" spans="1:31">
      <c r="A730" s="68">
        <v>729</v>
      </c>
      <c r="B730" s="69" t="s">
        <v>94</v>
      </c>
      <c r="C730" s="70" t="s">
        <v>278</v>
      </c>
      <c r="D730" s="84" t="s">
        <v>184</v>
      </c>
      <c r="E730" s="88"/>
      <c r="F730" s="84"/>
      <c r="G730" s="84"/>
      <c r="H730" s="86" t="s">
        <v>99</v>
      </c>
      <c r="I730" s="87">
        <v>12000</v>
      </c>
      <c r="J730" s="84"/>
      <c r="K730" s="89"/>
      <c r="L730" s="90"/>
      <c r="M730" s="82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5"/>
    </row>
    <row r="731" s="63" customFormat="1" ht="14.4" customHeight="1" spans="1:31">
      <c r="A731" s="68">
        <v>730</v>
      </c>
      <c r="B731" s="69" t="s">
        <v>94</v>
      </c>
      <c r="C731" s="70" t="s">
        <v>278</v>
      </c>
      <c r="D731" s="84" t="s">
        <v>185</v>
      </c>
      <c r="E731" s="88"/>
      <c r="F731" s="84"/>
      <c r="G731" s="84"/>
      <c r="H731" s="86" t="s">
        <v>99</v>
      </c>
      <c r="I731" s="87">
        <v>12000</v>
      </c>
      <c r="J731" s="84"/>
      <c r="K731" s="89"/>
      <c r="L731" s="90"/>
      <c r="M731" s="82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5"/>
    </row>
    <row r="732" s="63" customFormat="1" ht="14.4" customHeight="1" spans="1:31">
      <c r="A732" s="68">
        <v>731</v>
      </c>
      <c r="B732" s="69" t="s">
        <v>94</v>
      </c>
      <c r="C732" s="70" t="s">
        <v>278</v>
      </c>
      <c r="D732" s="84" t="s">
        <v>186</v>
      </c>
      <c r="E732" s="88"/>
      <c r="F732" s="84"/>
      <c r="G732" s="84"/>
      <c r="H732" s="86" t="s">
        <v>99</v>
      </c>
      <c r="I732" s="87">
        <v>12000</v>
      </c>
      <c r="J732" s="84"/>
      <c r="K732" s="89"/>
      <c r="L732" s="90"/>
      <c r="M732" s="82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5"/>
    </row>
    <row r="733" s="63" customFormat="1" ht="14.4" customHeight="1" spans="1:31">
      <c r="A733" s="68">
        <v>732</v>
      </c>
      <c r="B733" s="69" t="s">
        <v>94</v>
      </c>
      <c r="C733" s="70" t="s">
        <v>278</v>
      </c>
      <c r="D733" s="84" t="s">
        <v>187</v>
      </c>
      <c r="E733" s="88"/>
      <c r="F733" s="84"/>
      <c r="G733" s="84"/>
      <c r="H733" s="86" t="s">
        <v>99</v>
      </c>
      <c r="I733" s="87">
        <v>12000</v>
      </c>
      <c r="J733" s="84"/>
      <c r="K733" s="89"/>
      <c r="L733" s="90"/>
      <c r="M733" s="82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5"/>
    </row>
    <row r="734" s="63" customFormat="1" ht="14.4" customHeight="1" spans="1:31">
      <c r="A734" s="68">
        <v>733</v>
      </c>
      <c r="B734" s="69" t="s">
        <v>94</v>
      </c>
      <c r="C734" s="97" t="s">
        <v>278</v>
      </c>
      <c r="D734" s="97" t="s">
        <v>188</v>
      </c>
      <c r="E734" s="120" t="s">
        <v>115</v>
      </c>
      <c r="F734" s="96">
        <v>46161.8821875</v>
      </c>
      <c r="G734" s="96">
        <v>46160.8824074074</v>
      </c>
      <c r="H734" s="79" t="s">
        <v>97</v>
      </c>
      <c r="I734" s="80">
        <v>16000</v>
      </c>
      <c r="J734" s="83" t="s">
        <v>116</v>
      </c>
      <c r="K734" s="95" t="s">
        <v>121</v>
      </c>
      <c r="L734" s="96">
        <v>46152.7256018519</v>
      </c>
      <c r="M734" s="96">
        <v>46153.6320833333</v>
      </c>
      <c r="N734" s="120" t="s">
        <v>120</v>
      </c>
      <c r="O734" s="96">
        <v>46158.9167361111</v>
      </c>
      <c r="P734" s="96">
        <v>46157.9169444444</v>
      </c>
      <c r="Q734" s="84"/>
      <c r="R734" s="84"/>
      <c r="S734" s="84"/>
      <c r="T734" s="84"/>
      <c r="U734" s="84"/>
      <c r="V734" s="84"/>
      <c r="W734" s="84"/>
      <c r="X734" s="84"/>
      <c r="Y734" s="84"/>
      <c r="Z734" s="84"/>
      <c r="AA734" s="84"/>
      <c r="AB734" s="84"/>
      <c r="AC734" s="84"/>
      <c r="AD734" s="84"/>
      <c r="AE734" s="85"/>
    </row>
    <row r="735" s="63" customFormat="1" ht="14.4" customHeight="1" spans="1:31">
      <c r="A735" s="68">
        <v>734</v>
      </c>
      <c r="B735" s="69" t="s">
        <v>94</v>
      </c>
      <c r="C735" s="70" t="s">
        <v>278</v>
      </c>
      <c r="D735" s="84" t="s">
        <v>189</v>
      </c>
      <c r="E735" s="84" t="s">
        <v>138</v>
      </c>
      <c r="F735" s="91">
        <v>45653.6181365741</v>
      </c>
      <c r="G735" s="91">
        <v>45656.6812037037</v>
      </c>
      <c r="H735" s="86" t="s">
        <v>99</v>
      </c>
      <c r="I735" s="87">
        <v>12000</v>
      </c>
      <c r="J735" s="83" t="s">
        <v>116</v>
      </c>
      <c r="K735" s="88" t="s">
        <v>117</v>
      </c>
      <c r="L735" s="91">
        <v>45610.7299074074</v>
      </c>
      <c r="M735" s="91">
        <v>45616.7651388889</v>
      </c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5"/>
    </row>
    <row r="736" s="63" customFormat="1" ht="14.4" customHeight="1" spans="1:31">
      <c r="A736" s="68">
        <v>735</v>
      </c>
      <c r="B736" s="69" t="s">
        <v>94</v>
      </c>
      <c r="C736" s="70" t="s">
        <v>278</v>
      </c>
      <c r="D736" s="84" t="s">
        <v>190</v>
      </c>
      <c r="E736" s="84" t="s">
        <v>138</v>
      </c>
      <c r="F736" s="91">
        <v>45653.6181365741</v>
      </c>
      <c r="G736" s="91">
        <v>45656.6812037037</v>
      </c>
      <c r="H736" s="86" t="s">
        <v>99</v>
      </c>
      <c r="I736" s="87">
        <v>12000</v>
      </c>
      <c r="J736" s="83" t="s">
        <v>116</v>
      </c>
      <c r="K736" s="88" t="s">
        <v>117</v>
      </c>
      <c r="L736" s="91">
        <v>45610.7299074074</v>
      </c>
      <c r="M736" s="91">
        <v>45616.7651388889</v>
      </c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5"/>
    </row>
    <row r="737" s="63" customFormat="1" ht="14.4" customHeight="1" spans="1:31">
      <c r="A737" s="68">
        <v>736</v>
      </c>
      <c r="B737" s="69" t="s">
        <v>94</v>
      </c>
      <c r="C737" s="70" t="s">
        <v>278</v>
      </c>
      <c r="D737" s="84" t="s">
        <v>191</v>
      </c>
      <c r="E737" s="84" t="s">
        <v>138</v>
      </c>
      <c r="F737" s="91">
        <v>45646.6181481481</v>
      </c>
      <c r="G737" s="91">
        <v>45652.6962962963</v>
      </c>
      <c r="H737" s="86" t="s">
        <v>99</v>
      </c>
      <c r="I737" s="87">
        <v>12000</v>
      </c>
      <c r="J737" s="83" t="s">
        <v>116</v>
      </c>
      <c r="K737" s="88" t="s">
        <v>117</v>
      </c>
      <c r="L737" s="91">
        <v>45561.6753125</v>
      </c>
      <c r="M737" s="91">
        <v>45610.7963078704</v>
      </c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5"/>
    </row>
    <row r="738" s="63" customFormat="1" ht="14.4" customHeight="1" spans="1:31">
      <c r="A738" s="68">
        <v>737</v>
      </c>
      <c r="B738" s="69" t="s">
        <v>94</v>
      </c>
      <c r="C738" s="70" t="s">
        <v>278</v>
      </c>
      <c r="D738" s="84" t="s">
        <v>192</v>
      </c>
      <c r="E738" s="84" t="s">
        <v>138</v>
      </c>
      <c r="F738" s="91">
        <v>45646.6181481481</v>
      </c>
      <c r="G738" s="91">
        <v>45652.6962962963</v>
      </c>
      <c r="H738" s="86" t="s">
        <v>99</v>
      </c>
      <c r="I738" s="87">
        <v>12000</v>
      </c>
      <c r="J738" s="83" t="s">
        <v>116</v>
      </c>
      <c r="K738" s="88" t="s">
        <v>117</v>
      </c>
      <c r="L738" s="91">
        <v>45561.6753125</v>
      </c>
      <c r="M738" s="91">
        <v>45610.7963078704</v>
      </c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5"/>
    </row>
    <row r="739" s="63" customFormat="1" ht="14.4" customHeight="1" spans="1:31">
      <c r="A739" s="68">
        <v>738</v>
      </c>
      <c r="B739" s="69" t="s">
        <v>94</v>
      </c>
      <c r="C739" s="70" t="s">
        <v>278</v>
      </c>
      <c r="D739" s="84" t="s">
        <v>193</v>
      </c>
      <c r="E739" s="84" t="s">
        <v>138</v>
      </c>
      <c r="F739" s="91">
        <v>45646.6181481481</v>
      </c>
      <c r="G739" s="91">
        <v>45652.6962962963</v>
      </c>
      <c r="H739" s="86" t="s">
        <v>99</v>
      </c>
      <c r="I739" s="87">
        <v>12000</v>
      </c>
      <c r="J739" s="83" t="s">
        <v>116</v>
      </c>
      <c r="K739" s="88" t="s">
        <v>117</v>
      </c>
      <c r="L739" s="91">
        <v>45561.6753125</v>
      </c>
      <c r="M739" s="91">
        <v>45610.7963078704</v>
      </c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5"/>
    </row>
    <row r="740" s="63" customFormat="1" ht="14.4" customHeight="1" spans="1:31">
      <c r="A740" s="68">
        <v>739</v>
      </c>
      <c r="B740" s="69" t="s">
        <v>94</v>
      </c>
      <c r="C740" s="70" t="s">
        <v>278</v>
      </c>
      <c r="D740" s="84" t="s">
        <v>194</v>
      </c>
      <c r="E740" s="84" t="s">
        <v>138</v>
      </c>
      <c r="F740" s="91">
        <v>45646.6181481481</v>
      </c>
      <c r="G740" s="91">
        <v>45652.6962962963</v>
      </c>
      <c r="H740" s="86" t="s">
        <v>99</v>
      </c>
      <c r="I740" s="87">
        <v>12000</v>
      </c>
      <c r="J740" s="83" t="s">
        <v>116</v>
      </c>
      <c r="K740" s="88" t="s">
        <v>117</v>
      </c>
      <c r="L740" s="91">
        <v>45561.6753125</v>
      </c>
      <c r="M740" s="91">
        <v>45610.7963078704</v>
      </c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5"/>
    </row>
    <row r="741" s="63" customFormat="1" ht="14.4" customHeight="1" spans="1:31">
      <c r="A741" s="68">
        <v>740</v>
      </c>
      <c r="B741" s="69" t="s">
        <v>94</v>
      </c>
      <c r="C741" s="70" t="s">
        <v>278</v>
      </c>
      <c r="D741" s="84" t="s">
        <v>195</v>
      </c>
      <c r="E741" s="84" t="s">
        <v>138</v>
      </c>
      <c r="F741" s="91">
        <v>45646.6181481481</v>
      </c>
      <c r="G741" s="91">
        <v>45652.6962962963</v>
      </c>
      <c r="H741" s="86" t="s">
        <v>99</v>
      </c>
      <c r="I741" s="87">
        <v>12000</v>
      </c>
      <c r="J741" s="83" t="s">
        <v>116</v>
      </c>
      <c r="K741" s="88" t="s">
        <v>117</v>
      </c>
      <c r="L741" s="91">
        <v>45561.6753125</v>
      </c>
      <c r="M741" s="91">
        <v>45610.7963078704</v>
      </c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5"/>
    </row>
    <row r="742" s="63" customFormat="1" ht="14.4" customHeight="1" spans="1:31">
      <c r="A742" s="68">
        <v>741</v>
      </c>
      <c r="B742" s="69" t="s">
        <v>94</v>
      </c>
      <c r="C742" s="70" t="s">
        <v>278</v>
      </c>
      <c r="D742" s="84" t="s">
        <v>196</v>
      </c>
      <c r="E742" s="84" t="s">
        <v>138</v>
      </c>
      <c r="F742" s="91">
        <v>45646.6181481481</v>
      </c>
      <c r="G742" s="91">
        <v>45652.6962962963</v>
      </c>
      <c r="H742" s="86" t="s">
        <v>99</v>
      </c>
      <c r="I742" s="87">
        <v>12000</v>
      </c>
      <c r="J742" s="83" t="s">
        <v>116</v>
      </c>
      <c r="K742" s="88" t="s">
        <v>117</v>
      </c>
      <c r="L742" s="91">
        <v>45561.6753125</v>
      </c>
      <c r="M742" s="91">
        <v>45610.7963078704</v>
      </c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5"/>
    </row>
    <row r="743" s="63" customFormat="1" ht="14.4" customHeight="1" spans="1:31">
      <c r="A743" s="68">
        <v>742</v>
      </c>
      <c r="B743" s="69" t="s">
        <v>94</v>
      </c>
      <c r="C743" s="70" t="s">
        <v>278</v>
      </c>
      <c r="D743" s="84" t="s">
        <v>197</v>
      </c>
      <c r="E743" s="84" t="s">
        <v>138</v>
      </c>
      <c r="F743" s="91">
        <v>45646.6181481481</v>
      </c>
      <c r="G743" s="91">
        <v>45652.6962962963</v>
      </c>
      <c r="H743" s="86" t="s">
        <v>99</v>
      </c>
      <c r="I743" s="87">
        <v>12000</v>
      </c>
      <c r="J743" s="83" t="s">
        <v>116</v>
      </c>
      <c r="K743" s="88" t="s">
        <v>117</v>
      </c>
      <c r="L743" s="91">
        <v>45561.6753125</v>
      </c>
      <c r="M743" s="91">
        <v>45610.7963078704</v>
      </c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5"/>
    </row>
    <row r="744" s="63" customFormat="1" ht="14.4" customHeight="1" spans="1:31">
      <c r="A744" s="68">
        <v>743</v>
      </c>
      <c r="B744" s="69" t="s">
        <v>94</v>
      </c>
      <c r="C744" s="70" t="s">
        <v>278</v>
      </c>
      <c r="D744" s="84" t="s">
        <v>198</v>
      </c>
      <c r="E744" s="88"/>
      <c r="F744" s="84"/>
      <c r="G744" s="84"/>
      <c r="H744" s="86" t="s">
        <v>99</v>
      </c>
      <c r="I744" s="87">
        <v>12000</v>
      </c>
      <c r="J744" s="84"/>
      <c r="K744" s="89"/>
      <c r="L744" s="90"/>
      <c r="M744" s="82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5"/>
    </row>
    <row r="745" s="63" customFormat="1" ht="14.4" customHeight="1" spans="1:31">
      <c r="A745" s="68">
        <v>744</v>
      </c>
      <c r="B745" s="69" t="s">
        <v>94</v>
      </c>
      <c r="C745" s="70" t="s">
        <v>278</v>
      </c>
      <c r="D745" s="84" t="s">
        <v>199</v>
      </c>
      <c r="E745" s="88"/>
      <c r="F745" s="84"/>
      <c r="G745" s="84"/>
      <c r="H745" s="86" t="s">
        <v>99</v>
      </c>
      <c r="I745" s="87">
        <v>12000</v>
      </c>
      <c r="J745" s="84"/>
      <c r="K745" s="89"/>
      <c r="L745" s="90"/>
      <c r="M745" s="82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5"/>
    </row>
    <row r="746" s="63" customFormat="1" ht="14.4" customHeight="1" spans="1:31">
      <c r="A746" s="68">
        <v>745</v>
      </c>
      <c r="B746" s="69" t="s">
        <v>94</v>
      </c>
      <c r="C746" s="70" t="s">
        <v>278</v>
      </c>
      <c r="D746" s="84" t="s">
        <v>200</v>
      </c>
      <c r="E746" s="88"/>
      <c r="F746" s="84"/>
      <c r="G746" s="84"/>
      <c r="H746" s="86" t="s">
        <v>99</v>
      </c>
      <c r="I746" s="87">
        <v>12000</v>
      </c>
      <c r="J746" s="84"/>
      <c r="K746" s="89"/>
      <c r="L746" s="90"/>
      <c r="M746" s="82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5"/>
    </row>
    <row r="747" s="63" customFormat="1" ht="14.4" customHeight="1" spans="1:31">
      <c r="A747" s="68">
        <v>746</v>
      </c>
      <c r="B747" s="69" t="s">
        <v>94</v>
      </c>
      <c r="C747" s="70" t="s">
        <v>278</v>
      </c>
      <c r="D747" s="84" t="s">
        <v>201</v>
      </c>
      <c r="E747" s="88"/>
      <c r="F747" s="84"/>
      <c r="G747" s="84"/>
      <c r="H747" s="86" t="s">
        <v>99</v>
      </c>
      <c r="I747" s="87">
        <v>12000</v>
      </c>
      <c r="J747" s="84"/>
      <c r="K747" s="89"/>
      <c r="L747" s="90"/>
      <c r="M747" s="82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5"/>
    </row>
    <row r="748" s="63" customFormat="1" ht="14.4" customHeight="1" spans="1:31">
      <c r="A748" s="68">
        <v>747</v>
      </c>
      <c r="B748" s="69" t="s">
        <v>94</v>
      </c>
      <c r="C748" s="70" t="s">
        <v>278</v>
      </c>
      <c r="D748" s="84" t="s">
        <v>202</v>
      </c>
      <c r="E748" s="88"/>
      <c r="F748" s="84"/>
      <c r="G748" s="84"/>
      <c r="H748" s="86" t="s">
        <v>99</v>
      </c>
      <c r="I748" s="87">
        <v>12000</v>
      </c>
      <c r="J748" s="84"/>
      <c r="K748" s="89"/>
      <c r="L748" s="90"/>
      <c r="M748" s="82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5"/>
    </row>
    <row r="749" s="63" customFormat="1" ht="14.4" customHeight="1" spans="1:31">
      <c r="A749" s="68">
        <v>748</v>
      </c>
      <c r="B749" s="69" t="s">
        <v>94</v>
      </c>
      <c r="C749" s="70" t="s">
        <v>278</v>
      </c>
      <c r="D749" s="84" t="s">
        <v>203</v>
      </c>
      <c r="E749" s="88"/>
      <c r="F749" s="84"/>
      <c r="G749" s="84"/>
      <c r="H749" s="86" t="s">
        <v>99</v>
      </c>
      <c r="I749" s="87">
        <v>12000</v>
      </c>
      <c r="J749" s="84"/>
      <c r="K749" s="89"/>
      <c r="L749" s="90"/>
      <c r="M749" s="82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5"/>
    </row>
    <row r="750" s="63" customFormat="1" ht="14.4" customHeight="1" spans="1:31">
      <c r="A750" s="68">
        <v>749</v>
      </c>
      <c r="B750" s="69" t="s">
        <v>94</v>
      </c>
      <c r="C750" s="70" t="s">
        <v>278</v>
      </c>
      <c r="D750" s="84" t="s">
        <v>204</v>
      </c>
      <c r="E750" s="88"/>
      <c r="F750" s="84"/>
      <c r="G750" s="84"/>
      <c r="H750" s="86" t="s">
        <v>99</v>
      </c>
      <c r="I750" s="87">
        <v>12000</v>
      </c>
      <c r="J750" s="84"/>
      <c r="K750" s="89"/>
      <c r="L750" s="90"/>
      <c r="M750" s="82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5"/>
    </row>
    <row r="751" s="63" customFormat="1" ht="14.4" customHeight="1" spans="1:31">
      <c r="A751" s="68">
        <v>750</v>
      </c>
      <c r="B751" s="69" t="s">
        <v>94</v>
      </c>
      <c r="C751" s="70" t="s">
        <v>278</v>
      </c>
      <c r="D751" s="84" t="s">
        <v>205</v>
      </c>
      <c r="E751" s="88"/>
      <c r="F751" s="84"/>
      <c r="G751" s="84"/>
      <c r="H751" s="86" t="s">
        <v>99</v>
      </c>
      <c r="I751" s="87">
        <v>12000</v>
      </c>
      <c r="J751" s="84"/>
      <c r="K751" s="89"/>
      <c r="L751" s="90"/>
      <c r="M751" s="82"/>
      <c r="N751" s="84"/>
      <c r="O751" s="84"/>
      <c r="P751" s="84"/>
      <c r="Q751" s="84"/>
      <c r="R751" s="84"/>
      <c r="S751" s="84"/>
      <c r="T751" s="84"/>
      <c r="U751" s="84"/>
      <c r="V751" s="84"/>
      <c r="W751" s="84"/>
      <c r="X751" s="84"/>
      <c r="Y751" s="84"/>
      <c r="Z751" s="84"/>
      <c r="AA751" s="84"/>
      <c r="AB751" s="84"/>
      <c r="AC751" s="84"/>
      <c r="AD751" s="84"/>
      <c r="AE751" s="85"/>
    </row>
    <row r="752" s="63" customFormat="1" ht="14.4" customHeight="1" spans="1:31">
      <c r="A752" s="68">
        <v>751</v>
      </c>
      <c r="B752" s="69" t="s">
        <v>94</v>
      </c>
      <c r="C752" s="70" t="s">
        <v>278</v>
      </c>
      <c r="D752" s="84" t="s">
        <v>206</v>
      </c>
      <c r="E752" s="88"/>
      <c r="F752" s="84"/>
      <c r="G752" s="84"/>
      <c r="H752" s="79" t="s">
        <v>97</v>
      </c>
      <c r="I752" s="80">
        <v>16000</v>
      </c>
      <c r="J752" s="84"/>
      <c r="K752" s="89"/>
      <c r="L752" s="90"/>
      <c r="M752" s="82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5"/>
    </row>
    <row r="753" s="63" customFormat="1" ht="14.4" customHeight="1" spans="1:31">
      <c r="A753" s="68">
        <v>752</v>
      </c>
      <c r="B753" s="69" t="s">
        <v>94</v>
      </c>
      <c r="C753" s="70" t="s">
        <v>278</v>
      </c>
      <c r="D753" s="84" t="s">
        <v>207</v>
      </c>
      <c r="E753" s="84" t="s">
        <v>138</v>
      </c>
      <c r="F753" s="91">
        <v>45646.6181481481</v>
      </c>
      <c r="G753" s="91">
        <v>45652.6962962963</v>
      </c>
      <c r="H753" s="86" t="s">
        <v>99</v>
      </c>
      <c r="I753" s="87">
        <v>12000</v>
      </c>
      <c r="J753" s="83" t="s">
        <v>116</v>
      </c>
      <c r="K753" s="88" t="s">
        <v>117</v>
      </c>
      <c r="L753" s="91">
        <v>45561.6753125</v>
      </c>
      <c r="M753" s="91">
        <v>45610.7963078704</v>
      </c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5"/>
    </row>
    <row r="754" s="63" customFormat="1" ht="14.4" customHeight="1" spans="1:31">
      <c r="A754" s="68">
        <v>753</v>
      </c>
      <c r="B754" s="69" t="s">
        <v>94</v>
      </c>
      <c r="C754" s="70" t="s">
        <v>278</v>
      </c>
      <c r="D754" s="84" t="s">
        <v>208</v>
      </c>
      <c r="E754" s="84" t="s">
        <v>138</v>
      </c>
      <c r="F754" s="91">
        <v>45646.6181481481</v>
      </c>
      <c r="G754" s="91">
        <v>45652.6962962963</v>
      </c>
      <c r="H754" s="86" t="s">
        <v>99</v>
      </c>
      <c r="I754" s="87">
        <v>12000</v>
      </c>
      <c r="J754" s="83" t="s">
        <v>116</v>
      </c>
      <c r="K754" s="88" t="s">
        <v>117</v>
      </c>
      <c r="L754" s="91">
        <v>45561.6753125</v>
      </c>
      <c r="M754" s="91">
        <v>45610.7963078704</v>
      </c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5"/>
    </row>
    <row r="755" s="63" customFormat="1" ht="14.4" customHeight="1" spans="1:31">
      <c r="A755" s="68">
        <v>754</v>
      </c>
      <c r="B755" s="69" t="s">
        <v>94</v>
      </c>
      <c r="C755" s="70" t="s">
        <v>278</v>
      </c>
      <c r="D755" s="84" t="s">
        <v>209</v>
      </c>
      <c r="E755" s="84" t="s">
        <v>138</v>
      </c>
      <c r="F755" s="91">
        <v>45646.6181481481</v>
      </c>
      <c r="G755" s="91">
        <v>45652.6962962963</v>
      </c>
      <c r="H755" s="86" t="s">
        <v>99</v>
      </c>
      <c r="I755" s="87">
        <v>12000</v>
      </c>
      <c r="J755" s="83" t="s">
        <v>116</v>
      </c>
      <c r="K755" s="88" t="s">
        <v>117</v>
      </c>
      <c r="L755" s="91">
        <v>45561.6753125</v>
      </c>
      <c r="M755" s="91">
        <v>45610.7963078704</v>
      </c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5"/>
    </row>
    <row r="756" s="63" customFormat="1" ht="14.4" customHeight="1" spans="1:31">
      <c r="A756" s="68">
        <v>755</v>
      </c>
      <c r="B756" s="69" t="s">
        <v>94</v>
      </c>
      <c r="C756" s="70" t="s">
        <v>278</v>
      </c>
      <c r="D756" s="84" t="s">
        <v>210</v>
      </c>
      <c r="E756" s="84" t="s">
        <v>138</v>
      </c>
      <c r="F756" s="91">
        <v>45646.6181481481</v>
      </c>
      <c r="G756" s="91">
        <v>45652.6962962963</v>
      </c>
      <c r="H756" s="86" t="s">
        <v>99</v>
      </c>
      <c r="I756" s="87">
        <v>12000</v>
      </c>
      <c r="J756" s="83" t="s">
        <v>116</v>
      </c>
      <c r="K756" s="88" t="s">
        <v>117</v>
      </c>
      <c r="L756" s="91">
        <v>45561.6753125</v>
      </c>
      <c r="M756" s="91">
        <v>45610.7963078704</v>
      </c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5"/>
    </row>
    <row r="757" s="63" customFormat="1" ht="14.4" customHeight="1" spans="1:31">
      <c r="A757" s="68">
        <v>756</v>
      </c>
      <c r="B757" s="69" t="s">
        <v>94</v>
      </c>
      <c r="C757" s="70" t="s">
        <v>278</v>
      </c>
      <c r="D757" s="84" t="s">
        <v>211</v>
      </c>
      <c r="E757" s="84" t="s">
        <v>138</v>
      </c>
      <c r="F757" s="91">
        <v>45646.6181481481</v>
      </c>
      <c r="G757" s="91">
        <v>45652.6962962963</v>
      </c>
      <c r="H757" s="86" t="s">
        <v>99</v>
      </c>
      <c r="I757" s="87">
        <v>12000</v>
      </c>
      <c r="J757" s="83" t="s">
        <v>116</v>
      </c>
      <c r="K757" s="88" t="s">
        <v>117</v>
      </c>
      <c r="L757" s="91">
        <v>45561.6753125</v>
      </c>
      <c r="M757" s="91">
        <v>45610.7963078704</v>
      </c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5"/>
    </row>
    <row r="758" s="63" customFormat="1" ht="14.4" customHeight="1" spans="1:31">
      <c r="A758" s="68">
        <v>757</v>
      </c>
      <c r="B758" s="69" t="s">
        <v>94</v>
      </c>
      <c r="C758" s="70" t="s">
        <v>278</v>
      </c>
      <c r="D758" s="84" t="s">
        <v>212</v>
      </c>
      <c r="E758" s="84" t="s">
        <v>138</v>
      </c>
      <c r="F758" s="91">
        <v>45646.6181481481</v>
      </c>
      <c r="G758" s="91">
        <v>45652.6962962963</v>
      </c>
      <c r="H758" s="86" t="s">
        <v>99</v>
      </c>
      <c r="I758" s="87">
        <v>12000</v>
      </c>
      <c r="J758" s="83" t="s">
        <v>116</v>
      </c>
      <c r="K758" s="88" t="s">
        <v>117</v>
      </c>
      <c r="L758" s="91">
        <v>45561.6753125</v>
      </c>
      <c r="M758" s="91">
        <v>45610.7963078704</v>
      </c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5"/>
    </row>
    <row r="759" s="63" customFormat="1" ht="14.4" customHeight="1" spans="1:31">
      <c r="A759" s="68">
        <v>758</v>
      </c>
      <c r="B759" s="69" t="s">
        <v>94</v>
      </c>
      <c r="C759" s="70" t="s">
        <v>278</v>
      </c>
      <c r="D759" s="84" t="s">
        <v>213</v>
      </c>
      <c r="E759" s="84" t="s">
        <v>138</v>
      </c>
      <c r="F759" s="91">
        <v>45646.6181481481</v>
      </c>
      <c r="G759" s="91">
        <v>45652.6962962963</v>
      </c>
      <c r="H759" s="86" t="s">
        <v>99</v>
      </c>
      <c r="I759" s="87">
        <v>12000</v>
      </c>
      <c r="J759" s="83" t="s">
        <v>116</v>
      </c>
      <c r="K759" s="88" t="s">
        <v>117</v>
      </c>
      <c r="L759" s="91">
        <v>45561.6753125</v>
      </c>
      <c r="M759" s="91">
        <v>45610.7963078704</v>
      </c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5"/>
    </row>
    <row r="760" s="63" customFormat="1" ht="14.4" customHeight="1" spans="1:31">
      <c r="A760" s="68">
        <v>759</v>
      </c>
      <c r="B760" s="69" t="s">
        <v>94</v>
      </c>
      <c r="C760" s="70" t="s">
        <v>278</v>
      </c>
      <c r="D760" s="84" t="s">
        <v>214</v>
      </c>
      <c r="E760" s="84" t="s">
        <v>138</v>
      </c>
      <c r="F760" s="91">
        <v>45646.6181481481</v>
      </c>
      <c r="G760" s="91">
        <v>45652.6962962963</v>
      </c>
      <c r="H760" s="86" t="s">
        <v>99</v>
      </c>
      <c r="I760" s="87">
        <v>12000</v>
      </c>
      <c r="J760" s="83" t="s">
        <v>116</v>
      </c>
      <c r="K760" s="88" t="s">
        <v>117</v>
      </c>
      <c r="L760" s="91">
        <v>45561.6753125</v>
      </c>
      <c r="M760" s="91">
        <v>45610.7963078704</v>
      </c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5"/>
    </row>
    <row r="761" s="63" customFormat="1" ht="14.4" customHeight="1" spans="1:31">
      <c r="A761" s="68">
        <v>760</v>
      </c>
      <c r="B761" s="69" t="s">
        <v>94</v>
      </c>
      <c r="C761" s="70" t="s">
        <v>278</v>
      </c>
      <c r="D761" s="84" t="s">
        <v>215</v>
      </c>
      <c r="E761" s="84" t="s">
        <v>138</v>
      </c>
      <c r="F761" s="91">
        <v>45646.6181481481</v>
      </c>
      <c r="G761" s="91">
        <v>45652.6962962963</v>
      </c>
      <c r="H761" s="86" t="s">
        <v>99</v>
      </c>
      <c r="I761" s="87">
        <v>12000</v>
      </c>
      <c r="J761" s="83" t="s">
        <v>116</v>
      </c>
      <c r="K761" s="88" t="s">
        <v>117</v>
      </c>
      <c r="L761" s="91">
        <v>45561.6753125</v>
      </c>
      <c r="M761" s="91">
        <v>45610.7963078704</v>
      </c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5"/>
    </row>
    <row r="762" s="63" customFormat="1" ht="14.4" customHeight="1" spans="1:31">
      <c r="A762" s="68">
        <v>761</v>
      </c>
      <c r="B762" s="69" t="s">
        <v>94</v>
      </c>
      <c r="C762" s="70" t="s">
        <v>278</v>
      </c>
      <c r="D762" s="84" t="s">
        <v>216</v>
      </c>
      <c r="E762" s="88"/>
      <c r="F762" s="84"/>
      <c r="G762" s="84"/>
      <c r="H762" s="86" t="s">
        <v>99</v>
      </c>
      <c r="I762" s="87">
        <v>12000</v>
      </c>
      <c r="J762" s="84"/>
      <c r="K762" s="89"/>
      <c r="L762" s="90"/>
      <c r="M762" s="82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5"/>
    </row>
    <row r="763" s="63" customFormat="1" ht="14.4" customHeight="1" spans="1:31">
      <c r="A763" s="68">
        <v>762</v>
      </c>
      <c r="B763" s="69" t="s">
        <v>94</v>
      </c>
      <c r="C763" s="70" t="s">
        <v>278</v>
      </c>
      <c r="D763" s="84" t="s">
        <v>217</v>
      </c>
      <c r="E763" s="88"/>
      <c r="F763" s="84"/>
      <c r="G763" s="84"/>
      <c r="H763" s="86" t="s">
        <v>99</v>
      </c>
      <c r="I763" s="87">
        <v>12000</v>
      </c>
      <c r="J763" s="84"/>
      <c r="K763" s="89"/>
      <c r="L763" s="90"/>
      <c r="M763" s="82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5"/>
    </row>
    <row r="764" s="63" customFormat="1" ht="14.4" customHeight="1" spans="1:31">
      <c r="A764" s="68">
        <v>763</v>
      </c>
      <c r="B764" s="69" t="s">
        <v>94</v>
      </c>
      <c r="C764" s="70" t="s">
        <v>278</v>
      </c>
      <c r="D764" s="84" t="s">
        <v>218</v>
      </c>
      <c r="E764" s="88"/>
      <c r="F764" s="84"/>
      <c r="G764" s="84"/>
      <c r="H764" s="86" t="s">
        <v>99</v>
      </c>
      <c r="I764" s="87">
        <v>12000</v>
      </c>
      <c r="J764" s="84"/>
      <c r="K764" s="89"/>
      <c r="L764" s="90"/>
      <c r="M764" s="82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5"/>
    </row>
    <row r="765" s="63" customFormat="1" ht="14.4" customHeight="1" spans="1:31">
      <c r="A765" s="68">
        <v>764</v>
      </c>
      <c r="B765" s="69" t="s">
        <v>94</v>
      </c>
      <c r="C765" s="70" t="s">
        <v>278</v>
      </c>
      <c r="D765" s="84" t="s">
        <v>219</v>
      </c>
      <c r="E765" s="88"/>
      <c r="F765" s="84"/>
      <c r="G765" s="84"/>
      <c r="H765" s="86" t="s">
        <v>99</v>
      </c>
      <c r="I765" s="87">
        <v>12000</v>
      </c>
      <c r="J765" s="84"/>
      <c r="K765" s="89"/>
      <c r="L765" s="90"/>
      <c r="M765" s="82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5"/>
    </row>
    <row r="766" s="63" customFormat="1" ht="14.4" customHeight="1" spans="1:31">
      <c r="A766" s="68">
        <v>765</v>
      </c>
      <c r="B766" s="69" t="s">
        <v>94</v>
      </c>
      <c r="C766" s="70" t="s">
        <v>278</v>
      </c>
      <c r="D766" s="84" t="s">
        <v>220</v>
      </c>
      <c r="E766" s="88"/>
      <c r="F766" s="84"/>
      <c r="G766" s="84"/>
      <c r="H766" s="86" t="s">
        <v>99</v>
      </c>
      <c r="I766" s="87">
        <v>12000</v>
      </c>
      <c r="J766" s="84"/>
      <c r="K766" s="89"/>
      <c r="L766" s="90"/>
      <c r="M766" s="82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5"/>
    </row>
    <row r="767" s="63" customFormat="1" ht="14.4" customHeight="1" spans="1:31">
      <c r="A767" s="68">
        <v>766</v>
      </c>
      <c r="B767" s="69" t="s">
        <v>94</v>
      </c>
      <c r="C767" s="70" t="s">
        <v>278</v>
      </c>
      <c r="D767" s="84" t="s">
        <v>221</v>
      </c>
      <c r="E767" s="88"/>
      <c r="F767" s="84"/>
      <c r="G767" s="84"/>
      <c r="H767" s="86" t="s">
        <v>99</v>
      </c>
      <c r="I767" s="87">
        <v>12000</v>
      </c>
      <c r="J767" s="84"/>
      <c r="K767" s="89"/>
      <c r="L767" s="90"/>
      <c r="M767" s="82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5"/>
    </row>
    <row r="768" s="63" customFormat="1" ht="14.4" customHeight="1" spans="1:31">
      <c r="A768" s="68">
        <v>767</v>
      </c>
      <c r="B768" s="69" t="s">
        <v>94</v>
      </c>
      <c r="C768" s="97" t="s">
        <v>278</v>
      </c>
      <c r="D768" s="97" t="s">
        <v>222</v>
      </c>
      <c r="E768" s="120" t="s">
        <v>115</v>
      </c>
      <c r="F768" s="96">
        <v>46161.8821875</v>
      </c>
      <c r="G768" s="96">
        <v>46160.8824074074</v>
      </c>
      <c r="H768" s="79" t="s">
        <v>97</v>
      </c>
      <c r="I768" s="80">
        <v>16000</v>
      </c>
      <c r="J768" s="83" t="s">
        <v>116</v>
      </c>
      <c r="K768" s="95" t="s">
        <v>121</v>
      </c>
      <c r="L768" s="96">
        <v>46152.725462963</v>
      </c>
      <c r="M768" s="96">
        <v>46153.6319907407</v>
      </c>
      <c r="N768" s="120" t="s">
        <v>120</v>
      </c>
      <c r="O768" s="96">
        <v>46156.9166898148</v>
      </c>
      <c r="P768" s="96">
        <v>46155.9169097222</v>
      </c>
      <c r="Q768" s="84"/>
      <c r="R768" s="84"/>
      <c r="S768" s="84"/>
      <c r="T768" s="84"/>
      <c r="U768" s="84"/>
      <c r="V768" s="84"/>
      <c r="W768" s="84"/>
      <c r="X768" s="84"/>
      <c r="Y768" s="84"/>
      <c r="Z768" s="84"/>
      <c r="AA768" s="84"/>
      <c r="AB768" s="84"/>
      <c r="AC768" s="84"/>
      <c r="AD768" s="84"/>
      <c r="AE768" s="85"/>
    </row>
    <row r="769" s="63" customFormat="1" ht="14.4" customHeight="1" spans="1:31">
      <c r="A769" s="68">
        <v>768</v>
      </c>
      <c r="B769" s="69" t="s">
        <v>94</v>
      </c>
      <c r="C769" s="70" t="s">
        <v>278</v>
      </c>
      <c r="D769" s="84" t="s">
        <v>223</v>
      </c>
      <c r="E769" s="84" t="s">
        <v>138</v>
      </c>
      <c r="F769" s="91">
        <v>45646.6181481481</v>
      </c>
      <c r="G769" s="91">
        <v>45652.6962962963</v>
      </c>
      <c r="H769" s="86" t="s">
        <v>99</v>
      </c>
      <c r="I769" s="87">
        <v>12000</v>
      </c>
      <c r="J769" s="83" t="s">
        <v>116</v>
      </c>
      <c r="K769" s="88" t="s">
        <v>117</v>
      </c>
      <c r="L769" s="91">
        <v>45561.6753125</v>
      </c>
      <c r="M769" s="91">
        <v>45610.7963078704</v>
      </c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5"/>
    </row>
    <row r="770" s="63" customFormat="1" ht="14.4" customHeight="1" spans="1:31">
      <c r="A770" s="68">
        <v>769</v>
      </c>
      <c r="B770" s="69" t="s">
        <v>94</v>
      </c>
      <c r="C770" s="70" t="s">
        <v>278</v>
      </c>
      <c r="D770" s="84" t="s">
        <v>224</v>
      </c>
      <c r="E770" s="84" t="s">
        <v>138</v>
      </c>
      <c r="F770" s="91">
        <v>45646.6181481481</v>
      </c>
      <c r="G770" s="91">
        <v>45652.6962962963</v>
      </c>
      <c r="H770" s="86" t="s">
        <v>99</v>
      </c>
      <c r="I770" s="87">
        <v>12000</v>
      </c>
      <c r="J770" s="83" t="s">
        <v>116</v>
      </c>
      <c r="K770" s="88" t="s">
        <v>117</v>
      </c>
      <c r="L770" s="91">
        <v>45561.6753125</v>
      </c>
      <c r="M770" s="91">
        <v>45610.7963078704</v>
      </c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5"/>
    </row>
    <row r="771" s="63" customFormat="1" ht="14.4" customHeight="1" spans="1:31">
      <c r="A771" s="68">
        <v>770</v>
      </c>
      <c r="B771" s="69" t="s">
        <v>94</v>
      </c>
      <c r="C771" s="70" t="s">
        <v>278</v>
      </c>
      <c r="D771" s="84" t="s">
        <v>225</v>
      </c>
      <c r="E771" s="84" t="s">
        <v>138</v>
      </c>
      <c r="F771" s="91">
        <v>45646.6181481481</v>
      </c>
      <c r="G771" s="91">
        <v>45652.6962962963</v>
      </c>
      <c r="H771" s="86" t="s">
        <v>99</v>
      </c>
      <c r="I771" s="87">
        <v>12000</v>
      </c>
      <c r="J771" s="83" t="s">
        <v>116</v>
      </c>
      <c r="K771" s="88" t="s">
        <v>117</v>
      </c>
      <c r="L771" s="91">
        <v>45561.6753125</v>
      </c>
      <c r="M771" s="91">
        <v>45610.7963078704</v>
      </c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5"/>
    </row>
    <row r="772" s="63" customFormat="1" ht="14.4" customHeight="1" spans="1:31">
      <c r="A772" s="68">
        <v>771</v>
      </c>
      <c r="B772" s="69" t="s">
        <v>94</v>
      </c>
      <c r="C772" s="70" t="s">
        <v>278</v>
      </c>
      <c r="D772" s="84" t="s">
        <v>226</v>
      </c>
      <c r="E772" s="84" t="s">
        <v>138</v>
      </c>
      <c r="F772" s="91">
        <v>45646.6181481481</v>
      </c>
      <c r="G772" s="91">
        <v>45652.6962962963</v>
      </c>
      <c r="H772" s="86" t="s">
        <v>99</v>
      </c>
      <c r="I772" s="87">
        <v>12000</v>
      </c>
      <c r="J772" s="83" t="s">
        <v>116</v>
      </c>
      <c r="K772" s="88" t="s">
        <v>117</v>
      </c>
      <c r="L772" s="91">
        <v>45561.6753125</v>
      </c>
      <c r="M772" s="91">
        <v>45610.7963078704</v>
      </c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5"/>
    </row>
    <row r="773" s="63" customFormat="1" ht="14.4" customHeight="1" spans="1:31">
      <c r="A773" s="68">
        <v>772</v>
      </c>
      <c r="B773" s="69" t="s">
        <v>94</v>
      </c>
      <c r="C773" s="70" t="s">
        <v>278</v>
      </c>
      <c r="D773" s="84" t="s">
        <v>227</v>
      </c>
      <c r="E773" s="84" t="s">
        <v>138</v>
      </c>
      <c r="F773" s="91">
        <v>45646.6181481481</v>
      </c>
      <c r="G773" s="91">
        <v>45652.6962962963</v>
      </c>
      <c r="H773" s="86" t="s">
        <v>99</v>
      </c>
      <c r="I773" s="87">
        <v>12000</v>
      </c>
      <c r="J773" s="83" t="s">
        <v>116</v>
      </c>
      <c r="K773" s="88" t="s">
        <v>117</v>
      </c>
      <c r="L773" s="91">
        <v>45561.6753125</v>
      </c>
      <c r="M773" s="91">
        <v>45610.7963078704</v>
      </c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5"/>
    </row>
    <row r="774" s="63" customFormat="1" ht="14.4" customHeight="1" spans="1:31">
      <c r="A774" s="68">
        <v>773</v>
      </c>
      <c r="B774" s="69" t="s">
        <v>94</v>
      </c>
      <c r="C774" s="70" t="s">
        <v>278</v>
      </c>
      <c r="D774" s="84" t="s">
        <v>228</v>
      </c>
      <c r="E774" s="84" t="s">
        <v>138</v>
      </c>
      <c r="F774" s="91">
        <v>45646.6181481481</v>
      </c>
      <c r="G774" s="91">
        <v>45652.6962962963</v>
      </c>
      <c r="H774" s="86" t="s">
        <v>99</v>
      </c>
      <c r="I774" s="87">
        <v>12000</v>
      </c>
      <c r="J774" s="83" t="s">
        <v>116</v>
      </c>
      <c r="K774" s="88" t="s">
        <v>117</v>
      </c>
      <c r="L774" s="91">
        <v>45561.6753125</v>
      </c>
      <c r="M774" s="91">
        <v>45610.7963078704</v>
      </c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5"/>
    </row>
    <row r="775" s="63" customFormat="1" ht="14.4" customHeight="1" spans="1:31">
      <c r="A775" s="68">
        <v>774</v>
      </c>
      <c r="B775" s="69" t="s">
        <v>94</v>
      </c>
      <c r="C775" s="70" t="s">
        <v>278</v>
      </c>
      <c r="D775" s="84" t="s">
        <v>229</v>
      </c>
      <c r="E775" s="84" t="s">
        <v>138</v>
      </c>
      <c r="F775" s="91">
        <v>45646.6181481481</v>
      </c>
      <c r="G775" s="91">
        <v>45652.6962962963</v>
      </c>
      <c r="H775" s="86" t="s">
        <v>99</v>
      </c>
      <c r="I775" s="87">
        <v>12000</v>
      </c>
      <c r="J775" s="83" t="s">
        <v>116</v>
      </c>
      <c r="K775" s="88" t="s">
        <v>117</v>
      </c>
      <c r="L775" s="91">
        <v>45561.6753125</v>
      </c>
      <c r="M775" s="91">
        <v>45610.7963078704</v>
      </c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5"/>
    </row>
    <row r="776" s="63" customFormat="1" ht="14.4" customHeight="1" spans="1:31">
      <c r="A776" s="68">
        <v>775</v>
      </c>
      <c r="B776" s="69" t="s">
        <v>94</v>
      </c>
      <c r="C776" s="70" t="s">
        <v>278</v>
      </c>
      <c r="D776" s="84" t="s">
        <v>230</v>
      </c>
      <c r="E776" s="84" t="s">
        <v>138</v>
      </c>
      <c r="F776" s="91">
        <v>45646.6181481481</v>
      </c>
      <c r="G776" s="91">
        <v>45652.6962962963</v>
      </c>
      <c r="H776" s="86" t="s">
        <v>99</v>
      </c>
      <c r="I776" s="87">
        <v>12000</v>
      </c>
      <c r="J776" s="83" t="s">
        <v>116</v>
      </c>
      <c r="K776" s="88" t="s">
        <v>117</v>
      </c>
      <c r="L776" s="91">
        <v>45561.6753125</v>
      </c>
      <c r="M776" s="91">
        <v>45610.7963078704</v>
      </c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5"/>
    </row>
    <row r="777" s="63" customFormat="1" ht="14.4" customHeight="1" spans="1:31">
      <c r="A777" s="68">
        <v>776</v>
      </c>
      <c r="B777" s="69" t="s">
        <v>94</v>
      </c>
      <c r="C777" s="70" t="s">
        <v>278</v>
      </c>
      <c r="D777" s="84" t="s">
        <v>231</v>
      </c>
      <c r="E777" s="84" t="s">
        <v>138</v>
      </c>
      <c r="F777" s="91">
        <v>45646.6181481481</v>
      </c>
      <c r="G777" s="91">
        <v>45652.6962962963</v>
      </c>
      <c r="H777" s="86" t="s">
        <v>99</v>
      </c>
      <c r="I777" s="87">
        <v>12000</v>
      </c>
      <c r="J777" s="83" t="s">
        <v>116</v>
      </c>
      <c r="K777" s="88" t="s">
        <v>117</v>
      </c>
      <c r="L777" s="91">
        <v>45561.6753125</v>
      </c>
      <c r="M777" s="91">
        <v>45610.7963078704</v>
      </c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5"/>
    </row>
    <row r="778" s="63" customFormat="1" ht="14.4" customHeight="1" spans="1:31">
      <c r="A778" s="68">
        <v>777</v>
      </c>
      <c r="B778" s="69" t="s">
        <v>94</v>
      </c>
      <c r="C778" s="70" t="s">
        <v>278</v>
      </c>
      <c r="D778" s="84" t="s">
        <v>232</v>
      </c>
      <c r="E778" s="88"/>
      <c r="F778" s="84"/>
      <c r="G778" s="84"/>
      <c r="H778" s="86" t="s">
        <v>99</v>
      </c>
      <c r="I778" s="87">
        <v>12000</v>
      </c>
      <c r="J778" s="84"/>
      <c r="K778" s="89"/>
      <c r="L778" s="90"/>
      <c r="M778" s="82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5"/>
    </row>
    <row r="779" s="63" customFormat="1" ht="14.4" customHeight="1" spans="1:31">
      <c r="A779" s="68">
        <v>778</v>
      </c>
      <c r="B779" s="69" t="s">
        <v>94</v>
      </c>
      <c r="C779" s="70" t="s">
        <v>278</v>
      </c>
      <c r="D779" s="84" t="s">
        <v>233</v>
      </c>
      <c r="E779" s="88"/>
      <c r="F779" s="84"/>
      <c r="G779" s="84"/>
      <c r="H779" s="86" t="s">
        <v>99</v>
      </c>
      <c r="I779" s="87">
        <v>12000</v>
      </c>
      <c r="J779" s="84"/>
      <c r="K779" s="89"/>
      <c r="L779" s="90"/>
      <c r="M779" s="82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5"/>
    </row>
    <row r="780" s="63" customFormat="1" ht="14.4" customHeight="1" spans="1:31">
      <c r="A780" s="68">
        <v>779</v>
      </c>
      <c r="B780" s="69" t="s">
        <v>94</v>
      </c>
      <c r="C780" s="70" t="s">
        <v>278</v>
      </c>
      <c r="D780" s="84" t="s">
        <v>234</v>
      </c>
      <c r="E780" s="88"/>
      <c r="F780" s="84"/>
      <c r="G780" s="84"/>
      <c r="H780" s="86" t="s">
        <v>99</v>
      </c>
      <c r="I780" s="87">
        <v>12000</v>
      </c>
      <c r="J780" s="84"/>
      <c r="K780" s="89"/>
      <c r="L780" s="90"/>
      <c r="M780" s="82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5"/>
    </row>
    <row r="781" s="63" customFormat="1" ht="14.4" customHeight="1" spans="1:31">
      <c r="A781" s="68">
        <v>780</v>
      </c>
      <c r="B781" s="69" t="s">
        <v>94</v>
      </c>
      <c r="C781" s="70" t="s">
        <v>278</v>
      </c>
      <c r="D781" s="84" t="s">
        <v>235</v>
      </c>
      <c r="E781" s="88"/>
      <c r="F781" s="84"/>
      <c r="G781" s="84"/>
      <c r="H781" s="86" t="s">
        <v>99</v>
      </c>
      <c r="I781" s="87">
        <v>12000</v>
      </c>
      <c r="J781" s="84"/>
      <c r="K781" s="89"/>
      <c r="L781" s="90"/>
      <c r="M781" s="82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5"/>
    </row>
    <row r="782" s="63" customFormat="1" ht="14.4" customHeight="1" spans="1:31">
      <c r="A782" s="68">
        <v>781</v>
      </c>
      <c r="B782" s="69" t="s">
        <v>94</v>
      </c>
      <c r="C782" s="70" t="s">
        <v>278</v>
      </c>
      <c r="D782" s="84" t="s">
        <v>236</v>
      </c>
      <c r="E782" s="88"/>
      <c r="F782" s="84"/>
      <c r="G782" s="84"/>
      <c r="H782" s="86" t="s">
        <v>99</v>
      </c>
      <c r="I782" s="87">
        <v>12000</v>
      </c>
      <c r="J782" s="84"/>
      <c r="K782" s="89"/>
      <c r="L782" s="90"/>
      <c r="M782" s="82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5"/>
    </row>
    <row r="783" s="63" customFormat="1" ht="14.4" customHeight="1" spans="1:31">
      <c r="A783" s="68">
        <v>782</v>
      </c>
      <c r="B783" s="69" t="s">
        <v>94</v>
      </c>
      <c r="C783" s="70" t="s">
        <v>278</v>
      </c>
      <c r="D783" s="84" t="s">
        <v>237</v>
      </c>
      <c r="E783" s="88"/>
      <c r="F783" s="84"/>
      <c r="G783" s="84"/>
      <c r="H783" s="86" t="s">
        <v>99</v>
      </c>
      <c r="I783" s="87">
        <v>12000</v>
      </c>
      <c r="J783" s="84"/>
      <c r="K783" s="89"/>
      <c r="L783" s="90"/>
      <c r="M783" s="82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5"/>
    </row>
    <row r="784" s="63" customFormat="1" ht="14.4" customHeight="1" spans="1:31">
      <c r="A784" s="68">
        <v>783</v>
      </c>
      <c r="B784" s="69" t="s">
        <v>94</v>
      </c>
      <c r="C784" s="70" t="s">
        <v>278</v>
      </c>
      <c r="D784" s="84" t="s">
        <v>238</v>
      </c>
      <c r="E784" s="88"/>
      <c r="F784" s="84"/>
      <c r="G784" s="84"/>
      <c r="H784" s="86" t="s">
        <v>99</v>
      </c>
      <c r="I784" s="87">
        <v>12000</v>
      </c>
      <c r="J784" s="84"/>
      <c r="K784" s="89"/>
      <c r="L784" s="90"/>
      <c r="M784" s="82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5"/>
    </row>
    <row r="785" s="63" customFormat="1" ht="14.4" customHeight="1" spans="1:31">
      <c r="A785" s="68">
        <v>784</v>
      </c>
      <c r="B785" s="69" t="s">
        <v>94</v>
      </c>
      <c r="C785" s="70" t="s">
        <v>278</v>
      </c>
      <c r="D785" s="84" t="s">
        <v>239</v>
      </c>
      <c r="E785" s="88"/>
      <c r="F785" s="84"/>
      <c r="G785" s="84"/>
      <c r="H785" s="86" t="s">
        <v>99</v>
      </c>
      <c r="I785" s="87">
        <v>12000</v>
      </c>
      <c r="J785" s="84"/>
      <c r="K785" s="89"/>
      <c r="L785" s="90"/>
      <c r="M785" s="82"/>
      <c r="N785" s="84"/>
      <c r="O785" s="84"/>
      <c r="P785" s="84"/>
      <c r="Q785" s="84"/>
      <c r="R785" s="84"/>
      <c r="S785" s="84"/>
      <c r="T785" s="84"/>
      <c r="U785" s="84"/>
      <c r="V785" s="84"/>
      <c r="W785" s="84"/>
      <c r="X785" s="84"/>
      <c r="Y785" s="84"/>
      <c r="Z785" s="84"/>
      <c r="AA785" s="84"/>
      <c r="AB785" s="84"/>
      <c r="AC785" s="84"/>
      <c r="AD785" s="84"/>
      <c r="AE785" s="85"/>
    </row>
    <row r="786" s="63" customFormat="1" ht="14.4" customHeight="1" spans="1:31">
      <c r="A786" s="68">
        <v>785</v>
      </c>
      <c r="B786" s="69" t="s">
        <v>94</v>
      </c>
      <c r="C786" s="70" t="s">
        <v>278</v>
      </c>
      <c r="D786" s="84" t="s">
        <v>240</v>
      </c>
      <c r="E786" s="88"/>
      <c r="F786" s="84"/>
      <c r="G786" s="84"/>
      <c r="H786" s="79" t="s">
        <v>97</v>
      </c>
      <c r="I786" s="80">
        <v>16000</v>
      </c>
      <c r="J786" s="84"/>
      <c r="K786" s="89"/>
      <c r="L786" s="90"/>
      <c r="M786" s="82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5"/>
    </row>
    <row r="787" s="63" customFormat="1" ht="14.4" customHeight="1" spans="1:31">
      <c r="A787" s="68">
        <v>786</v>
      </c>
      <c r="B787" s="69" t="s">
        <v>94</v>
      </c>
      <c r="C787" s="70" t="s">
        <v>278</v>
      </c>
      <c r="D787" s="84" t="s">
        <v>241</v>
      </c>
      <c r="E787" s="84" t="s">
        <v>138</v>
      </c>
      <c r="F787" s="91">
        <v>45646.6181481481</v>
      </c>
      <c r="G787" s="91">
        <v>45652.6962962963</v>
      </c>
      <c r="H787" s="86" t="s">
        <v>99</v>
      </c>
      <c r="I787" s="87">
        <v>12000</v>
      </c>
      <c r="J787" s="83" t="s">
        <v>116</v>
      </c>
      <c r="K787" s="88" t="s">
        <v>117</v>
      </c>
      <c r="L787" s="91">
        <v>45561.6753125</v>
      </c>
      <c r="M787" s="91">
        <v>45610.7963078704</v>
      </c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5"/>
    </row>
    <row r="788" s="63" customFormat="1" ht="14.4" customHeight="1" spans="1:31">
      <c r="A788" s="68">
        <v>787</v>
      </c>
      <c r="B788" s="69" t="s">
        <v>94</v>
      </c>
      <c r="C788" s="70" t="s">
        <v>278</v>
      </c>
      <c r="D788" s="84" t="s">
        <v>242</v>
      </c>
      <c r="E788" s="84" t="s">
        <v>138</v>
      </c>
      <c r="F788" s="91">
        <v>45646.6181481481</v>
      </c>
      <c r="G788" s="91">
        <v>45652.6962962963</v>
      </c>
      <c r="H788" s="86" t="s">
        <v>99</v>
      </c>
      <c r="I788" s="87">
        <v>12000</v>
      </c>
      <c r="J788" s="83" t="s">
        <v>116</v>
      </c>
      <c r="K788" s="88" t="s">
        <v>117</v>
      </c>
      <c r="L788" s="91">
        <v>45561.6753125</v>
      </c>
      <c r="M788" s="91">
        <v>45610.7963078704</v>
      </c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5"/>
    </row>
    <row r="789" s="63" customFormat="1" ht="14.4" customHeight="1" spans="1:31">
      <c r="A789" s="68">
        <v>788</v>
      </c>
      <c r="B789" s="69" t="s">
        <v>94</v>
      </c>
      <c r="C789" s="70" t="s">
        <v>278</v>
      </c>
      <c r="D789" s="84" t="s">
        <v>243</v>
      </c>
      <c r="E789" s="84" t="s">
        <v>138</v>
      </c>
      <c r="F789" s="91">
        <v>45646.6181481481</v>
      </c>
      <c r="G789" s="91">
        <v>45652.6962962963</v>
      </c>
      <c r="H789" s="86" t="s">
        <v>99</v>
      </c>
      <c r="I789" s="87">
        <v>12000</v>
      </c>
      <c r="J789" s="83" t="s">
        <v>116</v>
      </c>
      <c r="K789" s="88" t="s">
        <v>117</v>
      </c>
      <c r="L789" s="91">
        <v>45561.6753125</v>
      </c>
      <c r="M789" s="91">
        <v>45610.7963078704</v>
      </c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5"/>
    </row>
    <row r="790" s="63" customFormat="1" ht="14.4" customHeight="1" spans="1:31">
      <c r="A790" s="68">
        <v>789</v>
      </c>
      <c r="B790" s="69" t="s">
        <v>94</v>
      </c>
      <c r="C790" s="70" t="s">
        <v>278</v>
      </c>
      <c r="D790" s="84" t="s">
        <v>244</v>
      </c>
      <c r="E790" s="84" t="s">
        <v>138</v>
      </c>
      <c r="F790" s="91">
        <v>45646.6181481481</v>
      </c>
      <c r="G790" s="91">
        <v>45652.6962962963</v>
      </c>
      <c r="H790" s="86" t="s">
        <v>99</v>
      </c>
      <c r="I790" s="87">
        <v>12000</v>
      </c>
      <c r="J790" s="83" t="s">
        <v>116</v>
      </c>
      <c r="K790" s="88" t="s">
        <v>117</v>
      </c>
      <c r="L790" s="91">
        <v>45561.6753125</v>
      </c>
      <c r="M790" s="91">
        <v>45610.7963078704</v>
      </c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5"/>
    </row>
    <row r="791" s="63" customFormat="1" ht="14.4" customHeight="1" spans="1:31">
      <c r="A791" s="68">
        <v>790</v>
      </c>
      <c r="B791" s="69" t="s">
        <v>94</v>
      </c>
      <c r="C791" s="70" t="s">
        <v>278</v>
      </c>
      <c r="D791" s="84" t="s">
        <v>245</v>
      </c>
      <c r="E791" s="84" t="s">
        <v>138</v>
      </c>
      <c r="F791" s="91">
        <v>45646.6181481481</v>
      </c>
      <c r="G791" s="91">
        <v>45652.6962962963</v>
      </c>
      <c r="H791" s="86" t="s">
        <v>99</v>
      </c>
      <c r="I791" s="87">
        <v>12000</v>
      </c>
      <c r="J791" s="83" t="s">
        <v>116</v>
      </c>
      <c r="K791" s="88" t="s">
        <v>117</v>
      </c>
      <c r="L791" s="91">
        <v>45561.6753125</v>
      </c>
      <c r="M791" s="91">
        <v>45610.7963078704</v>
      </c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5"/>
    </row>
    <row r="792" s="63" customFormat="1" ht="14.4" customHeight="1" spans="1:31">
      <c r="A792" s="68">
        <v>791</v>
      </c>
      <c r="B792" s="69" t="s">
        <v>94</v>
      </c>
      <c r="C792" s="70" t="s">
        <v>278</v>
      </c>
      <c r="D792" s="84" t="s">
        <v>246</v>
      </c>
      <c r="E792" s="84" t="s">
        <v>138</v>
      </c>
      <c r="F792" s="91">
        <v>45646.6181481481</v>
      </c>
      <c r="G792" s="91">
        <v>45652.6962962963</v>
      </c>
      <c r="H792" s="86" t="s">
        <v>99</v>
      </c>
      <c r="I792" s="87">
        <v>12000</v>
      </c>
      <c r="J792" s="83" t="s">
        <v>116</v>
      </c>
      <c r="K792" s="88" t="s">
        <v>117</v>
      </c>
      <c r="L792" s="91">
        <v>45561.6753125</v>
      </c>
      <c r="M792" s="91">
        <v>45610.7963078704</v>
      </c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5"/>
    </row>
    <row r="793" s="63" customFormat="1" ht="14.4" customHeight="1" spans="1:31">
      <c r="A793" s="68">
        <v>792</v>
      </c>
      <c r="B793" s="69" t="s">
        <v>94</v>
      </c>
      <c r="C793" s="70" t="s">
        <v>278</v>
      </c>
      <c r="D793" s="84" t="s">
        <v>247</v>
      </c>
      <c r="E793" s="84" t="s">
        <v>138</v>
      </c>
      <c r="F793" s="91">
        <v>45646.6181481481</v>
      </c>
      <c r="G793" s="91">
        <v>45652.6962962963</v>
      </c>
      <c r="H793" s="86" t="s">
        <v>99</v>
      </c>
      <c r="I793" s="87">
        <v>12000</v>
      </c>
      <c r="J793" s="83" t="s">
        <v>116</v>
      </c>
      <c r="K793" s="88" t="s">
        <v>117</v>
      </c>
      <c r="L793" s="91">
        <v>45561.6753125</v>
      </c>
      <c r="M793" s="91">
        <v>45610.7963078704</v>
      </c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5"/>
    </row>
    <row r="794" s="63" customFormat="1" ht="14.4" customHeight="1" spans="1:31">
      <c r="A794" s="68">
        <v>793</v>
      </c>
      <c r="B794" s="69" t="s">
        <v>94</v>
      </c>
      <c r="C794" s="70" t="s">
        <v>278</v>
      </c>
      <c r="D794" s="84" t="s">
        <v>248</v>
      </c>
      <c r="E794" s="84" t="s">
        <v>138</v>
      </c>
      <c r="F794" s="91">
        <v>45646.6181481481</v>
      </c>
      <c r="G794" s="91">
        <v>45652.6962962963</v>
      </c>
      <c r="H794" s="86" t="s">
        <v>99</v>
      </c>
      <c r="I794" s="87">
        <v>12000</v>
      </c>
      <c r="J794" s="83" t="s">
        <v>116</v>
      </c>
      <c r="K794" s="88" t="s">
        <v>117</v>
      </c>
      <c r="L794" s="91">
        <v>45561.6753125</v>
      </c>
      <c r="M794" s="91">
        <v>45610.7963078704</v>
      </c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5"/>
    </row>
    <row r="795" s="63" customFormat="1" ht="14.4" customHeight="1" spans="1:31">
      <c r="A795" s="68">
        <v>794</v>
      </c>
      <c r="B795" s="69" t="s">
        <v>94</v>
      </c>
      <c r="C795" s="70" t="s">
        <v>278</v>
      </c>
      <c r="D795" s="84" t="s">
        <v>249</v>
      </c>
      <c r="E795" s="84" t="s">
        <v>138</v>
      </c>
      <c r="F795" s="91">
        <v>45646.6181481481</v>
      </c>
      <c r="G795" s="91">
        <v>45652.6962962963</v>
      </c>
      <c r="H795" s="86" t="s">
        <v>99</v>
      </c>
      <c r="I795" s="87">
        <v>12000</v>
      </c>
      <c r="J795" s="83" t="s">
        <v>116</v>
      </c>
      <c r="K795" s="88" t="s">
        <v>117</v>
      </c>
      <c r="L795" s="91">
        <v>45561.6753125</v>
      </c>
      <c r="M795" s="91">
        <v>45610.7963078704</v>
      </c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5"/>
    </row>
    <row r="796" s="63" customFormat="1" ht="14.4" customHeight="1" spans="1:31">
      <c r="A796" s="68">
        <v>795</v>
      </c>
      <c r="B796" s="69" t="s">
        <v>94</v>
      </c>
      <c r="C796" s="70" t="s">
        <v>278</v>
      </c>
      <c r="D796" s="84" t="s">
        <v>250</v>
      </c>
      <c r="E796" s="88"/>
      <c r="F796" s="84"/>
      <c r="G796" s="84"/>
      <c r="H796" s="86" t="s">
        <v>99</v>
      </c>
      <c r="I796" s="87">
        <v>12000</v>
      </c>
      <c r="J796" s="84"/>
      <c r="K796" s="89"/>
      <c r="L796" s="90"/>
      <c r="M796" s="82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5"/>
    </row>
    <row r="797" s="63" customFormat="1" ht="14.4" customHeight="1" spans="1:31">
      <c r="A797" s="68">
        <v>796</v>
      </c>
      <c r="B797" s="69" t="s">
        <v>94</v>
      </c>
      <c r="C797" s="70" t="s">
        <v>278</v>
      </c>
      <c r="D797" s="84" t="s">
        <v>251</v>
      </c>
      <c r="E797" s="88"/>
      <c r="F797" s="84"/>
      <c r="G797" s="84"/>
      <c r="H797" s="86" t="s">
        <v>99</v>
      </c>
      <c r="I797" s="87">
        <v>12000</v>
      </c>
      <c r="J797" s="84"/>
      <c r="K797" s="89"/>
      <c r="L797" s="90"/>
      <c r="M797" s="82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5"/>
    </row>
    <row r="798" s="63" customFormat="1" ht="14.4" customHeight="1" spans="1:31">
      <c r="A798" s="68">
        <v>797</v>
      </c>
      <c r="B798" s="69" t="s">
        <v>94</v>
      </c>
      <c r="C798" s="70" t="s">
        <v>278</v>
      </c>
      <c r="D798" s="84" t="s">
        <v>252</v>
      </c>
      <c r="E798" s="88"/>
      <c r="F798" s="84"/>
      <c r="G798" s="84"/>
      <c r="H798" s="86" t="s">
        <v>99</v>
      </c>
      <c r="I798" s="87">
        <v>12000</v>
      </c>
      <c r="J798" s="84"/>
      <c r="K798" s="89"/>
      <c r="L798" s="90"/>
      <c r="M798" s="82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5"/>
    </row>
    <row r="799" s="63" customFormat="1" ht="14.4" customHeight="1" spans="1:31">
      <c r="A799" s="68">
        <v>798</v>
      </c>
      <c r="B799" s="69" t="s">
        <v>94</v>
      </c>
      <c r="C799" s="70" t="s">
        <v>278</v>
      </c>
      <c r="D799" s="84" t="s">
        <v>253</v>
      </c>
      <c r="E799" s="88"/>
      <c r="F799" s="84"/>
      <c r="G799" s="84"/>
      <c r="H799" s="86" t="s">
        <v>99</v>
      </c>
      <c r="I799" s="87">
        <v>12000</v>
      </c>
      <c r="J799" s="84"/>
      <c r="K799" s="89"/>
      <c r="L799" s="90"/>
      <c r="M799" s="82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5"/>
    </row>
    <row r="800" s="63" customFormat="1" ht="14.4" customHeight="1" spans="1:31">
      <c r="A800" s="68">
        <v>799</v>
      </c>
      <c r="B800" s="69" t="s">
        <v>94</v>
      </c>
      <c r="C800" s="70" t="s">
        <v>278</v>
      </c>
      <c r="D800" s="84" t="s">
        <v>254</v>
      </c>
      <c r="E800" s="88"/>
      <c r="F800" s="84"/>
      <c r="G800" s="84"/>
      <c r="H800" s="86" t="s">
        <v>99</v>
      </c>
      <c r="I800" s="87">
        <v>12000</v>
      </c>
      <c r="J800" s="84"/>
      <c r="K800" s="89"/>
      <c r="L800" s="90"/>
      <c r="M800" s="82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5"/>
    </row>
    <row r="801" s="63" customFormat="1" ht="14.4" customHeight="1" spans="1:31">
      <c r="A801" s="68">
        <v>800</v>
      </c>
      <c r="B801" s="69" t="s">
        <v>94</v>
      </c>
      <c r="C801" s="70" t="s">
        <v>278</v>
      </c>
      <c r="D801" s="84" t="s">
        <v>255</v>
      </c>
      <c r="E801" s="88"/>
      <c r="F801" s="84"/>
      <c r="G801" s="84"/>
      <c r="H801" s="86" t="s">
        <v>99</v>
      </c>
      <c r="I801" s="87">
        <v>12000</v>
      </c>
      <c r="J801" s="84"/>
      <c r="K801" s="89"/>
      <c r="L801" s="90"/>
      <c r="M801" s="82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5"/>
    </row>
    <row r="802" s="63" customFormat="1" ht="14.4" customHeight="1" spans="1:31">
      <c r="A802" s="68">
        <v>801</v>
      </c>
      <c r="B802" s="69" t="s">
        <v>94</v>
      </c>
      <c r="C802" s="70" t="s">
        <v>278</v>
      </c>
      <c r="D802" s="84" t="s">
        <v>256</v>
      </c>
      <c r="E802" s="88"/>
      <c r="F802" s="84"/>
      <c r="G802" s="84"/>
      <c r="H802" s="79" t="s">
        <v>97</v>
      </c>
      <c r="I802" s="80">
        <v>16000</v>
      </c>
      <c r="J802" s="84"/>
      <c r="K802" s="89"/>
      <c r="L802" s="90"/>
      <c r="M802" s="82"/>
      <c r="N802" s="84"/>
      <c r="O802" s="84"/>
      <c r="P802" s="84"/>
      <c r="Q802" s="84"/>
      <c r="R802" s="84"/>
      <c r="S802" s="84"/>
      <c r="T802" s="84"/>
      <c r="U802" s="84"/>
      <c r="V802" s="84"/>
      <c r="W802" s="84"/>
      <c r="X802" s="84"/>
      <c r="Y802" s="84"/>
      <c r="Z802" s="84"/>
      <c r="AA802" s="84"/>
      <c r="AB802" s="84"/>
      <c r="AC802" s="84"/>
      <c r="AD802" s="84"/>
      <c r="AE802" s="85"/>
    </row>
    <row r="803" s="63" customFormat="1" ht="14.4" customHeight="1" spans="1:31">
      <c r="A803" s="68">
        <v>802</v>
      </c>
      <c r="B803" s="69" t="s">
        <v>94</v>
      </c>
      <c r="C803" s="70" t="s">
        <v>278</v>
      </c>
      <c r="D803" s="84" t="s">
        <v>257</v>
      </c>
      <c r="E803" s="84" t="s">
        <v>138</v>
      </c>
      <c r="F803" s="91">
        <v>45646.6181481481</v>
      </c>
      <c r="G803" s="91">
        <v>45652.6962962963</v>
      </c>
      <c r="H803" s="86" t="s">
        <v>99</v>
      </c>
      <c r="I803" s="87">
        <v>12000</v>
      </c>
      <c r="J803" s="83" t="s">
        <v>116</v>
      </c>
      <c r="K803" s="88" t="s">
        <v>117</v>
      </c>
      <c r="L803" s="91">
        <v>45561.6753125</v>
      </c>
      <c r="M803" s="91">
        <v>45610.7963078704</v>
      </c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5"/>
    </row>
    <row r="804" s="63" customFormat="1" ht="14.4" customHeight="1" spans="1:31">
      <c r="A804" s="68">
        <v>803</v>
      </c>
      <c r="B804" s="69" t="s">
        <v>94</v>
      </c>
      <c r="C804" s="70" t="s">
        <v>278</v>
      </c>
      <c r="D804" s="84" t="s">
        <v>258</v>
      </c>
      <c r="E804" s="84" t="s">
        <v>138</v>
      </c>
      <c r="F804" s="91">
        <v>45646.6181481481</v>
      </c>
      <c r="G804" s="91">
        <v>45652.6962962963</v>
      </c>
      <c r="H804" s="86" t="s">
        <v>99</v>
      </c>
      <c r="I804" s="87">
        <v>12000</v>
      </c>
      <c r="J804" s="83" t="s">
        <v>116</v>
      </c>
      <c r="K804" s="88" t="s">
        <v>117</v>
      </c>
      <c r="L804" s="91">
        <v>45561.6753125</v>
      </c>
      <c r="M804" s="91">
        <v>45610.7963078704</v>
      </c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5"/>
    </row>
    <row r="805" s="63" customFormat="1" ht="14.4" customHeight="1" spans="1:31">
      <c r="A805" s="68">
        <v>804</v>
      </c>
      <c r="B805" s="69" t="s">
        <v>94</v>
      </c>
      <c r="C805" s="70" t="s">
        <v>278</v>
      </c>
      <c r="D805" s="84" t="s">
        <v>259</v>
      </c>
      <c r="E805" s="84" t="s">
        <v>138</v>
      </c>
      <c r="F805" s="91">
        <v>45646.6181481481</v>
      </c>
      <c r="G805" s="91">
        <v>45652.6962962963</v>
      </c>
      <c r="H805" s="86" t="s">
        <v>99</v>
      </c>
      <c r="I805" s="87">
        <v>12000</v>
      </c>
      <c r="J805" s="83" t="s">
        <v>116</v>
      </c>
      <c r="K805" s="88" t="s">
        <v>117</v>
      </c>
      <c r="L805" s="91">
        <v>45561.6753125</v>
      </c>
      <c r="M805" s="91">
        <v>45610.7963078704</v>
      </c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5"/>
    </row>
    <row r="806" s="63" customFormat="1" ht="14.4" customHeight="1" spans="1:31">
      <c r="A806" s="68">
        <v>805</v>
      </c>
      <c r="B806" s="69" t="s">
        <v>94</v>
      </c>
      <c r="C806" s="70" t="s">
        <v>278</v>
      </c>
      <c r="D806" s="84" t="s">
        <v>260</v>
      </c>
      <c r="E806" s="84" t="s">
        <v>138</v>
      </c>
      <c r="F806" s="91">
        <v>45646.6181481481</v>
      </c>
      <c r="G806" s="91">
        <v>45652.6962962963</v>
      </c>
      <c r="H806" s="86" t="s">
        <v>99</v>
      </c>
      <c r="I806" s="87">
        <v>12000</v>
      </c>
      <c r="J806" s="83" t="s">
        <v>116</v>
      </c>
      <c r="K806" s="88" t="s">
        <v>117</v>
      </c>
      <c r="L806" s="91">
        <v>45561.6753125</v>
      </c>
      <c r="M806" s="91">
        <v>45610.7963078704</v>
      </c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5"/>
    </row>
    <row r="807" s="63" customFormat="1" ht="14.4" customHeight="1" spans="1:31">
      <c r="A807" s="68">
        <v>806</v>
      </c>
      <c r="B807" s="69" t="s">
        <v>94</v>
      </c>
      <c r="C807" s="70" t="s">
        <v>278</v>
      </c>
      <c r="D807" s="84" t="s">
        <v>261</v>
      </c>
      <c r="E807" s="84" t="s">
        <v>138</v>
      </c>
      <c r="F807" s="91">
        <v>45646.6181481481</v>
      </c>
      <c r="G807" s="91">
        <v>45652.6962962963</v>
      </c>
      <c r="H807" s="86" t="s">
        <v>99</v>
      </c>
      <c r="I807" s="87">
        <v>12000</v>
      </c>
      <c r="J807" s="83" t="s">
        <v>116</v>
      </c>
      <c r="K807" s="88" t="s">
        <v>117</v>
      </c>
      <c r="L807" s="91">
        <v>45561.6753125</v>
      </c>
      <c r="M807" s="91">
        <v>45610.7963078704</v>
      </c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5"/>
    </row>
    <row r="808" s="63" customFormat="1" ht="14.4" customHeight="1" spans="1:31">
      <c r="A808" s="68">
        <v>807</v>
      </c>
      <c r="B808" s="69" t="s">
        <v>94</v>
      </c>
      <c r="C808" s="70" t="s">
        <v>278</v>
      </c>
      <c r="D808" s="84" t="s">
        <v>262</v>
      </c>
      <c r="E808" s="84" t="s">
        <v>138</v>
      </c>
      <c r="F808" s="91">
        <v>45646.6181481481</v>
      </c>
      <c r="G808" s="91">
        <v>45652.6962962963</v>
      </c>
      <c r="H808" s="86" t="s">
        <v>99</v>
      </c>
      <c r="I808" s="87">
        <v>12000</v>
      </c>
      <c r="J808" s="83" t="s">
        <v>116</v>
      </c>
      <c r="K808" s="88" t="s">
        <v>117</v>
      </c>
      <c r="L808" s="91">
        <v>45561.6753125</v>
      </c>
      <c r="M808" s="91">
        <v>45610.7963078704</v>
      </c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5"/>
    </row>
    <row r="809" s="63" customFormat="1" ht="14.4" customHeight="1" spans="1:31">
      <c r="A809" s="68">
        <v>808</v>
      </c>
      <c r="B809" s="69" t="s">
        <v>94</v>
      </c>
      <c r="C809" s="70" t="s">
        <v>278</v>
      </c>
      <c r="D809" s="84" t="s">
        <v>263</v>
      </c>
      <c r="E809" s="84" t="s">
        <v>138</v>
      </c>
      <c r="F809" s="91">
        <v>45646.6181481481</v>
      </c>
      <c r="G809" s="91">
        <v>45652.6962962963</v>
      </c>
      <c r="H809" s="86" t="s">
        <v>99</v>
      </c>
      <c r="I809" s="87">
        <v>12000</v>
      </c>
      <c r="J809" s="83" t="s">
        <v>116</v>
      </c>
      <c r="K809" s="88" t="s">
        <v>117</v>
      </c>
      <c r="L809" s="91">
        <v>45561.6753125</v>
      </c>
      <c r="M809" s="91">
        <v>45610.7963078704</v>
      </c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5"/>
    </row>
    <row r="810" s="63" customFormat="1" ht="14.4" customHeight="1" spans="1:31">
      <c r="A810" s="68">
        <v>809</v>
      </c>
      <c r="B810" s="69" t="s">
        <v>94</v>
      </c>
      <c r="C810" s="70" t="s">
        <v>278</v>
      </c>
      <c r="D810" s="84" t="s">
        <v>264</v>
      </c>
      <c r="E810" s="84" t="s">
        <v>138</v>
      </c>
      <c r="F810" s="91">
        <v>45646.6181481481</v>
      </c>
      <c r="G810" s="91">
        <v>45652.6962962963</v>
      </c>
      <c r="H810" s="86" t="s">
        <v>99</v>
      </c>
      <c r="I810" s="87">
        <v>12000</v>
      </c>
      <c r="J810" s="83" t="s">
        <v>116</v>
      </c>
      <c r="K810" s="88" t="s">
        <v>117</v>
      </c>
      <c r="L810" s="91">
        <v>45561.6753125</v>
      </c>
      <c r="M810" s="91">
        <v>45610.7963078704</v>
      </c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5"/>
    </row>
    <row r="811" s="63" customFormat="1" ht="14.4" customHeight="1" spans="1:31">
      <c r="A811" s="68">
        <v>810</v>
      </c>
      <c r="B811" s="69" t="s">
        <v>94</v>
      </c>
      <c r="C811" s="70" t="s">
        <v>278</v>
      </c>
      <c r="D811" s="84" t="s">
        <v>265</v>
      </c>
      <c r="E811" s="84" t="s">
        <v>138</v>
      </c>
      <c r="F811" s="91">
        <v>45646.6181481481</v>
      </c>
      <c r="G811" s="91">
        <v>45652.6962962963</v>
      </c>
      <c r="H811" s="86" t="s">
        <v>99</v>
      </c>
      <c r="I811" s="87">
        <v>12000</v>
      </c>
      <c r="J811" s="83" t="s">
        <v>116</v>
      </c>
      <c r="K811" s="88" t="s">
        <v>117</v>
      </c>
      <c r="L811" s="91">
        <v>45561.6753125</v>
      </c>
      <c r="M811" s="91">
        <v>45610.7963078704</v>
      </c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5"/>
    </row>
    <row r="812" s="63" customFormat="1" ht="14.4" customHeight="1" spans="1:31">
      <c r="A812" s="68">
        <v>811</v>
      </c>
      <c r="B812" s="69" t="s">
        <v>94</v>
      </c>
      <c r="C812" s="70" t="s">
        <v>278</v>
      </c>
      <c r="D812" s="84" t="s">
        <v>266</v>
      </c>
      <c r="E812" s="88"/>
      <c r="F812" s="84"/>
      <c r="G812" s="84"/>
      <c r="H812" s="86" t="s">
        <v>99</v>
      </c>
      <c r="I812" s="87">
        <v>12000</v>
      </c>
      <c r="J812" s="84"/>
      <c r="K812" s="89"/>
      <c r="L812" s="90"/>
      <c r="M812" s="82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5"/>
    </row>
    <row r="813" s="63" customFormat="1" ht="14.4" customHeight="1" spans="1:31">
      <c r="A813" s="68">
        <v>812</v>
      </c>
      <c r="B813" s="69" t="s">
        <v>94</v>
      </c>
      <c r="C813" s="70" t="s">
        <v>278</v>
      </c>
      <c r="D813" s="84" t="s">
        <v>267</v>
      </c>
      <c r="E813" s="88"/>
      <c r="F813" s="84"/>
      <c r="G813" s="84"/>
      <c r="H813" s="86" t="s">
        <v>99</v>
      </c>
      <c r="I813" s="87">
        <v>12000</v>
      </c>
      <c r="J813" s="84"/>
      <c r="K813" s="89"/>
      <c r="L813" s="90"/>
      <c r="M813" s="82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5"/>
    </row>
    <row r="814" s="63" customFormat="1" ht="14.4" customHeight="1" spans="1:31">
      <c r="A814" s="68">
        <v>813</v>
      </c>
      <c r="B814" s="69" t="s">
        <v>94</v>
      </c>
      <c r="C814" s="70" t="s">
        <v>278</v>
      </c>
      <c r="D814" s="84" t="s">
        <v>268</v>
      </c>
      <c r="E814" s="88"/>
      <c r="F814" s="84"/>
      <c r="G814" s="84"/>
      <c r="H814" s="86" t="s">
        <v>99</v>
      </c>
      <c r="I814" s="87">
        <v>12000</v>
      </c>
      <c r="J814" s="84"/>
      <c r="K814" s="89"/>
      <c r="L814" s="90"/>
      <c r="M814" s="82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5"/>
    </row>
    <row r="815" s="63" customFormat="1" ht="14.4" customHeight="1" spans="1:31">
      <c r="A815" s="68">
        <v>814</v>
      </c>
      <c r="B815" s="69" t="s">
        <v>94</v>
      </c>
      <c r="C815" s="70" t="s">
        <v>278</v>
      </c>
      <c r="D815" s="84" t="s">
        <v>269</v>
      </c>
      <c r="E815" s="88"/>
      <c r="F815" s="84"/>
      <c r="G815" s="84"/>
      <c r="H815" s="86" t="s">
        <v>99</v>
      </c>
      <c r="I815" s="87">
        <v>12000</v>
      </c>
      <c r="J815" s="84"/>
      <c r="K815" s="89"/>
      <c r="L815" s="90"/>
      <c r="M815" s="82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5"/>
    </row>
    <row r="816" s="63" customFormat="1" ht="14.4" customHeight="1" spans="1:31">
      <c r="A816" s="68">
        <v>815</v>
      </c>
      <c r="B816" s="69" t="s">
        <v>94</v>
      </c>
      <c r="C816" s="70" t="s">
        <v>278</v>
      </c>
      <c r="D816" s="84" t="s">
        <v>270</v>
      </c>
      <c r="E816" s="88"/>
      <c r="F816" s="84"/>
      <c r="G816" s="84"/>
      <c r="H816" s="86" t="s">
        <v>99</v>
      </c>
      <c r="I816" s="87">
        <v>12000</v>
      </c>
      <c r="J816" s="84"/>
      <c r="K816" s="89"/>
      <c r="L816" s="90"/>
      <c r="M816" s="82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5"/>
    </row>
    <row r="817" s="63" customFormat="1" ht="14.4" customHeight="1" spans="1:31">
      <c r="A817" s="68">
        <v>816</v>
      </c>
      <c r="B817" s="69" t="s">
        <v>94</v>
      </c>
      <c r="C817" s="70" t="s">
        <v>278</v>
      </c>
      <c r="D817" s="84" t="s">
        <v>271</v>
      </c>
      <c r="E817" s="88"/>
      <c r="F817" s="84"/>
      <c r="G817" s="84"/>
      <c r="H817" s="86" t="s">
        <v>99</v>
      </c>
      <c r="I817" s="87">
        <v>12000</v>
      </c>
      <c r="J817" s="84"/>
      <c r="K817" s="89"/>
      <c r="L817" s="90"/>
      <c r="M817" s="82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5"/>
    </row>
    <row r="818" s="63" customFormat="1" ht="14.4" customHeight="1" spans="1:31">
      <c r="A818" s="68">
        <v>817</v>
      </c>
      <c r="B818" s="69" t="s">
        <v>94</v>
      </c>
      <c r="C818" s="70" t="s">
        <v>278</v>
      </c>
      <c r="D818" s="84" t="s">
        <v>272</v>
      </c>
      <c r="E818" s="88"/>
      <c r="F818" s="84"/>
      <c r="G818" s="84"/>
      <c r="H818" s="86" t="s">
        <v>99</v>
      </c>
      <c r="I818" s="87">
        <v>12000</v>
      </c>
      <c r="J818" s="84"/>
      <c r="K818" s="89"/>
      <c r="L818" s="90"/>
      <c r="M818" s="82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5"/>
    </row>
    <row r="819" s="63" customFormat="1" ht="14.4" customHeight="1" spans="1:31">
      <c r="A819" s="68">
        <v>818</v>
      </c>
      <c r="B819" s="69" t="s">
        <v>94</v>
      </c>
      <c r="C819" s="70" t="s">
        <v>278</v>
      </c>
      <c r="D819" s="84" t="s">
        <v>273</v>
      </c>
      <c r="E819" s="88"/>
      <c r="F819" s="84"/>
      <c r="G819" s="84"/>
      <c r="H819" s="86" t="s">
        <v>99</v>
      </c>
      <c r="I819" s="87">
        <v>12000</v>
      </c>
      <c r="J819" s="84"/>
      <c r="K819" s="89"/>
      <c r="L819" s="90"/>
      <c r="M819" s="82"/>
      <c r="N819" s="84"/>
      <c r="O819" s="84"/>
      <c r="P819" s="84"/>
      <c r="Q819" s="84"/>
      <c r="R819" s="84"/>
      <c r="S819" s="84"/>
      <c r="T819" s="84"/>
      <c r="U819" s="84"/>
      <c r="V819" s="84"/>
      <c r="W819" s="84"/>
      <c r="X819" s="84"/>
      <c r="Y819" s="84"/>
      <c r="Z819" s="84"/>
      <c r="AA819" s="84"/>
      <c r="AB819" s="84"/>
      <c r="AC819" s="84"/>
      <c r="AD819" s="84"/>
      <c r="AE819" s="85"/>
    </row>
    <row r="820" s="63" customFormat="1" ht="14.4" customHeight="1" spans="1:31">
      <c r="A820" s="68">
        <v>819</v>
      </c>
      <c r="B820" s="69" t="s">
        <v>94</v>
      </c>
      <c r="C820" s="92" t="s">
        <v>279</v>
      </c>
      <c r="D820" s="92" t="s">
        <v>96</v>
      </c>
      <c r="E820" s="93" t="s">
        <v>121</v>
      </c>
      <c r="F820" s="94">
        <v>46093.6755092593</v>
      </c>
      <c r="G820" s="94">
        <v>46094.6954861111</v>
      </c>
      <c r="H820" s="79" t="s">
        <v>97</v>
      </c>
      <c r="I820" s="80">
        <v>16000</v>
      </c>
      <c r="J820" s="83" t="s">
        <v>116</v>
      </c>
      <c r="K820" s="89"/>
      <c r="L820" s="90"/>
      <c r="M820" s="82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5"/>
    </row>
    <row r="821" s="63" customFormat="1" ht="14.4" customHeight="1" spans="1:31">
      <c r="A821" s="68">
        <v>820</v>
      </c>
      <c r="B821" s="69" t="s">
        <v>94</v>
      </c>
      <c r="C821" s="92" t="s">
        <v>279</v>
      </c>
      <c r="D821" s="92" t="s">
        <v>98</v>
      </c>
      <c r="E821" s="93" t="s">
        <v>121</v>
      </c>
      <c r="F821" s="94">
        <v>46093.6754861111</v>
      </c>
      <c r="G821" s="94">
        <v>46094.6957523148</v>
      </c>
      <c r="H821" s="86" t="s">
        <v>99</v>
      </c>
      <c r="I821" s="87">
        <v>12000</v>
      </c>
      <c r="J821" s="83" t="s">
        <v>116</v>
      </c>
      <c r="K821" s="88" t="s">
        <v>117</v>
      </c>
      <c r="L821" s="91">
        <v>45561.6753125</v>
      </c>
      <c r="M821" s="91">
        <v>45610.7963078704</v>
      </c>
      <c r="N821" s="84" t="s">
        <v>138</v>
      </c>
      <c r="O821" s="91">
        <v>45646.6181481481</v>
      </c>
      <c r="P821" s="91">
        <v>45652.6962962963</v>
      </c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5"/>
    </row>
    <row r="822" s="63" customFormat="1" ht="14.4" customHeight="1" spans="1:31">
      <c r="A822" s="68">
        <v>821</v>
      </c>
      <c r="B822" s="69" t="s">
        <v>94</v>
      </c>
      <c r="C822" s="92" t="s">
        <v>279</v>
      </c>
      <c r="D822" s="92" t="s">
        <v>100</v>
      </c>
      <c r="E822" s="84" t="s">
        <v>115</v>
      </c>
      <c r="F822" s="91">
        <v>46106.4780324074</v>
      </c>
      <c r="G822" s="91">
        <v>46104.4782523148</v>
      </c>
      <c r="H822" s="86" t="s">
        <v>99</v>
      </c>
      <c r="I822" s="87">
        <v>12000</v>
      </c>
      <c r="J822" s="83" t="s">
        <v>116</v>
      </c>
      <c r="K822" s="88" t="s">
        <v>117</v>
      </c>
      <c r="L822" s="91">
        <v>45561.6753125</v>
      </c>
      <c r="M822" s="91">
        <v>45610.7963078704</v>
      </c>
      <c r="N822" s="84" t="s">
        <v>138</v>
      </c>
      <c r="O822" s="91">
        <v>45646.6181481481</v>
      </c>
      <c r="P822" s="91">
        <v>45652.6962962963</v>
      </c>
      <c r="Q822" s="84" t="s">
        <v>121</v>
      </c>
      <c r="R822" s="91">
        <v>46099.7344212963</v>
      </c>
      <c r="S822" s="91">
        <v>46100.6425115741</v>
      </c>
      <c r="T822" s="93" t="s">
        <v>120</v>
      </c>
      <c r="U822" s="94">
        <v>46102.8336226852</v>
      </c>
      <c r="V822" s="94">
        <v>46101.8338425926</v>
      </c>
      <c r="W822" s="84"/>
      <c r="X822" s="84"/>
      <c r="Y822" s="84"/>
      <c r="Z822" s="84"/>
      <c r="AA822" s="84"/>
      <c r="AB822" s="84"/>
      <c r="AC822" s="84"/>
      <c r="AD822" s="84"/>
      <c r="AE822" s="85"/>
    </row>
    <row r="823" s="63" customFormat="1" ht="14.4" customHeight="1" spans="1:31">
      <c r="A823" s="68">
        <v>822</v>
      </c>
      <c r="B823" s="69" t="s">
        <v>94</v>
      </c>
      <c r="C823" s="92" t="s">
        <v>279</v>
      </c>
      <c r="D823" s="92" t="s">
        <v>101</v>
      </c>
      <c r="E823" s="93" t="s">
        <v>121</v>
      </c>
      <c r="F823" s="94">
        <v>46093.6754976852</v>
      </c>
      <c r="G823" s="94">
        <v>46094.6977314815</v>
      </c>
      <c r="H823" s="86" t="s">
        <v>99</v>
      </c>
      <c r="I823" s="87">
        <v>12000</v>
      </c>
      <c r="J823" s="83" t="s">
        <v>116</v>
      </c>
      <c r="K823" s="88" t="s">
        <v>117</v>
      </c>
      <c r="L823" s="91">
        <v>45561.6753125</v>
      </c>
      <c r="M823" s="91">
        <v>45610.7963078704</v>
      </c>
      <c r="N823" s="84" t="s">
        <v>138</v>
      </c>
      <c r="O823" s="91">
        <v>45646.6181481481</v>
      </c>
      <c r="P823" s="91">
        <v>45652.6962962963</v>
      </c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5"/>
    </row>
    <row r="824" s="63" customFormat="1" ht="14.4" customHeight="1" spans="1:31">
      <c r="A824" s="68">
        <v>823</v>
      </c>
      <c r="B824" s="69" t="s">
        <v>94</v>
      </c>
      <c r="C824" s="92" t="s">
        <v>279</v>
      </c>
      <c r="D824" s="92" t="s">
        <v>102</v>
      </c>
      <c r="E824" s="93" t="s">
        <v>121</v>
      </c>
      <c r="F824" s="94">
        <v>46093.6754861111</v>
      </c>
      <c r="G824" s="94">
        <v>46094.6989236111</v>
      </c>
      <c r="H824" s="86" t="s">
        <v>99</v>
      </c>
      <c r="I824" s="87">
        <v>12000</v>
      </c>
      <c r="J824" s="83" t="s">
        <v>116</v>
      </c>
      <c r="K824" s="88" t="s">
        <v>117</v>
      </c>
      <c r="L824" s="91">
        <v>45561.6753125</v>
      </c>
      <c r="M824" s="91">
        <v>45610.7963078704</v>
      </c>
      <c r="N824" s="84" t="s">
        <v>138</v>
      </c>
      <c r="O824" s="91">
        <v>45646.6181481481</v>
      </c>
      <c r="P824" s="91">
        <v>45652.6962962963</v>
      </c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5"/>
    </row>
    <row r="825" s="63" customFormat="1" ht="14.4" customHeight="1" spans="1:31">
      <c r="A825" s="68">
        <v>824</v>
      </c>
      <c r="B825" s="69" t="s">
        <v>94</v>
      </c>
      <c r="C825" s="92" t="s">
        <v>279</v>
      </c>
      <c r="D825" s="92" t="s">
        <v>103</v>
      </c>
      <c r="E825" s="84" t="s">
        <v>115</v>
      </c>
      <c r="F825" s="91">
        <v>46106.4815740741</v>
      </c>
      <c r="G825" s="91">
        <v>46104.4817824074</v>
      </c>
      <c r="H825" s="86" t="s">
        <v>99</v>
      </c>
      <c r="I825" s="87">
        <v>12000</v>
      </c>
      <c r="J825" s="83" t="s">
        <v>116</v>
      </c>
      <c r="K825" s="88" t="s">
        <v>117</v>
      </c>
      <c r="L825" s="91">
        <v>45561.6753125</v>
      </c>
      <c r="M825" s="91">
        <v>45610.7963078704</v>
      </c>
      <c r="N825" s="84" t="s">
        <v>138</v>
      </c>
      <c r="O825" s="91">
        <v>45646.6181481481</v>
      </c>
      <c r="P825" s="91">
        <v>45652.6962962963</v>
      </c>
      <c r="Q825" s="84" t="s">
        <v>121</v>
      </c>
      <c r="R825" s="91">
        <v>46099.7344212963</v>
      </c>
      <c r="S825" s="91">
        <v>46100.6426273148</v>
      </c>
      <c r="T825" s="93" t="s">
        <v>120</v>
      </c>
      <c r="U825" s="94">
        <v>46102.8336226852</v>
      </c>
      <c r="V825" s="94">
        <v>46101.8338425926</v>
      </c>
      <c r="W825" s="84"/>
      <c r="X825" s="84"/>
      <c r="Y825" s="84"/>
      <c r="Z825" s="84"/>
      <c r="AA825" s="84"/>
      <c r="AB825" s="84"/>
      <c r="AC825" s="84"/>
      <c r="AD825" s="84"/>
      <c r="AE825" s="85"/>
    </row>
    <row r="826" s="63" customFormat="1" ht="14.4" customHeight="1" spans="1:31">
      <c r="A826" s="68">
        <v>825</v>
      </c>
      <c r="B826" s="69" t="s">
        <v>94</v>
      </c>
      <c r="C826" s="92" t="s">
        <v>279</v>
      </c>
      <c r="D826" s="92" t="s">
        <v>104</v>
      </c>
      <c r="E826" s="93" t="s">
        <v>121</v>
      </c>
      <c r="F826" s="94">
        <v>46093.6755092593</v>
      </c>
      <c r="G826" s="94">
        <v>46094.7008333333</v>
      </c>
      <c r="H826" s="86" t="s">
        <v>99</v>
      </c>
      <c r="I826" s="87">
        <v>12000</v>
      </c>
      <c r="J826" s="83" t="s">
        <v>116</v>
      </c>
      <c r="K826" s="88" t="s">
        <v>117</v>
      </c>
      <c r="L826" s="91">
        <v>45561.6753125</v>
      </c>
      <c r="M826" s="91">
        <v>45610.7963078704</v>
      </c>
      <c r="N826" s="84" t="s">
        <v>138</v>
      </c>
      <c r="O826" s="91">
        <v>45646.6181481481</v>
      </c>
      <c r="P826" s="91">
        <v>45652.6962962963</v>
      </c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5"/>
    </row>
    <row r="827" s="63" customFormat="1" ht="14.4" customHeight="1" spans="1:31">
      <c r="A827" s="68">
        <v>826</v>
      </c>
      <c r="B827" s="69" t="s">
        <v>94</v>
      </c>
      <c r="C827" s="92" t="s">
        <v>279</v>
      </c>
      <c r="D827" s="92" t="s">
        <v>105</v>
      </c>
      <c r="E827" s="93" t="s">
        <v>121</v>
      </c>
      <c r="F827" s="94">
        <v>46093.6754976852</v>
      </c>
      <c r="G827" s="94">
        <v>46094.7027083333</v>
      </c>
      <c r="H827" s="86" t="s">
        <v>99</v>
      </c>
      <c r="I827" s="87">
        <v>12000</v>
      </c>
      <c r="J827" s="83" t="s">
        <v>116</v>
      </c>
      <c r="K827" s="88" t="s">
        <v>117</v>
      </c>
      <c r="L827" s="91">
        <v>45561.6753125</v>
      </c>
      <c r="M827" s="91">
        <v>45610.7963078704</v>
      </c>
      <c r="N827" s="84" t="s">
        <v>138</v>
      </c>
      <c r="O827" s="91">
        <v>45646.6181481481</v>
      </c>
      <c r="P827" s="91">
        <v>45652.6962962963</v>
      </c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5"/>
    </row>
    <row r="828" s="63" customFormat="1" ht="14.4" customHeight="1" spans="1:31">
      <c r="A828" s="68">
        <v>827</v>
      </c>
      <c r="B828" s="69" t="s">
        <v>94</v>
      </c>
      <c r="C828" s="92" t="s">
        <v>279</v>
      </c>
      <c r="D828" s="92" t="s">
        <v>106</v>
      </c>
      <c r="E828" s="84" t="s">
        <v>115</v>
      </c>
      <c r="F828" s="91">
        <v>46106.5898263889</v>
      </c>
      <c r="G828" s="91">
        <v>46104.5900347222</v>
      </c>
      <c r="H828" s="86" t="s">
        <v>99</v>
      </c>
      <c r="I828" s="87">
        <v>12000</v>
      </c>
      <c r="J828" s="83" t="s">
        <v>116</v>
      </c>
      <c r="K828" s="88" t="s">
        <v>117</v>
      </c>
      <c r="L828" s="91">
        <v>45561.6753125</v>
      </c>
      <c r="M828" s="91">
        <v>45610.7963078704</v>
      </c>
      <c r="N828" s="84" t="s">
        <v>138</v>
      </c>
      <c r="O828" s="91">
        <v>45646.6181481481</v>
      </c>
      <c r="P828" s="91">
        <v>45652.6962962963</v>
      </c>
      <c r="Q828" s="84" t="s">
        <v>121</v>
      </c>
      <c r="R828" s="91">
        <v>46099.7344212963</v>
      </c>
      <c r="S828" s="91">
        <v>46100.6475694444</v>
      </c>
      <c r="T828" s="93" t="s">
        <v>120</v>
      </c>
      <c r="U828" s="94">
        <v>46102.8336226852</v>
      </c>
      <c r="V828" s="94">
        <v>46101.8338425926</v>
      </c>
      <c r="W828" s="84"/>
      <c r="X828" s="84"/>
      <c r="Y828" s="84"/>
      <c r="Z828" s="84"/>
      <c r="AA828" s="84"/>
      <c r="AB828" s="84"/>
      <c r="AC828" s="84"/>
      <c r="AD828" s="84"/>
      <c r="AE828" s="85"/>
    </row>
    <row r="829" s="63" customFormat="1" ht="14.4" customHeight="1" spans="1:31">
      <c r="A829" s="68">
        <v>828</v>
      </c>
      <c r="B829" s="69" t="s">
        <v>94</v>
      </c>
      <c r="C829" s="92" t="s">
        <v>279</v>
      </c>
      <c r="D829" s="92" t="s">
        <v>107</v>
      </c>
      <c r="E829" s="93" t="s">
        <v>121</v>
      </c>
      <c r="F829" s="94">
        <v>46093.6754976852</v>
      </c>
      <c r="G829" s="94">
        <v>46094.7042361111</v>
      </c>
      <c r="H829" s="86" t="s">
        <v>99</v>
      </c>
      <c r="I829" s="87">
        <v>12000</v>
      </c>
      <c r="J829" s="83" t="s">
        <v>116</v>
      </c>
      <c r="K829" s="88" t="s">
        <v>117</v>
      </c>
      <c r="L829" s="91">
        <v>45561.6753125</v>
      </c>
      <c r="M829" s="91">
        <v>45610.7963078704</v>
      </c>
      <c r="N829" s="84" t="s">
        <v>138</v>
      </c>
      <c r="O829" s="91">
        <v>45646.6181481481</v>
      </c>
      <c r="P829" s="91">
        <v>45652.6962962963</v>
      </c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5"/>
    </row>
    <row r="830" s="63" customFormat="1" ht="14.4" customHeight="1" spans="1:31">
      <c r="A830" s="68">
        <v>829</v>
      </c>
      <c r="B830" s="69" t="s">
        <v>94</v>
      </c>
      <c r="C830" s="97" t="s">
        <v>279</v>
      </c>
      <c r="D830" s="97" t="s">
        <v>108</v>
      </c>
      <c r="E830" s="95" t="s">
        <v>115</v>
      </c>
      <c r="F830" s="96">
        <v>46136.4888888889</v>
      </c>
      <c r="G830" s="96">
        <v>46134.4890972222</v>
      </c>
      <c r="H830" s="86" t="s">
        <v>99</v>
      </c>
      <c r="I830" s="87">
        <v>12000</v>
      </c>
      <c r="J830" s="83" t="s">
        <v>116</v>
      </c>
      <c r="K830" s="93" t="s">
        <v>121</v>
      </c>
      <c r="L830" s="94">
        <v>46093.6754976852</v>
      </c>
      <c r="M830" s="94">
        <v>46094.7082986111</v>
      </c>
      <c r="N830" s="93" t="s">
        <v>120</v>
      </c>
      <c r="O830" s="94">
        <v>46102.8336226852</v>
      </c>
      <c r="P830" s="94">
        <v>46101.8338425926</v>
      </c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5"/>
    </row>
    <row r="831" s="63" customFormat="1" ht="14.4" customHeight="1" spans="1:31">
      <c r="A831" s="68">
        <v>830</v>
      </c>
      <c r="B831" s="69" t="s">
        <v>94</v>
      </c>
      <c r="C831" s="97" t="s">
        <v>279</v>
      </c>
      <c r="D831" s="97" t="s">
        <v>109</v>
      </c>
      <c r="E831" s="95" t="s">
        <v>115</v>
      </c>
      <c r="F831" s="96">
        <v>46136.4888541667</v>
      </c>
      <c r="G831" s="96">
        <v>46134.4890625</v>
      </c>
      <c r="H831" s="86" t="s">
        <v>99</v>
      </c>
      <c r="I831" s="87">
        <v>12000</v>
      </c>
      <c r="J831" s="83" t="s">
        <v>116</v>
      </c>
      <c r="K831" s="93" t="s">
        <v>121</v>
      </c>
      <c r="L831" s="91">
        <v>46101.7259490741</v>
      </c>
      <c r="M831" s="91">
        <v>46104.7713078704</v>
      </c>
      <c r="N831" s="95" t="s">
        <v>120</v>
      </c>
      <c r="O831" s="96">
        <v>46108.8335648148</v>
      </c>
      <c r="P831" s="96">
        <v>46107.834375</v>
      </c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5"/>
    </row>
    <row r="832" s="63" customFormat="1" ht="14.4" customHeight="1" spans="1:31">
      <c r="A832" s="68">
        <v>831</v>
      </c>
      <c r="B832" s="69" t="s">
        <v>94</v>
      </c>
      <c r="C832" s="97" t="s">
        <v>279</v>
      </c>
      <c r="D832" s="97" t="s">
        <v>110</v>
      </c>
      <c r="E832" s="95" t="s">
        <v>115</v>
      </c>
      <c r="F832" s="96">
        <v>46136.4924305556</v>
      </c>
      <c r="G832" s="96">
        <v>46134.4926388889</v>
      </c>
      <c r="H832" s="86" t="s">
        <v>99</v>
      </c>
      <c r="I832" s="87">
        <v>12000</v>
      </c>
      <c r="J832" s="83" t="s">
        <v>116</v>
      </c>
      <c r="K832" s="93" t="s">
        <v>121</v>
      </c>
      <c r="L832" s="94">
        <v>46093.6754976852</v>
      </c>
      <c r="M832" s="94">
        <v>46094.7085532407</v>
      </c>
      <c r="N832" s="111" t="s">
        <v>120</v>
      </c>
      <c r="O832" s="112">
        <v>46100.8336226852</v>
      </c>
      <c r="P832" s="112">
        <v>46099.8338541667</v>
      </c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5"/>
    </row>
    <row r="833" s="63" customFormat="1" ht="14.4" customHeight="1" spans="1:31">
      <c r="A833" s="68">
        <v>832</v>
      </c>
      <c r="B833" s="69" t="s">
        <v>94</v>
      </c>
      <c r="C833" s="97" t="s">
        <v>279</v>
      </c>
      <c r="D833" s="97" t="s">
        <v>111</v>
      </c>
      <c r="E833" s="95" t="s">
        <v>115</v>
      </c>
      <c r="F833" s="96">
        <v>46136.731412037</v>
      </c>
      <c r="G833" s="96">
        <v>46134.7316319444</v>
      </c>
      <c r="H833" s="86" t="s">
        <v>99</v>
      </c>
      <c r="I833" s="87">
        <v>12000</v>
      </c>
      <c r="J833" s="83" t="s">
        <v>116</v>
      </c>
      <c r="K833" s="93" t="s">
        <v>121</v>
      </c>
      <c r="L833" s="94">
        <v>46093.6755092593</v>
      </c>
      <c r="M833" s="94">
        <v>46094.7101041667</v>
      </c>
      <c r="N833" s="111" t="s">
        <v>120</v>
      </c>
      <c r="O833" s="112">
        <v>46100.8336226852</v>
      </c>
      <c r="P833" s="112">
        <v>46099.8338541667</v>
      </c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5"/>
    </row>
    <row r="834" s="63" customFormat="1" ht="14.4" customHeight="1" spans="1:31">
      <c r="A834" s="68">
        <v>833</v>
      </c>
      <c r="B834" s="69" t="s">
        <v>94</v>
      </c>
      <c r="C834" s="97" t="s">
        <v>279</v>
      </c>
      <c r="D834" s="97" t="s">
        <v>112</v>
      </c>
      <c r="E834" s="95" t="s">
        <v>115</v>
      </c>
      <c r="F834" s="96">
        <v>46136.731412037</v>
      </c>
      <c r="G834" s="96">
        <v>46134.7316319444</v>
      </c>
      <c r="H834" s="86" t="s">
        <v>99</v>
      </c>
      <c r="I834" s="87">
        <v>12000</v>
      </c>
      <c r="J834" s="83" t="s">
        <v>116</v>
      </c>
      <c r="K834" s="89"/>
      <c r="L834" s="90"/>
      <c r="M834" s="82"/>
      <c r="N834" s="83" t="s">
        <v>117</v>
      </c>
      <c r="O834" s="91">
        <v>46101.7259490741</v>
      </c>
      <c r="P834" s="91">
        <v>46104.7713078704</v>
      </c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5"/>
    </row>
    <row r="835" s="63" customFormat="1" ht="14.4" customHeight="1" spans="1:31">
      <c r="A835" s="68">
        <v>834</v>
      </c>
      <c r="B835" s="69" t="s">
        <v>94</v>
      </c>
      <c r="C835" s="70" t="s">
        <v>279</v>
      </c>
      <c r="D835" s="70" t="s">
        <v>113</v>
      </c>
      <c r="E835" s="88"/>
      <c r="F835" s="84"/>
      <c r="G835" s="84"/>
      <c r="H835" s="86" t="s">
        <v>99</v>
      </c>
      <c r="I835" s="87">
        <v>12000</v>
      </c>
      <c r="J835" s="84"/>
      <c r="K835" s="89"/>
      <c r="L835" s="90"/>
      <c r="M835" s="82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5"/>
    </row>
    <row r="836" s="63" customFormat="1" ht="14.4" customHeight="1" spans="1:31">
      <c r="A836" s="68">
        <v>835</v>
      </c>
      <c r="B836" s="69" t="s">
        <v>94</v>
      </c>
      <c r="C836" s="97" t="s">
        <v>279</v>
      </c>
      <c r="D836" s="97" t="s">
        <v>114</v>
      </c>
      <c r="E836" s="95" t="s">
        <v>121</v>
      </c>
      <c r="F836" s="96">
        <v>46043.7337384259</v>
      </c>
      <c r="G836" s="96">
        <v>46044.6630902778</v>
      </c>
      <c r="H836" s="79" t="s">
        <v>97</v>
      </c>
      <c r="I836" s="80">
        <v>16000</v>
      </c>
      <c r="J836" s="83" t="s">
        <v>116</v>
      </c>
      <c r="K836" s="89"/>
      <c r="L836" s="90"/>
      <c r="M836" s="82"/>
      <c r="N836" s="84"/>
      <c r="O836" s="84"/>
      <c r="P836" s="84"/>
      <c r="Q836" s="84"/>
      <c r="R836" s="84"/>
      <c r="S836" s="84"/>
      <c r="T836" s="84"/>
      <c r="U836" s="84"/>
      <c r="V836" s="84"/>
      <c r="W836" s="84"/>
      <c r="X836" s="84"/>
      <c r="Y836" s="84"/>
      <c r="Z836" s="84"/>
      <c r="AA836" s="84"/>
      <c r="AB836" s="84"/>
      <c r="AC836" s="84"/>
      <c r="AD836" s="84"/>
      <c r="AE836" s="85"/>
    </row>
    <row r="837" s="63" customFormat="1" ht="14.4" customHeight="1" spans="1:31">
      <c r="A837" s="68">
        <v>836</v>
      </c>
      <c r="B837" s="69" t="s">
        <v>94</v>
      </c>
      <c r="C837" s="97" t="s">
        <v>279</v>
      </c>
      <c r="D837" s="97" t="s">
        <v>118</v>
      </c>
      <c r="E837" s="95" t="s">
        <v>115</v>
      </c>
      <c r="F837" s="96">
        <v>46136.7384143519</v>
      </c>
      <c r="G837" s="96">
        <v>46134.7386226852</v>
      </c>
      <c r="H837" s="86" t="s">
        <v>99</v>
      </c>
      <c r="I837" s="87">
        <v>12000</v>
      </c>
      <c r="J837" s="83" t="s">
        <v>116</v>
      </c>
      <c r="K837" s="88" t="s">
        <v>117</v>
      </c>
      <c r="L837" s="91">
        <v>45561.6753125</v>
      </c>
      <c r="M837" s="91">
        <v>45610.7963078704</v>
      </c>
      <c r="N837" s="84" t="s">
        <v>138</v>
      </c>
      <c r="O837" s="91">
        <v>45646.6181481481</v>
      </c>
      <c r="P837" s="91">
        <v>45652.6962962963</v>
      </c>
      <c r="Q837" s="83" t="s">
        <v>117</v>
      </c>
      <c r="R837" s="91">
        <v>46101.7259490741</v>
      </c>
      <c r="S837" s="91">
        <v>46104.7713078704</v>
      </c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5"/>
    </row>
    <row r="838" s="63" customFormat="1" ht="14.4" customHeight="1" spans="1:31">
      <c r="A838" s="68">
        <v>837</v>
      </c>
      <c r="B838" s="69" t="s">
        <v>94</v>
      </c>
      <c r="C838" s="97" t="s">
        <v>279</v>
      </c>
      <c r="D838" s="97" t="s">
        <v>119</v>
      </c>
      <c r="E838" s="95" t="s">
        <v>115</v>
      </c>
      <c r="F838" s="96">
        <v>46139.7345486111</v>
      </c>
      <c r="G838" s="96">
        <v>46137.7347569444</v>
      </c>
      <c r="H838" s="86" t="s">
        <v>99</v>
      </c>
      <c r="I838" s="87">
        <v>12000</v>
      </c>
      <c r="J838" s="83" t="s">
        <v>116</v>
      </c>
      <c r="K838" s="88" t="s">
        <v>117</v>
      </c>
      <c r="L838" s="91">
        <v>45561.6753125</v>
      </c>
      <c r="M838" s="91">
        <v>45610.7963078704</v>
      </c>
      <c r="N838" s="84" t="s">
        <v>138</v>
      </c>
      <c r="O838" s="91">
        <v>45646.6181481481</v>
      </c>
      <c r="P838" s="91">
        <v>45652.6962962963</v>
      </c>
      <c r="Q838" s="93" t="s">
        <v>121</v>
      </c>
      <c r="R838" s="94">
        <v>46093.6754861111</v>
      </c>
      <c r="S838" s="94">
        <v>46094.7366898148</v>
      </c>
      <c r="T838" s="93" t="s">
        <v>120</v>
      </c>
      <c r="U838" s="94">
        <v>46104.8335185185</v>
      </c>
      <c r="V838" s="94">
        <v>46103.8337268519</v>
      </c>
      <c r="W838" s="84"/>
      <c r="X838" s="84"/>
      <c r="Y838" s="84"/>
      <c r="Z838" s="84"/>
      <c r="AA838" s="84"/>
      <c r="AB838" s="84"/>
      <c r="AC838" s="84"/>
      <c r="AD838" s="84"/>
      <c r="AE838" s="85"/>
    </row>
    <row r="839" s="63" customFormat="1" ht="14.4" customHeight="1" spans="1:31">
      <c r="A839" s="68">
        <v>838</v>
      </c>
      <c r="B839" s="69" t="s">
        <v>94</v>
      </c>
      <c r="C839" s="97" t="s">
        <v>279</v>
      </c>
      <c r="D839" s="97" t="s">
        <v>122</v>
      </c>
      <c r="E839" s="95" t="s">
        <v>115</v>
      </c>
      <c r="F839" s="96">
        <v>46139.7380439815</v>
      </c>
      <c r="G839" s="96">
        <v>46137.7382638889</v>
      </c>
      <c r="H839" s="86" t="s">
        <v>99</v>
      </c>
      <c r="I839" s="87">
        <v>12000</v>
      </c>
      <c r="J839" s="83" t="s">
        <v>116</v>
      </c>
      <c r="K839" s="88" t="s">
        <v>117</v>
      </c>
      <c r="L839" s="91">
        <v>45561.6753125</v>
      </c>
      <c r="M839" s="91">
        <v>45610.7963078704</v>
      </c>
      <c r="N839" s="84" t="s">
        <v>138</v>
      </c>
      <c r="O839" s="91">
        <v>45646.6181481481</v>
      </c>
      <c r="P839" s="91">
        <v>45652.6962962963</v>
      </c>
      <c r="Q839" s="93" t="s">
        <v>121</v>
      </c>
      <c r="R839" s="94">
        <v>46093.6754861111</v>
      </c>
      <c r="S839" s="94">
        <v>46094.7367708333</v>
      </c>
      <c r="T839" s="93" t="s">
        <v>120</v>
      </c>
      <c r="U839" s="94">
        <v>46103.8344444444</v>
      </c>
      <c r="V839" s="94">
        <v>46102.8346643519</v>
      </c>
      <c r="W839" s="84"/>
      <c r="X839" s="84"/>
      <c r="Y839" s="84"/>
      <c r="Z839" s="84"/>
      <c r="AA839" s="84"/>
      <c r="AB839" s="84"/>
      <c r="AC839" s="84"/>
      <c r="AD839" s="84"/>
      <c r="AE839" s="85"/>
    </row>
    <row r="840" s="63" customFormat="1" ht="14.4" customHeight="1" spans="1:31">
      <c r="A840" s="68">
        <v>839</v>
      </c>
      <c r="B840" s="69" t="s">
        <v>94</v>
      </c>
      <c r="C840" s="97" t="s">
        <v>279</v>
      </c>
      <c r="D840" s="97" t="s">
        <v>123</v>
      </c>
      <c r="E840" s="95" t="s">
        <v>115</v>
      </c>
      <c r="F840" s="96">
        <v>46139.7313773148</v>
      </c>
      <c r="G840" s="96">
        <v>46137.7315856482</v>
      </c>
      <c r="H840" s="86" t="s">
        <v>99</v>
      </c>
      <c r="I840" s="87">
        <v>12000</v>
      </c>
      <c r="J840" s="83" t="s">
        <v>116</v>
      </c>
      <c r="K840" s="88" t="s">
        <v>117</v>
      </c>
      <c r="L840" s="91">
        <v>45561.6753125</v>
      </c>
      <c r="M840" s="91">
        <v>45610.7963078704</v>
      </c>
      <c r="N840" s="84" t="s">
        <v>138</v>
      </c>
      <c r="O840" s="91">
        <v>45646.6181481481</v>
      </c>
      <c r="P840" s="91">
        <v>45652.6962962963</v>
      </c>
      <c r="Q840" s="84"/>
      <c r="R840" s="84"/>
      <c r="S840" s="84"/>
      <c r="T840" s="83" t="s">
        <v>117</v>
      </c>
      <c r="U840" s="91">
        <v>46101.7259490741</v>
      </c>
      <c r="V840" s="91">
        <v>46104.7713078704</v>
      </c>
      <c r="W840" s="84"/>
      <c r="X840" s="84"/>
      <c r="Y840" s="84"/>
      <c r="Z840" s="84"/>
      <c r="AA840" s="84"/>
      <c r="AB840" s="84"/>
      <c r="AC840" s="84"/>
      <c r="AD840" s="84"/>
      <c r="AE840" s="85"/>
    </row>
    <row r="841" s="63" customFormat="1" ht="14.4" customHeight="1" spans="1:31">
      <c r="A841" s="68">
        <v>840</v>
      </c>
      <c r="B841" s="69" t="s">
        <v>94</v>
      </c>
      <c r="C841" s="97" t="s">
        <v>279</v>
      </c>
      <c r="D841" s="97" t="s">
        <v>124</v>
      </c>
      <c r="E841" s="95" t="s">
        <v>115</v>
      </c>
      <c r="F841" s="96">
        <v>46139.7313657407</v>
      </c>
      <c r="G841" s="96">
        <v>46137.7315740741</v>
      </c>
      <c r="H841" s="86" t="s">
        <v>99</v>
      </c>
      <c r="I841" s="87">
        <v>12000</v>
      </c>
      <c r="J841" s="83" t="s">
        <v>116</v>
      </c>
      <c r="K841" s="88" t="s">
        <v>117</v>
      </c>
      <c r="L841" s="91">
        <v>45561.6753125</v>
      </c>
      <c r="M841" s="91">
        <v>45610.7963078704</v>
      </c>
      <c r="N841" s="84" t="s">
        <v>138</v>
      </c>
      <c r="O841" s="91">
        <v>45646.6181481481</v>
      </c>
      <c r="P841" s="91">
        <v>45652.6962962963</v>
      </c>
      <c r="Q841" s="93" t="s">
        <v>121</v>
      </c>
      <c r="R841" s="94">
        <v>46093.6755092593</v>
      </c>
      <c r="S841" s="94">
        <v>46094.7368402778</v>
      </c>
      <c r="T841" s="93" t="s">
        <v>120</v>
      </c>
      <c r="U841" s="94">
        <v>46102.8336226852</v>
      </c>
      <c r="V841" s="94">
        <v>46101.8338425926</v>
      </c>
      <c r="W841" s="84"/>
      <c r="X841" s="84"/>
      <c r="Y841" s="84"/>
      <c r="Z841" s="84"/>
      <c r="AA841" s="84"/>
      <c r="AB841" s="84"/>
      <c r="AC841" s="84"/>
      <c r="AD841" s="84"/>
      <c r="AE841" s="85"/>
    </row>
    <row r="842" s="63" customFormat="1" ht="14.4" customHeight="1" spans="1:31">
      <c r="A842" s="68">
        <v>841</v>
      </c>
      <c r="B842" s="69" t="s">
        <v>94</v>
      </c>
      <c r="C842" s="97" t="s">
        <v>279</v>
      </c>
      <c r="D842" s="97" t="s">
        <v>125</v>
      </c>
      <c r="E842" s="95" t="s">
        <v>115</v>
      </c>
      <c r="F842" s="96">
        <v>46125.8821875</v>
      </c>
      <c r="G842" s="96">
        <v>46124.8823958333</v>
      </c>
      <c r="H842" s="86" t="s">
        <v>99</v>
      </c>
      <c r="I842" s="87">
        <v>12000</v>
      </c>
      <c r="J842" s="83" t="s">
        <v>116</v>
      </c>
      <c r="K842" s="88" t="s">
        <v>117</v>
      </c>
      <c r="L842" s="91">
        <v>45561.6753125</v>
      </c>
      <c r="M842" s="91">
        <v>45610.7963078704</v>
      </c>
      <c r="N842" s="84" t="s">
        <v>138</v>
      </c>
      <c r="O842" s="91">
        <v>45646.6181481481</v>
      </c>
      <c r="P842" s="91">
        <v>45652.6962962963</v>
      </c>
      <c r="Q842" s="93" t="s">
        <v>121</v>
      </c>
      <c r="R842" s="94">
        <v>46093.6754976852</v>
      </c>
      <c r="S842" s="94">
        <v>46094.7369328704</v>
      </c>
      <c r="T842" s="111" t="s">
        <v>120</v>
      </c>
      <c r="U842" s="112">
        <v>46100.8336226852</v>
      </c>
      <c r="V842" s="112">
        <v>46099.8338541667</v>
      </c>
      <c r="W842" s="84"/>
      <c r="X842" s="84"/>
      <c r="Y842" s="84"/>
      <c r="Z842" s="84"/>
      <c r="AA842" s="84"/>
      <c r="AB842" s="84"/>
      <c r="AC842" s="84"/>
      <c r="AD842" s="84"/>
      <c r="AE842" s="85"/>
    </row>
    <row r="843" s="63" customFormat="1" ht="14.4" customHeight="1" spans="1:31">
      <c r="A843" s="68">
        <v>842</v>
      </c>
      <c r="B843" s="69" t="s">
        <v>94</v>
      </c>
      <c r="C843" s="97" t="s">
        <v>279</v>
      </c>
      <c r="D843" s="97" t="s">
        <v>126</v>
      </c>
      <c r="E843" s="95" t="s">
        <v>115</v>
      </c>
      <c r="F843" s="96">
        <v>46124.8822453704</v>
      </c>
      <c r="G843" s="96">
        <v>46123.8824652778</v>
      </c>
      <c r="H843" s="86" t="s">
        <v>99</v>
      </c>
      <c r="I843" s="87">
        <v>12000</v>
      </c>
      <c r="J843" s="83" t="s">
        <v>116</v>
      </c>
      <c r="K843" s="88" t="s">
        <v>117</v>
      </c>
      <c r="L843" s="91">
        <v>45561.6753125</v>
      </c>
      <c r="M843" s="91">
        <v>45610.7963078704</v>
      </c>
      <c r="N843" s="84" t="s">
        <v>138</v>
      </c>
      <c r="O843" s="91">
        <v>45646.6181481481</v>
      </c>
      <c r="P843" s="91">
        <v>45652.6962962963</v>
      </c>
      <c r="Q843" s="84"/>
      <c r="R843" s="84"/>
      <c r="S843" s="84"/>
      <c r="T843" s="83" t="s">
        <v>117</v>
      </c>
      <c r="U843" s="91">
        <v>46101.7259490741</v>
      </c>
      <c r="V843" s="91">
        <v>46104.7713078704</v>
      </c>
      <c r="W843" s="84"/>
      <c r="X843" s="84"/>
      <c r="Y843" s="84"/>
      <c r="Z843" s="84"/>
      <c r="AA843" s="84"/>
      <c r="AB843" s="84"/>
      <c r="AC843" s="84"/>
      <c r="AD843" s="84"/>
      <c r="AE843" s="85"/>
    </row>
    <row r="844" s="63" customFormat="1" ht="14.4" customHeight="1" spans="1:31">
      <c r="A844" s="68">
        <v>843</v>
      </c>
      <c r="B844" s="69" t="s">
        <v>94</v>
      </c>
      <c r="C844" s="97" t="s">
        <v>279</v>
      </c>
      <c r="D844" s="97" t="s">
        <v>127</v>
      </c>
      <c r="E844" s="95" t="s">
        <v>115</v>
      </c>
      <c r="F844" s="96">
        <v>46124.8822453704</v>
      </c>
      <c r="G844" s="96">
        <v>46123.8824652778</v>
      </c>
      <c r="H844" s="86" t="s">
        <v>99</v>
      </c>
      <c r="I844" s="87">
        <v>12000</v>
      </c>
      <c r="J844" s="83" t="s">
        <v>116</v>
      </c>
      <c r="K844" s="88" t="s">
        <v>117</v>
      </c>
      <c r="L844" s="91">
        <v>45561.6753125</v>
      </c>
      <c r="M844" s="91">
        <v>45610.7963078704</v>
      </c>
      <c r="N844" s="84" t="s">
        <v>138</v>
      </c>
      <c r="O844" s="91">
        <v>45646.6181481481</v>
      </c>
      <c r="P844" s="91">
        <v>45652.6962962963</v>
      </c>
      <c r="Q844" s="93" t="s">
        <v>121</v>
      </c>
      <c r="R844" s="94">
        <v>46093.6754861111</v>
      </c>
      <c r="S844" s="94">
        <v>46094.7377662037</v>
      </c>
      <c r="T844" s="93" t="s">
        <v>120</v>
      </c>
      <c r="U844" s="94">
        <v>46103.8344444444</v>
      </c>
      <c r="V844" s="94">
        <v>46102.8346643519</v>
      </c>
      <c r="W844" s="84"/>
      <c r="X844" s="84"/>
      <c r="Y844" s="84"/>
      <c r="Z844" s="84"/>
      <c r="AA844" s="84"/>
      <c r="AB844" s="84"/>
      <c r="AC844" s="84"/>
      <c r="AD844" s="84"/>
      <c r="AE844" s="85"/>
    </row>
    <row r="845" s="63" customFormat="1" ht="14.4" customHeight="1" spans="1:31">
      <c r="A845" s="68">
        <v>844</v>
      </c>
      <c r="B845" s="69" t="s">
        <v>94</v>
      </c>
      <c r="C845" s="97" t="s">
        <v>279</v>
      </c>
      <c r="D845" s="97" t="s">
        <v>128</v>
      </c>
      <c r="E845" s="95" t="s">
        <v>115</v>
      </c>
      <c r="F845" s="96">
        <v>46124.8822453704</v>
      </c>
      <c r="G845" s="96">
        <v>46123.8824652778</v>
      </c>
      <c r="H845" s="86" t="s">
        <v>99</v>
      </c>
      <c r="I845" s="87">
        <v>12000</v>
      </c>
      <c r="J845" s="83" t="s">
        <v>116</v>
      </c>
      <c r="K845" s="88" t="s">
        <v>117</v>
      </c>
      <c r="L845" s="91">
        <v>45561.6753125</v>
      </c>
      <c r="M845" s="91">
        <v>45610.7963078704</v>
      </c>
      <c r="N845" s="84" t="s">
        <v>138</v>
      </c>
      <c r="O845" s="91">
        <v>45646.6181481481</v>
      </c>
      <c r="P845" s="91">
        <v>45652.6962962963</v>
      </c>
      <c r="Q845" s="93" t="s">
        <v>121</v>
      </c>
      <c r="R845" s="94">
        <v>46093.6754976852</v>
      </c>
      <c r="S845" s="94">
        <v>46094.7378587963</v>
      </c>
      <c r="T845" s="93" t="s">
        <v>120</v>
      </c>
      <c r="U845" s="94">
        <v>46102.8336226852</v>
      </c>
      <c r="V845" s="94">
        <v>46101.8338425926</v>
      </c>
      <c r="W845" s="84"/>
      <c r="X845" s="84"/>
      <c r="Y845" s="84"/>
      <c r="Z845" s="84"/>
      <c r="AA845" s="84"/>
      <c r="AB845" s="84"/>
      <c r="AC845" s="84"/>
      <c r="AD845" s="84"/>
      <c r="AE845" s="85"/>
    </row>
    <row r="846" s="63" customFormat="1" ht="14.4" customHeight="1" spans="1:31">
      <c r="A846" s="68">
        <v>845</v>
      </c>
      <c r="B846" s="69" t="s">
        <v>94</v>
      </c>
      <c r="C846" s="97" t="s">
        <v>279</v>
      </c>
      <c r="D846" s="97" t="s">
        <v>129</v>
      </c>
      <c r="E846" s="95" t="s">
        <v>115</v>
      </c>
      <c r="F846" s="96">
        <v>46125.8821875</v>
      </c>
      <c r="G846" s="96">
        <v>46124.8823958333</v>
      </c>
      <c r="H846" s="86" t="s">
        <v>99</v>
      </c>
      <c r="I846" s="87">
        <v>12000</v>
      </c>
      <c r="J846" s="83" t="s">
        <v>116</v>
      </c>
      <c r="K846" s="89"/>
      <c r="L846" s="90"/>
      <c r="M846" s="82"/>
      <c r="N846" s="84"/>
      <c r="O846" s="84"/>
      <c r="P846" s="84"/>
      <c r="Q846" s="84"/>
      <c r="R846" s="84"/>
      <c r="S846" s="84"/>
      <c r="T846" s="83" t="s">
        <v>117</v>
      </c>
      <c r="U846" s="91">
        <v>46101.7259490741</v>
      </c>
      <c r="V846" s="91">
        <v>46104.7713078704</v>
      </c>
      <c r="W846" s="84"/>
      <c r="X846" s="84"/>
      <c r="Y846" s="84"/>
      <c r="Z846" s="84"/>
      <c r="AA846" s="84"/>
      <c r="AB846" s="84"/>
      <c r="AC846" s="84"/>
      <c r="AD846" s="84"/>
      <c r="AE846" s="85"/>
    </row>
    <row r="847" s="63" customFormat="1" ht="14.4" customHeight="1" spans="1:31">
      <c r="A847" s="68">
        <v>846</v>
      </c>
      <c r="B847" s="69" t="s">
        <v>94</v>
      </c>
      <c r="C847" s="97" t="s">
        <v>279</v>
      </c>
      <c r="D847" s="97" t="s">
        <v>130</v>
      </c>
      <c r="E847" s="95" t="s">
        <v>115</v>
      </c>
      <c r="F847" s="96">
        <v>46124.8822453704</v>
      </c>
      <c r="G847" s="96">
        <v>46123.8824652778</v>
      </c>
      <c r="H847" s="86" t="s">
        <v>99</v>
      </c>
      <c r="I847" s="87">
        <v>12000</v>
      </c>
      <c r="J847" s="83" t="s">
        <v>116</v>
      </c>
      <c r="K847" s="93" t="s">
        <v>121</v>
      </c>
      <c r="L847" s="94">
        <v>46093.6754976852</v>
      </c>
      <c r="M847" s="94">
        <v>46094.7379398148</v>
      </c>
      <c r="N847" s="84"/>
      <c r="O847" s="84"/>
      <c r="P847" s="84"/>
      <c r="Q847" s="84"/>
      <c r="R847" s="84"/>
      <c r="S847" s="84"/>
      <c r="T847" s="93" t="s">
        <v>120</v>
      </c>
      <c r="U847" s="94">
        <v>46103.8344444444</v>
      </c>
      <c r="V847" s="94">
        <v>46102.8346643519</v>
      </c>
      <c r="W847" s="84"/>
      <c r="X847" s="84"/>
      <c r="Y847" s="84"/>
      <c r="Z847" s="84"/>
      <c r="AA847" s="84"/>
      <c r="AB847" s="84"/>
      <c r="AC847" s="84"/>
      <c r="AD847" s="84"/>
      <c r="AE847" s="85"/>
    </row>
    <row r="848" s="63" customFormat="1" ht="14.4" customHeight="1" spans="1:31">
      <c r="A848" s="68">
        <v>847</v>
      </c>
      <c r="B848" s="69" t="s">
        <v>94</v>
      </c>
      <c r="C848" s="97" t="s">
        <v>279</v>
      </c>
      <c r="D848" s="97" t="s">
        <v>131</v>
      </c>
      <c r="E848" s="95" t="s">
        <v>115</v>
      </c>
      <c r="F848" s="96">
        <v>46125.8821875</v>
      </c>
      <c r="G848" s="96">
        <v>46124.8823958333</v>
      </c>
      <c r="H848" s="86" t="s">
        <v>99</v>
      </c>
      <c r="I848" s="87">
        <v>12000</v>
      </c>
      <c r="J848" s="83" t="s">
        <v>116</v>
      </c>
      <c r="K848" s="93" t="s">
        <v>121</v>
      </c>
      <c r="L848" s="94">
        <v>46093.6755092593</v>
      </c>
      <c r="M848" s="94">
        <v>46094.7380324074</v>
      </c>
      <c r="N848" s="84"/>
      <c r="O848" s="84"/>
      <c r="P848" s="84"/>
      <c r="Q848" s="84"/>
      <c r="R848" s="84"/>
      <c r="S848" s="84"/>
      <c r="T848" s="93" t="s">
        <v>120</v>
      </c>
      <c r="U848" s="94">
        <v>46102.8336226852</v>
      </c>
      <c r="V848" s="94">
        <v>46101.8338425926</v>
      </c>
      <c r="W848" s="84"/>
      <c r="X848" s="84"/>
      <c r="Y848" s="84"/>
      <c r="Z848" s="84"/>
      <c r="AA848" s="84"/>
      <c r="AB848" s="84"/>
      <c r="AC848" s="84"/>
      <c r="AD848" s="84"/>
      <c r="AE848" s="85"/>
    </row>
    <row r="849" s="63" customFormat="1" ht="14.4" customHeight="1" spans="1:31">
      <c r="A849" s="68">
        <v>848</v>
      </c>
      <c r="B849" s="69" t="s">
        <v>94</v>
      </c>
      <c r="C849" s="97" t="s">
        <v>279</v>
      </c>
      <c r="D849" s="97" t="s">
        <v>132</v>
      </c>
      <c r="E849" s="95" t="s">
        <v>115</v>
      </c>
      <c r="F849" s="96">
        <v>46124.8822453704</v>
      </c>
      <c r="G849" s="96">
        <v>46123.8824652778</v>
      </c>
      <c r="H849" s="86" t="s">
        <v>99</v>
      </c>
      <c r="I849" s="87">
        <v>12000</v>
      </c>
      <c r="J849" s="83" t="s">
        <v>116</v>
      </c>
      <c r="K849" s="89"/>
      <c r="L849" s="90"/>
      <c r="M849" s="82"/>
      <c r="N849" s="84"/>
      <c r="O849" s="84"/>
      <c r="P849" s="84"/>
      <c r="Q849" s="84"/>
      <c r="R849" s="84"/>
      <c r="S849" s="84"/>
      <c r="T849" s="83" t="s">
        <v>117</v>
      </c>
      <c r="U849" s="91">
        <v>46101.7259490741</v>
      </c>
      <c r="V849" s="91">
        <v>46104.7713078704</v>
      </c>
      <c r="W849" s="84"/>
      <c r="X849" s="84"/>
      <c r="Y849" s="84"/>
      <c r="Z849" s="84"/>
      <c r="AA849" s="84"/>
      <c r="AB849" s="84"/>
      <c r="AC849" s="84"/>
      <c r="AD849" s="84"/>
      <c r="AE849" s="85"/>
    </row>
    <row r="850" s="63" customFormat="1" ht="14.4" customHeight="1" spans="1:31">
      <c r="A850" s="68">
        <v>849</v>
      </c>
      <c r="B850" s="69" t="s">
        <v>94</v>
      </c>
      <c r="C850" s="97" t="s">
        <v>279</v>
      </c>
      <c r="D850" s="97" t="s">
        <v>133</v>
      </c>
      <c r="E850" s="95" t="s">
        <v>115</v>
      </c>
      <c r="F850" s="96">
        <v>46125.8821875</v>
      </c>
      <c r="G850" s="96">
        <v>46124.8823958333</v>
      </c>
      <c r="H850" s="86" t="s">
        <v>99</v>
      </c>
      <c r="I850" s="87">
        <v>12000</v>
      </c>
      <c r="J850" s="83" t="s">
        <v>116</v>
      </c>
      <c r="K850" s="93" t="s">
        <v>121</v>
      </c>
      <c r="L850" s="94">
        <v>46093.6754976852</v>
      </c>
      <c r="M850" s="94">
        <v>46094.7381365741</v>
      </c>
      <c r="N850" s="84"/>
      <c r="O850" s="84"/>
      <c r="P850" s="84"/>
      <c r="Q850" s="84"/>
      <c r="R850" s="84"/>
      <c r="S850" s="84"/>
      <c r="T850" s="93" t="s">
        <v>120</v>
      </c>
      <c r="U850" s="94">
        <v>46103.8344444444</v>
      </c>
      <c r="V850" s="94">
        <v>46102.8346643519</v>
      </c>
      <c r="W850" s="84"/>
      <c r="X850" s="84"/>
      <c r="Y850" s="84"/>
      <c r="Z850" s="84"/>
      <c r="AA850" s="84"/>
      <c r="AB850" s="84"/>
      <c r="AC850" s="84"/>
      <c r="AD850" s="84"/>
      <c r="AE850" s="85"/>
    </row>
    <row r="851" s="63" customFormat="1" ht="14.4" customHeight="1" spans="1:31">
      <c r="A851" s="68">
        <v>850</v>
      </c>
      <c r="B851" s="69" t="s">
        <v>94</v>
      </c>
      <c r="C851" s="97" t="s">
        <v>279</v>
      </c>
      <c r="D851" s="97" t="s">
        <v>134</v>
      </c>
      <c r="E851" s="95" t="s">
        <v>115</v>
      </c>
      <c r="F851" s="96">
        <v>46125.8821875</v>
      </c>
      <c r="G851" s="96">
        <v>46124.8823958333</v>
      </c>
      <c r="H851" s="86" t="s">
        <v>99</v>
      </c>
      <c r="I851" s="87">
        <v>12000</v>
      </c>
      <c r="J851" s="83" t="s">
        <v>116</v>
      </c>
      <c r="K851" s="93" t="s">
        <v>121</v>
      </c>
      <c r="L851" s="94">
        <v>46093.6755208333</v>
      </c>
      <c r="M851" s="94">
        <v>46094.7382175926</v>
      </c>
      <c r="N851" s="84"/>
      <c r="O851" s="84"/>
      <c r="P851" s="84"/>
      <c r="Q851" s="84"/>
      <c r="R851" s="84"/>
      <c r="S851" s="84"/>
      <c r="T851" s="111" t="s">
        <v>120</v>
      </c>
      <c r="U851" s="112">
        <v>46100.8336226852</v>
      </c>
      <c r="V851" s="112">
        <v>46099.8338541667</v>
      </c>
      <c r="W851" s="84"/>
      <c r="X851" s="84"/>
      <c r="Y851" s="84"/>
      <c r="Z851" s="84"/>
      <c r="AA851" s="84"/>
      <c r="AB851" s="84"/>
      <c r="AC851" s="84"/>
      <c r="AD851" s="84"/>
      <c r="AE851" s="85"/>
    </row>
    <row r="852" s="63" customFormat="1" ht="14.4" customHeight="1" spans="1:31">
      <c r="A852" s="68">
        <v>851</v>
      </c>
      <c r="B852" s="69" t="s">
        <v>94</v>
      </c>
      <c r="C852" s="70" t="s">
        <v>279</v>
      </c>
      <c r="D852" s="70" t="s">
        <v>135</v>
      </c>
      <c r="E852" s="88"/>
      <c r="F852" s="84"/>
      <c r="G852" s="84"/>
      <c r="H852" s="86" t="s">
        <v>99</v>
      </c>
      <c r="I852" s="87">
        <v>12000</v>
      </c>
      <c r="J852" s="84"/>
      <c r="K852" s="89"/>
      <c r="L852" s="90"/>
      <c r="M852" s="82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5"/>
    </row>
    <row r="853" s="63" customFormat="1" ht="14.4" customHeight="1" spans="1:31">
      <c r="A853" s="68">
        <v>852</v>
      </c>
      <c r="B853" s="69" t="s">
        <v>94</v>
      </c>
      <c r="C853" s="70" t="s">
        <v>279</v>
      </c>
      <c r="D853" s="70" t="s">
        <v>136</v>
      </c>
      <c r="E853" s="88"/>
      <c r="F853" s="84"/>
      <c r="G853" s="84"/>
      <c r="H853" s="86" t="s">
        <v>99</v>
      </c>
      <c r="I853" s="87">
        <v>12000</v>
      </c>
      <c r="J853" s="84"/>
      <c r="K853" s="89"/>
      <c r="L853" s="90"/>
      <c r="M853" s="82"/>
      <c r="N853" s="84"/>
      <c r="O853" s="84"/>
      <c r="P853" s="84"/>
      <c r="Q853" s="84"/>
      <c r="R853" s="84"/>
      <c r="S853" s="84"/>
      <c r="T853" s="84"/>
      <c r="U853" s="84"/>
      <c r="V853" s="84"/>
      <c r="W853" s="84"/>
      <c r="X853" s="84"/>
      <c r="Y853" s="84"/>
      <c r="Z853" s="84"/>
      <c r="AA853" s="84"/>
      <c r="AB853" s="84"/>
      <c r="AC853" s="84"/>
      <c r="AD853" s="84"/>
      <c r="AE853" s="85"/>
    </row>
    <row r="854" s="63" customFormat="1" ht="14.4" customHeight="1" spans="1:31">
      <c r="A854" s="68">
        <v>853</v>
      </c>
      <c r="B854" s="69" t="s">
        <v>94</v>
      </c>
      <c r="C854" s="97" t="s">
        <v>279</v>
      </c>
      <c r="D854" s="97" t="s">
        <v>137</v>
      </c>
      <c r="E854" s="95" t="s">
        <v>115</v>
      </c>
      <c r="F854" s="96">
        <v>46125.8821875</v>
      </c>
      <c r="G854" s="96">
        <v>46124.8823958333</v>
      </c>
      <c r="H854" s="79" t="s">
        <v>97</v>
      </c>
      <c r="I854" s="80">
        <v>16000</v>
      </c>
      <c r="J854" s="83" t="s">
        <v>116</v>
      </c>
      <c r="K854" s="93" t="s">
        <v>121</v>
      </c>
      <c r="L854" s="94">
        <v>46093.6749189815</v>
      </c>
      <c r="M854" s="94">
        <v>46094.7383101852</v>
      </c>
      <c r="N854" s="84"/>
      <c r="O854" s="84"/>
      <c r="P854" s="84"/>
      <c r="Q854" s="84"/>
      <c r="R854" s="84"/>
      <c r="S854" s="84"/>
      <c r="T854" s="111" t="s">
        <v>120</v>
      </c>
      <c r="U854" s="112">
        <v>46100.8336226852</v>
      </c>
      <c r="V854" s="112">
        <v>46099.8338541667</v>
      </c>
      <c r="W854" s="84"/>
      <c r="X854" s="84"/>
      <c r="Y854" s="84"/>
      <c r="Z854" s="84"/>
      <c r="AA854" s="84"/>
      <c r="AB854" s="84"/>
      <c r="AC854" s="84"/>
      <c r="AD854" s="84"/>
      <c r="AE854" s="85"/>
    </row>
    <row r="855" s="63" customFormat="1" ht="14.4" customHeight="1" spans="1:31">
      <c r="A855" s="68">
        <v>854</v>
      </c>
      <c r="B855" s="69" t="s">
        <v>94</v>
      </c>
      <c r="C855" s="97" t="s">
        <v>279</v>
      </c>
      <c r="D855" s="97" t="s">
        <v>139</v>
      </c>
      <c r="E855" s="95" t="s">
        <v>115</v>
      </c>
      <c r="F855" s="96">
        <v>46125.8821875</v>
      </c>
      <c r="G855" s="96">
        <v>46124.8823958333</v>
      </c>
      <c r="H855" s="86" t="s">
        <v>99</v>
      </c>
      <c r="I855" s="87">
        <v>12000</v>
      </c>
      <c r="J855" s="83" t="s">
        <v>116</v>
      </c>
      <c r="K855" s="88" t="s">
        <v>117</v>
      </c>
      <c r="L855" s="91">
        <v>45561.6753125</v>
      </c>
      <c r="M855" s="91">
        <v>45610.7963078704</v>
      </c>
      <c r="N855" s="84" t="s">
        <v>138</v>
      </c>
      <c r="O855" s="91">
        <v>45646.6181481481</v>
      </c>
      <c r="P855" s="91">
        <v>45652.6962962963</v>
      </c>
      <c r="Q855" s="93" t="s">
        <v>121</v>
      </c>
      <c r="R855" s="94">
        <v>46093.6749189815</v>
      </c>
      <c r="S855" s="94">
        <v>46094.7383912037</v>
      </c>
      <c r="T855" s="93" t="s">
        <v>120</v>
      </c>
      <c r="U855" s="94">
        <v>46103.8344444444</v>
      </c>
      <c r="V855" s="94">
        <v>46102.8346643519</v>
      </c>
      <c r="W855" s="84"/>
      <c r="X855" s="84"/>
      <c r="Y855" s="84"/>
      <c r="Z855" s="84"/>
      <c r="AA855" s="84"/>
      <c r="AB855" s="84"/>
      <c r="AC855" s="84"/>
      <c r="AD855" s="84"/>
      <c r="AE855" s="85"/>
    </row>
    <row r="856" s="63" customFormat="1" ht="14.4" customHeight="1" spans="1:31">
      <c r="A856" s="68">
        <v>855</v>
      </c>
      <c r="B856" s="69" t="s">
        <v>94</v>
      </c>
      <c r="C856" s="97" t="s">
        <v>279</v>
      </c>
      <c r="D856" s="97" t="s">
        <v>140</v>
      </c>
      <c r="E856" s="95" t="s">
        <v>115</v>
      </c>
      <c r="F856" s="96">
        <v>46124.8822453704</v>
      </c>
      <c r="G856" s="96">
        <v>46123.8824652778</v>
      </c>
      <c r="H856" s="86" t="s">
        <v>99</v>
      </c>
      <c r="I856" s="87">
        <v>12000</v>
      </c>
      <c r="J856" s="83" t="s">
        <v>116</v>
      </c>
      <c r="K856" s="88" t="s">
        <v>117</v>
      </c>
      <c r="L856" s="91">
        <v>45561.6753125</v>
      </c>
      <c r="M856" s="91">
        <v>45610.7963078704</v>
      </c>
      <c r="N856" s="84" t="s">
        <v>138</v>
      </c>
      <c r="O856" s="91">
        <v>45646.6181481481</v>
      </c>
      <c r="P856" s="91">
        <v>45652.6962962963</v>
      </c>
      <c r="Q856" s="84"/>
      <c r="R856" s="84"/>
      <c r="S856" s="84"/>
      <c r="T856" s="83" t="s">
        <v>117</v>
      </c>
      <c r="U856" s="91">
        <v>46101.7259490741</v>
      </c>
      <c r="V856" s="91">
        <v>46104.7713078704</v>
      </c>
      <c r="W856" s="84"/>
      <c r="X856" s="84"/>
      <c r="Y856" s="84"/>
      <c r="Z856" s="84"/>
      <c r="AA856" s="84"/>
      <c r="AB856" s="84"/>
      <c r="AC856" s="84"/>
      <c r="AD856" s="84"/>
      <c r="AE856" s="85"/>
    </row>
    <row r="857" s="63" customFormat="1" ht="14.4" customHeight="1" spans="1:31">
      <c r="A857" s="68">
        <v>856</v>
      </c>
      <c r="B857" s="69" t="s">
        <v>94</v>
      </c>
      <c r="C857" s="97" t="s">
        <v>279</v>
      </c>
      <c r="D857" s="97" t="s">
        <v>141</v>
      </c>
      <c r="E857" s="95" t="s">
        <v>115</v>
      </c>
      <c r="F857" s="96">
        <v>46057.8821643519</v>
      </c>
      <c r="G857" s="96">
        <v>46056.8823148148</v>
      </c>
      <c r="H857" s="86" t="s">
        <v>99</v>
      </c>
      <c r="I857" s="87">
        <v>12000</v>
      </c>
      <c r="J857" s="83" t="s">
        <v>116</v>
      </c>
      <c r="K857" s="88" t="s">
        <v>117</v>
      </c>
      <c r="L857" s="91">
        <v>45561.6753125</v>
      </c>
      <c r="M857" s="91">
        <v>45610.7963078704</v>
      </c>
      <c r="N857" s="84" t="s">
        <v>138</v>
      </c>
      <c r="O857" s="91">
        <v>45646.6181481481</v>
      </c>
      <c r="P857" s="91">
        <v>45652.6962962963</v>
      </c>
      <c r="Q857" s="95" t="s">
        <v>121</v>
      </c>
      <c r="R857" s="96">
        <v>46043.7363657407</v>
      </c>
      <c r="S857" s="96">
        <v>46044.6912152778</v>
      </c>
      <c r="T857" s="95" t="s">
        <v>120</v>
      </c>
      <c r="U857" s="96">
        <v>46051.8341087963</v>
      </c>
      <c r="V857" s="96">
        <v>46050.8342592593</v>
      </c>
      <c r="W857" s="84"/>
      <c r="X857" s="84"/>
      <c r="Y857" s="84"/>
      <c r="Z857" s="84"/>
      <c r="AA857" s="84"/>
      <c r="AB857" s="84"/>
      <c r="AC857" s="84"/>
      <c r="AD857" s="84"/>
      <c r="AE857" s="85"/>
    </row>
    <row r="858" s="63" customFormat="1" ht="14.4" customHeight="1" spans="1:31">
      <c r="A858" s="68">
        <v>857</v>
      </c>
      <c r="B858" s="69" t="s">
        <v>94</v>
      </c>
      <c r="C858" s="97" t="s">
        <v>279</v>
      </c>
      <c r="D858" s="97" t="s">
        <v>142</v>
      </c>
      <c r="E858" s="95" t="s">
        <v>115</v>
      </c>
      <c r="F858" s="96">
        <v>46057.8821643519</v>
      </c>
      <c r="G858" s="96">
        <v>46056.8823148148</v>
      </c>
      <c r="H858" s="86" t="s">
        <v>99</v>
      </c>
      <c r="I858" s="87">
        <v>12000</v>
      </c>
      <c r="J858" s="83" t="s">
        <v>116</v>
      </c>
      <c r="K858" s="88" t="s">
        <v>117</v>
      </c>
      <c r="L858" s="91">
        <v>45561.6753125</v>
      </c>
      <c r="M858" s="91">
        <v>45610.7963078704</v>
      </c>
      <c r="N858" s="84" t="s">
        <v>138</v>
      </c>
      <c r="O858" s="91">
        <v>45646.6181481481</v>
      </c>
      <c r="P858" s="91">
        <v>45652.6962962963</v>
      </c>
      <c r="Q858" s="95" t="s">
        <v>121</v>
      </c>
      <c r="R858" s="96">
        <v>46043.7363310185</v>
      </c>
      <c r="S858" s="96">
        <v>46049.3834027778</v>
      </c>
      <c r="T858" s="95" t="s">
        <v>120</v>
      </c>
      <c r="U858" s="96">
        <v>46051.8341087963</v>
      </c>
      <c r="V858" s="96">
        <v>46050.8342592593</v>
      </c>
      <c r="W858" s="84"/>
      <c r="X858" s="84"/>
      <c r="Y858" s="84"/>
      <c r="Z858" s="84"/>
      <c r="AA858" s="84"/>
      <c r="AB858" s="84"/>
      <c r="AC858" s="84"/>
      <c r="AD858" s="84"/>
      <c r="AE858" s="85"/>
    </row>
    <row r="859" s="63" customFormat="1" ht="14.4" customHeight="1" spans="1:31">
      <c r="A859" s="68">
        <v>858</v>
      </c>
      <c r="B859" s="69" t="s">
        <v>94</v>
      </c>
      <c r="C859" s="97" t="s">
        <v>279</v>
      </c>
      <c r="D859" s="97" t="s">
        <v>143</v>
      </c>
      <c r="E859" s="95" t="s">
        <v>115</v>
      </c>
      <c r="F859" s="96">
        <v>46057.8821643519</v>
      </c>
      <c r="G859" s="96">
        <v>46056.8823148148</v>
      </c>
      <c r="H859" s="86" t="s">
        <v>99</v>
      </c>
      <c r="I859" s="87">
        <v>12000</v>
      </c>
      <c r="J859" s="83" t="s">
        <v>116</v>
      </c>
      <c r="K859" s="88" t="s">
        <v>117</v>
      </c>
      <c r="L859" s="91">
        <v>45561.6753125</v>
      </c>
      <c r="M859" s="91">
        <v>45610.7963078704</v>
      </c>
      <c r="N859" s="84" t="s">
        <v>138</v>
      </c>
      <c r="O859" s="91">
        <v>45646.6181481481</v>
      </c>
      <c r="P859" s="91">
        <v>45652.6962962963</v>
      </c>
      <c r="Q859" s="95" t="s">
        <v>121</v>
      </c>
      <c r="R859" s="96">
        <v>46046.5837731482</v>
      </c>
      <c r="S859" s="96">
        <v>46050.4451273148</v>
      </c>
      <c r="T859" s="95" t="s">
        <v>120</v>
      </c>
      <c r="U859" s="96">
        <v>46054.8342361111</v>
      </c>
      <c r="V859" s="96">
        <v>46053.8343981481</v>
      </c>
      <c r="W859" s="84"/>
      <c r="X859" s="84"/>
      <c r="Y859" s="84"/>
      <c r="Z859" s="84"/>
      <c r="AA859" s="84"/>
      <c r="AB859" s="84"/>
      <c r="AC859" s="84"/>
      <c r="AD859" s="84"/>
      <c r="AE859" s="85"/>
    </row>
    <row r="860" s="63" customFormat="1" ht="14.4" customHeight="1" spans="1:31">
      <c r="A860" s="68">
        <v>859</v>
      </c>
      <c r="B860" s="69" t="s">
        <v>94</v>
      </c>
      <c r="C860" s="97" t="s">
        <v>279</v>
      </c>
      <c r="D860" s="97" t="s">
        <v>144</v>
      </c>
      <c r="E860" s="95" t="s">
        <v>115</v>
      </c>
      <c r="F860" s="96">
        <v>46057.8821643519</v>
      </c>
      <c r="G860" s="96">
        <v>46056.8823148148</v>
      </c>
      <c r="H860" s="86" t="s">
        <v>99</v>
      </c>
      <c r="I860" s="87">
        <v>12000</v>
      </c>
      <c r="J860" s="83" t="s">
        <v>116</v>
      </c>
      <c r="K860" s="88" t="s">
        <v>117</v>
      </c>
      <c r="L860" s="91">
        <v>45561.6753125</v>
      </c>
      <c r="M860" s="91">
        <v>45610.7963078704</v>
      </c>
      <c r="N860" s="84" t="s">
        <v>138</v>
      </c>
      <c r="O860" s="91">
        <v>45646.6181481481</v>
      </c>
      <c r="P860" s="91">
        <v>45652.6962962963</v>
      </c>
      <c r="Q860" s="95" t="s">
        <v>121</v>
      </c>
      <c r="R860" s="96">
        <v>46043.7363425926</v>
      </c>
      <c r="S860" s="96">
        <v>46049.3835416667</v>
      </c>
      <c r="T860" s="95" t="s">
        <v>120</v>
      </c>
      <c r="U860" s="96">
        <v>46051.8341087963</v>
      </c>
      <c r="V860" s="96">
        <v>46050.8342592593</v>
      </c>
      <c r="W860" s="84"/>
      <c r="X860" s="84"/>
      <c r="Y860" s="84"/>
      <c r="Z860" s="84"/>
      <c r="AA860" s="84"/>
      <c r="AB860" s="84"/>
      <c r="AC860" s="84"/>
      <c r="AD860" s="84"/>
      <c r="AE860" s="85"/>
    </row>
    <row r="861" s="63" customFormat="1" ht="14.4" customHeight="1" spans="1:31">
      <c r="A861" s="68">
        <v>860</v>
      </c>
      <c r="B861" s="69" t="s">
        <v>94</v>
      </c>
      <c r="C861" s="97" t="s">
        <v>279</v>
      </c>
      <c r="D861" s="97" t="s">
        <v>145</v>
      </c>
      <c r="E861" s="95" t="s">
        <v>115</v>
      </c>
      <c r="F861" s="96">
        <v>46057.8821643519</v>
      </c>
      <c r="G861" s="96">
        <v>46056.8823148148</v>
      </c>
      <c r="H861" s="86" t="s">
        <v>99</v>
      </c>
      <c r="I861" s="87">
        <v>12000</v>
      </c>
      <c r="J861" s="83" t="s">
        <v>116</v>
      </c>
      <c r="K861" s="88" t="s">
        <v>117</v>
      </c>
      <c r="L861" s="91">
        <v>45561.6753125</v>
      </c>
      <c r="M861" s="91">
        <v>45610.7963078704</v>
      </c>
      <c r="N861" s="84" t="s">
        <v>138</v>
      </c>
      <c r="O861" s="91">
        <v>45646.6181481481</v>
      </c>
      <c r="P861" s="91">
        <v>45652.6962962963</v>
      </c>
      <c r="Q861" s="95" t="s">
        <v>121</v>
      </c>
      <c r="R861" s="96">
        <v>46043.7363657407</v>
      </c>
      <c r="S861" s="96">
        <v>46044.6913194444</v>
      </c>
      <c r="T861" s="95" t="s">
        <v>120</v>
      </c>
      <c r="U861" s="96">
        <v>46051.8341087963</v>
      </c>
      <c r="V861" s="96">
        <v>46050.8342592593</v>
      </c>
      <c r="W861" s="84"/>
      <c r="X861" s="84"/>
      <c r="Y861" s="84"/>
      <c r="Z861" s="84"/>
      <c r="AA861" s="84"/>
      <c r="AB861" s="84"/>
      <c r="AC861" s="84"/>
      <c r="AD861" s="84"/>
      <c r="AE861" s="85"/>
    </row>
    <row r="862" s="63" customFormat="1" ht="14.4" customHeight="1" spans="1:31">
      <c r="A862" s="68">
        <v>861</v>
      </c>
      <c r="B862" s="69" t="s">
        <v>94</v>
      </c>
      <c r="C862" s="97" t="s">
        <v>279</v>
      </c>
      <c r="D862" s="97" t="s">
        <v>146</v>
      </c>
      <c r="E862" s="95" t="s">
        <v>115</v>
      </c>
      <c r="F862" s="96">
        <v>46057.8821643519</v>
      </c>
      <c r="G862" s="96">
        <v>46056.8823148148</v>
      </c>
      <c r="H862" s="86" t="s">
        <v>99</v>
      </c>
      <c r="I862" s="87">
        <v>12000</v>
      </c>
      <c r="J862" s="83" t="s">
        <v>116</v>
      </c>
      <c r="K862" s="88" t="s">
        <v>117</v>
      </c>
      <c r="L862" s="91">
        <v>45561.6753125</v>
      </c>
      <c r="M862" s="91">
        <v>45610.7963078704</v>
      </c>
      <c r="N862" s="84" t="s">
        <v>138</v>
      </c>
      <c r="O862" s="91">
        <v>45646.6181481481</v>
      </c>
      <c r="P862" s="91">
        <v>45652.6962962963</v>
      </c>
      <c r="Q862" s="95" t="s">
        <v>121</v>
      </c>
      <c r="R862" s="96">
        <v>46046.5837731482</v>
      </c>
      <c r="S862" s="96">
        <v>46050.4469791667</v>
      </c>
      <c r="T862" s="95" t="s">
        <v>120</v>
      </c>
      <c r="U862" s="96">
        <v>46054.8342361111</v>
      </c>
      <c r="V862" s="96">
        <v>46053.8343981481</v>
      </c>
      <c r="W862" s="84"/>
      <c r="X862" s="84"/>
      <c r="Y862" s="84"/>
      <c r="Z862" s="84"/>
      <c r="AA862" s="84"/>
      <c r="AB862" s="84"/>
      <c r="AC862" s="84"/>
      <c r="AD862" s="84"/>
      <c r="AE862" s="85"/>
    </row>
    <row r="863" s="63" customFormat="1" ht="14.4" customHeight="1" spans="1:31">
      <c r="A863" s="68">
        <v>862</v>
      </c>
      <c r="B863" s="69" t="s">
        <v>94</v>
      </c>
      <c r="C863" s="97" t="s">
        <v>279</v>
      </c>
      <c r="D863" s="97" t="s">
        <v>147</v>
      </c>
      <c r="E863" s="95" t="s">
        <v>115</v>
      </c>
      <c r="F863" s="96">
        <v>46057.8821643519</v>
      </c>
      <c r="G863" s="96">
        <v>46056.8823148148</v>
      </c>
      <c r="H863" s="86" t="s">
        <v>99</v>
      </c>
      <c r="I863" s="87">
        <v>12000</v>
      </c>
      <c r="J863" s="83" t="s">
        <v>116</v>
      </c>
      <c r="K863" s="88" t="s">
        <v>117</v>
      </c>
      <c r="L863" s="91">
        <v>45561.6753125</v>
      </c>
      <c r="M863" s="91">
        <v>45610.7963078704</v>
      </c>
      <c r="N863" s="84" t="s">
        <v>138</v>
      </c>
      <c r="O863" s="91">
        <v>45646.6181481481</v>
      </c>
      <c r="P863" s="91">
        <v>45652.6962962963</v>
      </c>
      <c r="Q863" s="95" t="s">
        <v>121</v>
      </c>
      <c r="R863" s="96">
        <v>46043.7363773148</v>
      </c>
      <c r="S863" s="96">
        <v>46049.3836342593</v>
      </c>
      <c r="T863" s="95" t="s">
        <v>120</v>
      </c>
      <c r="U863" s="96">
        <v>46051.8341087963</v>
      </c>
      <c r="V863" s="96">
        <v>46050.8342592593</v>
      </c>
      <c r="W863" s="84"/>
      <c r="X863" s="84"/>
      <c r="Y863" s="84"/>
      <c r="Z863" s="84"/>
      <c r="AA863" s="84"/>
      <c r="AB863" s="84"/>
      <c r="AC863" s="84"/>
      <c r="AD863" s="84"/>
      <c r="AE863" s="85"/>
    </row>
    <row r="864" s="63" customFormat="1" ht="14.4" customHeight="1" spans="1:31">
      <c r="A864" s="68">
        <v>863</v>
      </c>
      <c r="B864" s="69" t="s">
        <v>94</v>
      </c>
      <c r="C864" s="97" t="s">
        <v>279</v>
      </c>
      <c r="D864" s="97" t="s">
        <v>148</v>
      </c>
      <c r="E864" s="95" t="s">
        <v>115</v>
      </c>
      <c r="F864" s="96">
        <v>46057.8821643519</v>
      </c>
      <c r="G864" s="96">
        <v>46056.8823148148</v>
      </c>
      <c r="H864" s="86" t="s">
        <v>99</v>
      </c>
      <c r="I864" s="87">
        <v>12000</v>
      </c>
      <c r="J864" s="83" t="s">
        <v>116</v>
      </c>
      <c r="K864" s="95" t="s">
        <v>121</v>
      </c>
      <c r="L864" s="96">
        <v>46043.7363541667</v>
      </c>
      <c r="M864" s="96">
        <v>46044.6914236111</v>
      </c>
      <c r="N864" s="95" t="s">
        <v>120</v>
      </c>
      <c r="O864" s="96">
        <v>46051.8341087963</v>
      </c>
      <c r="P864" s="96">
        <v>46050.8342592593</v>
      </c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5"/>
    </row>
    <row r="865" s="63" customFormat="1" ht="14.4" customHeight="1" spans="1:31">
      <c r="A865" s="68">
        <v>864</v>
      </c>
      <c r="B865" s="69" t="s">
        <v>94</v>
      </c>
      <c r="C865" s="97" t="s">
        <v>279</v>
      </c>
      <c r="D865" s="97" t="s">
        <v>149</v>
      </c>
      <c r="E865" s="95" t="s">
        <v>115</v>
      </c>
      <c r="F865" s="96">
        <v>46057.8821643519</v>
      </c>
      <c r="G865" s="96">
        <v>46056.8823148148</v>
      </c>
      <c r="H865" s="86" t="s">
        <v>99</v>
      </c>
      <c r="I865" s="87">
        <v>12000</v>
      </c>
      <c r="J865" s="83" t="s">
        <v>116</v>
      </c>
      <c r="K865" s="95" t="s">
        <v>121</v>
      </c>
      <c r="L865" s="96">
        <v>46046.5837731482</v>
      </c>
      <c r="M865" s="96">
        <v>46050.4485532407</v>
      </c>
      <c r="N865" s="95" t="s">
        <v>120</v>
      </c>
      <c r="O865" s="96">
        <v>46054.8342361111</v>
      </c>
      <c r="P865" s="96">
        <v>46053.8343981481</v>
      </c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5"/>
    </row>
    <row r="866" s="63" customFormat="1" ht="14.4" customHeight="1" spans="1:31">
      <c r="A866" s="68">
        <v>865</v>
      </c>
      <c r="B866" s="69" t="s">
        <v>94</v>
      </c>
      <c r="C866" s="97" t="s">
        <v>279</v>
      </c>
      <c r="D866" s="97" t="s">
        <v>150</v>
      </c>
      <c r="E866" s="95" t="s">
        <v>115</v>
      </c>
      <c r="F866" s="96">
        <v>46057.8821643519</v>
      </c>
      <c r="G866" s="96">
        <v>46056.8823148148</v>
      </c>
      <c r="H866" s="86" t="s">
        <v>99</v>
      </c>
      <c r="I866" s="87">
        <v>12000</v>
      </c>
      <c r="J866" s="83" t="s">
        <v>116</v>
      </c>
      <c r="K866" s="95" t="s">
        <v>121</v>
      </c>
      <c r="L866" s="96">
        <v>46043.7363657407</v>
      </c>
      <c r="M866" s="96">
        <v>46049.38375</v>
      </c>
      <c r="N866" s="95" t="s">
        <v>120</v>
      </c>
      <c r="O866" s="96">
        <v>46051.8341087963</v>
      </c>
      <c r="P866" s="96">
        <v>46050.8342592593</v>
      </c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5"/>
    </row>
    <row r="867" s="63" customFormat="1" ht="14.4" customHeight="1" spans="1:31">
      <c r="A867" s="68">
        <v>866</v>
      </c>
      <c r="B867" s="69" t="s">
        <v>94</v>
      </c>
      <c r="C867" s="97" t="s">
        <v>279</v>
      </c>
      <c r="D867" s="97" t="s">
        <v>151</v>
      </c>
      <c r="E867" s="95" t="s">
        <v>115</v>
      </c>
      <c r="F867" s="96">
        <v>46057.8821643519</v>
      </c>
      <c r="G867" s="96">
        <v>46056.8823148148</v>
      </c>
      <c r="H867" s="86" t="s">
        <v>99</v>
      </c>
      <c r="I867" s="87">
        <v>12000</v>
      </c>
      <c r="J867" s="83" t="s">
        <v>116</v>
      </c>
      <c r="K867" s="95" t="s">
        <v>121</v>
      </c>
      <c r="L867" s="96">
        <v>46043.7363425926</v>
      </c>
      <c r="M867" s="96">
        <v>46049.3838541667</v>
      </c>
      <c r="N867" s="95" t="s">
        <v>120</v>
      </c>
      <c r="O867" s="96">
        <v>46051.8341087963</v>
      </c>
      <c r="P867" s="96">
        <v>46050.8342592593</v>
      </c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5"/>
    </row>
    <row r="868" s="63" customFormat="1" ht="14.4" customHeight="1" spans="1:31">
      <c r="A868" s="68">
        <v>867</v>
      </c>
      <c r="B868" s="69" t="s">
        <v>94</v>
      </c>
      <c r="C868" s="97" t="s">
        <v>279</v>
      </c>
      <c r="D868" s="97" t="s">
        <v>152</v>
      </c>
      <c r="E868" s="95" t="s">
        <v>115</v>
      </c>
      <c r="F868" s="96">
        <v>46057.8821643519</v>
      </c>
      <c r="G868" s="96">
        <v>46056.8823148148</v>
      </c>
      <c r="H868" s="86" t="s">
        <v>99</v>
      </c>
      <c r="I868" s="87">
        <v>12000</v>
      </c>
      <c r="J868" s="83" t="s">
        <v>116</v>
      </c>
      <c r="K868" s="95" t="s">
        <v>120</v>
      </c>
      <c r="L868" s="96">
        <v>46054.8342361111</v>
      </c>
      <c r="M868" s="96">
        <v>46053.8343981481</v>
      </c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5"/>
    </row>
    <row r="869" s="63" customFormat="1" ht="14.4" customHeight="1" spans="1:31">
      <c r="A869" s="68">
        <v>868</v>
      </c>
      <c r="B869" s="69" t="s">
        <v>94</v>
      </c>
      <c r="C869" s="70" t="s">
        <v>279</v>
      </c>
      <c r="D869" s="84" t="s">
        <v>153</v>
      </c>
      <c r="E869" s="88"/>
      <c r="F869" s="84"/>
      <c r="G869" s="84"/>
      <c r="H869" s="86" t="s">
        <v>99</v>
      </c>
      <c r="I869" s="87">
        <v>12000</v>
      </c>
      <c r="J869" s="84"/>
      <c r="K869" s="89"/>
      <c r="L869" s="90"/>
      <c r="M869" s="82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5"/>
    </row>
    <row r="870" s="63" customFormat="1" ht="14.4" customHeight="1" spans="1:31">
      <c r="A870" s="68">
        <v>869</v>
      </c>
      <c r="B870" s="69" t="s">
        <v>94</v>
      </c>
      <c r="C870" s="97" t="s">
        <v>279</v>
      </c>
      <c r="D870" s="97" t="s">
        <v>154</v>
      </c>
      <c r="E870" s="95" t="s">
        <v>121</v>
      </c>
      <c r="F870" s="96">
        <v>46043.7337384259</v>
      </c>
      <c r="G870" s="96">
        <v>46049.3839930556</v>
      </c>
      <c r="H870" s="79" t="s">
        <v>97</v>
      </c>
      <c r="I870" s="80">
        <v>16000</v>
      </c>
      <c r="J870" s="83" t="s">
        <v>116</v>
      </c>
      <c r="K870" s="89"/>
      <c r="L870" s="90"/>
      <c r="M870" s="82"/>
      <c r="N870" s="84"/>
      <c r="O870" s="84"/>
      <c r="P870" s="84"/>
      <c r="Q870" s="84"/>
      <c r="R870" s="84"/>
      <c r="S870" s="84"/>
      <c r="T870" s="84"/>
      <c r="U870" s="84"/>
      <c r="V870" s="84"/>
      <c r="W870" s="84"/>
      <c r="X870" s="84"/>
      <c r="Y870" s="84"/>
      <c r="Z870" s="84"/>
      <c r="AA870" s="84"/>
      <c r="AB870" s="84"/>
      <c r="AC870" s="84"/>
      <c r="AD870" s="84"/>
      <c r="AE870" s="85"/>
    </row>
    <row r="871" s="63" customFormat="1" ht="14.4" customHeight="1" spans="1:31">
      <c r="A871" s="68">
        <v>870</v>
      </c>
      <c r="B871" s="69" t="s">
        <v>94</v>
      </c>
      <c r="C871" s="97" t="s">
        <v>279</v>
      </c>
      <c r="D871" s="97" t="s">
        <v>155</v>
      </c>
      <c r="E871" s="95" t="s">
        <v>115</v>
      </c>
      <c r="F871" s="96">
        <v>46125.8821875</v>
      </c>
      <c r="G871" s="96">
        <v>46124.8823958333</v>
      </c>
      <c r="H871" s="86" t="s">
        <v>99</v>
      </c>
      <c r="I871" s="87">
        <v>12000</v>
      </c>
      <c r="J871" s="83" t="s">
        <v>116</v>
      </c>
      <c r="K871" s="88" t="s">
        <v>117</v>
      </c>
      <c r="L871" s="91">
        <v>45561.6753125</v>
      </c>
      <c r="M871" s="91">
        <v>45610.7963078704</v>
      </c>
      <c r="N871" s="84" t="s">
        <v>138</v>
      </c>
      <c r="O871" s="91">
        <v>45646.6181481481</v>
      </c>
      <c r="P871" s="91">
        <v>45652.6962962963</v>
      </c>
      <c r="Q871" s="84"/>
      <c r="R871" s="84"/>
      <c r="S871" s="84"/>
      <c r="T871" s="83" t="s">
        <v>117</v>
      </c>
      <c r="U871" s="91">
        <v>46101.7259490741</v>
      </c>
      <c r="V871" s="91">
        <v>46104.7713078704</v>
      </c>
      <c r="W871" s="84"/>
      <c r="X871" s="84"/>
      <c r="Y871" s="84"/>
      <c r="Z871" s="84"/>
      <c r="AA871" s="84"/>
      <c r="AB871" s="84"/>
      <c r="AC871" s="84"/>
      <c r="AD871" s="84"/>
      <c r="AE871" s="85"/>
    </row>
    <row r="872" s="63" customFormat="1" ht="14.4" customHeight="1" spans="1:31">
      <c r="A872" s="68">
        <v>871</v>
      </c>
      <c r="B872" s="69" t="s">
        <v>94</v>
      </c>
      <c r="C872" s="97" t="s">
        <v>279</v>
      </c>
      <c r="D872" s="97" t="s">
        <v>156</v>
      </c>
      <c r="E872" s="95" t="s">
        <v>115</v>
      </c>
      <c r="F872" s="96">
        <v>46124.8822453704</v>
      </c>
      <c r="G872" s="96">
        <v>46123.8824652778</v>
      </c>
      <c r="H872" s="86" t="s">
        <v>99</v>
      </c>
      <c r="I872" s="87">
        <v>12000</v>
      </c>
      <c r="J872" s="83" t="s">
        <v>116</v>
      </c>
      <c r="K872" s="88" t="s">
        <v>117</v>
      </c>
      <c r="L872" s="91">
        <v>45561.6753125</v>
      </c>
      <c r="M872" s="91">
        <v>45610.7963078704</v>
      </c>
      <c r="N872" s="84" t="s">
        <v>138</v>
      </c>
      <c r="O872" s="91">
        <v>45646.6181481481</v>
      </c>
      <c r="P872" s="91">
        <v>45652.6962962963</v>
      </c>
      <c r="Q872" s="93" t="s">
        <v>121</v>
      </c>
      <c r="R872" s="94">
        <v>46093.6749189815</v>
      </c>
      <c r="S872" s="94">
        <v>46094.7463425926</v>
      </c>
      <c r="T872" s="93" t="s">
        <v>120</v>
      </c>
      <c r="U872" s="94">
        <v>46103.8344444444</v>
      </c>
      <c r="V872" s="94">
        <v>46102.8346643519</v>
      </c>
      <c r="W872" s="84"/>
      <c r="X872" s="84"/>
      <c r="Y872" s="84"/>
      <c r="Z872" s="84"/>
      <c r="AA872" s="84"/>
      <c r="AB872" s="84"/>
      <c r="AC872" s="84"/>
      <c r="AD872" s="84"/>
      <c r="AE872" s="85"/>
    </row>
    <row r="873" s="63" customFormat="1" ht="14.4" customHeight="1" spans="1:31">
      <c r="A873" s="68">
        <v>872</v>
      </c>
      <c r="B873" s="69" t="s">
        <v>94</v>
      </c>
      <c r="C873" s="97" t="s">
        <v>279</v>
      </c>
      <c r="D873" s="97" t="s">
        <v>157</v>
      </c>
      <c r="E873" s="95" t="s">
        <v>115</v>
      </c>
      <c r="F873" s="96">
        <v>46124.8822453704</v>
      </c>
      <c r="G873" s="96">
        <v>46123.8824652778</v>
      </c>
      <c r="H873" s="86" t="s">
        <v>99</v>
      </c>
      <c r="I873" s="87">
        <v>12000</v>
      </c>
      <c r="J873" s="83" t="s">
        <v>116</v>
      </c>
      <c r="K873" s="88" t="s">
        <v>117</v>
      </c>
      <c r="L873" s="91">
        <v>45561.6753125</v>
      </c>
      <c r="M873" s="91">
        <v>45610.7963078704</v>
      </c>
      <c r="N873" s="84" t="s">
        <v>138</v>
      </c>
      <c r="O873" s="91">
        <v>45646.6181481481</v>
      </c>
      <c r="P873" s="91">
        <v>45652.6962962963</v>
      </c>
      <c r="Q873" s="93" t="s">
        <v>121</v>
      </c>
      <c r="R873" s="94">
        <v>46093.6749189815</v>
      </c>
      <c r="S873" s="94">
        <v>46094.7464583333</v>
      </c>
      <c r="T873" s="93" t="s">
        <v>120</v>
      </c>
      <c r="U873" s="94">
        <v>46103.8344444444</v>
      </c>
      <c r="V873" s="94">
        <v>46102.8346643519</v>
      </c>
      <c r="W873" s="84"/>
      <c r="X873" s="84"/>
      <c r="Y873" s="84"/>
      <c r="Z873" s="84"/>
      <c r="AA873" s="84"/>
      <c r="AB873" s="84"/>
      <c r="AC873" s="84"/>
      <c r="AD873" s="84"/>
      <c r="AE873" s="85"/>
    </row>
    <row r="874" s="63" customFormat="1" ht="14.4" customHeight="1" spans="1:31">
      <c r="A874" s="68">
        <v>873</v>
      </c>
      <c r="B874" s="69" t="s">
        <v>94</v>
      </c>
      <c r="C874" s="97" t="s">
        <v>279</v>
      </c>
      <c r="D874" s="97" t="s">
        <v>158</v>
      </c>
      <c r="E874" s="95" t="s">
        <v>115</v>
      </c>
      <c r="F874" s="96">
        <v>46057.8821643519</v>
      </c>
      <c r="G874" s="96">
        <v>46056.8823148148</v>
      </c>
      <c r="H874" s="86" t="s">
        <v>99</v>
      </c>
      <c r="I874" s="87">
        <v>12000</v>
      </c>
      <c r="J874" s="83" t="s">
        <v>116</v>
      </c>
      <c r="K874" s="88" t="s">
        <v>117</v>
      </c>
      <c r="L874" s="91">
        <v>45561.6753125</v>
      </c>
      <c r="M874" s="91">
        <v>45610.7963078704</v>
      </c>
      <c r="N874" s="84" t="s">
        <v>138</v>
      </c>
      <c r="O874" s="91">
        <v>45646.6181481481</v>
      </c>
      <c r="P874" s="91">
        <v>45652.6962962963</v>
      </c>
      <c r="Q874" s="95" t="s">
        <v>121</v>
      </c>
      <c r="R874" s="96">
        <v>46046.5837731482</v>
      </c>
      <c r="S874" s="96">
        <v>46050.4531597222</v>
      </c>
      <c r="T874" s="95" t="s">
        <v>120</v>
      </c>
      <c r="U874" s="96">
        <v>46054.8342361111</v>
      </c>
      <c r="V874" s="96">
        <v>46053.8343981481</v>
      </c>
      <c r="W874" s="84"/>
      <c r="X874" s="84"/>
      <c r="Y874" s="84"/>
      <c r="Z874" s="84"/>
      <c r="AA874" s="84"/>
      <c r="AB874" s="84"/>
      <c r="AC874" s="84"/>
      <c r="AD874" s="84"/>
      <c r="AE874" s="85"/>
    </row>
    <row r="875" s="63" customFormat="1" ht="14.4" customHeight="1" spans="1:31">
      <c r="A875" s="68">
        <v>874</v>
      </c>
      <c r="B875" s="69" t="s">
        <v>94</v>
      </c>
      <c r="C875" s="97" t="s">
        <v>279</v>
      </c>
      <c r="D875" s="97" t="s">
        <v>159</v>
      </c>
      <c r="E875" s="95" t="s">
        <v>115</v>
      </c>
      <c r="F875" s="96">
        <v>46057.8821643519</v>
      </c>
      <c r="G875" s="96">
        <v>46056.8823148148</v>
      </c>
      <c r="H875" s="86" t="s">
        <v>99</v>
      </c>
      <c r="I875" s="87">
        <v>12000</v>
      </c>
      <c r="J875" s="83" t="s">
        <v>116</v>
      </c>
      <c r="K875" s="88" t="s">
        <v>117</v>
      </c>
      <c r="L875" s="91">
        <v>45561.6753125</v>
      </c>
      <c r="M875" s="91">
        <v>45610.7963078704</v>
      </c>
      <c r="N875" s="84" t="s">
        <v>138</v>
      </c>
      <c r="O875" s="91">
        <v>45646.6181481481</v>
      </c>
      <c r="P875" s="91">
        <v>45652.6962962963</v>
      </c>
      <c r="Q875" s="95" t="s">
        <v>121</v>
      </c>
      <c r="R875" s="96">
        <v>46043.7363541667</v>
      </c>
      <c r="S875" s="96">
        <v>46044.6915972222</v>
      </c>
      <c r="T875" s="95" t="s">
        <v>120</v>
      </c>
      <c r="U875" s="96">
        <v>46051.8341087963</v>
      </c>
      <c r="V875" s="96">
        <v>46050.8342592593</v>
      </c>
      <c r="W875" s="84"/>
      <c r="X875" s="84"/>
      <c r="Y875" s="84"/>
      <c r="Z875" s="84"/>
      <c r="AA875" s="84"/>
      <c r="AB875" s="84"/>
      <c r="AC875" s="84"/>
      <c r="AD875" s="84"/>
      <c r="AE875" s="85"/>
    </row>
    <row r="876" s="63" customFormat="1" ht="14.4" customHeight="1" spans="1:31">
      <c r="A876" s="68">
        <v>875</v>
      </c>
      <c r="B876" s="69" t="s">
        <v>94</v>
      </c>
      <c r="C876" s="97" t="s">
        <v>279</v>
      </c>
      <c r="D876" s="97" t="s">
        <v>160</v>
      </c>
      <c r="E876" s="95" t="s">
        <v>115</v>
      </c>
      <c r="F876" s="96">
        <v>46057.8821643519</v>
      </c>
      <c r="G876" s="96">
        <v>46056.8823148148</v>
      </c>
      <c r="H876" s="86" t="s">
        <v>99</v>
      </c>
      <c r="I876" s="87">
        <v>12000</v>
      </c>
      <c r="J876" s="83" t="s">
        <v>116</v>
      </c>
      <c r="K876" s="88" t="s">
        <v>117</v>
      </c>
      <c r="L876" s="91">
        <v>45561.6753125</v>
      </c>
      <c r="M876" s="91">
        <v>45610.7963078704</v>
      </c>
      <c r="N876" s="84" t="s">
        <v>138</v>
      </c>
      <c r="O876" s="91">
        <v>45646.6181481481</v>
      </c>
      <c r="P876" s="91">
        <v>45652.6962962963</v>
      </c>
      <c r="Q876" s="95" t="s">
        <v>121</v>
      </c>
      <c r="R876" s="96">
        <v>46043.736412037</v>
      </c>
      <c r="S876" s="96">
        <v>46049.3840972222</v>
      </c>
      <c r="T876" s="95" t="s">
        <v>120</v>
      </c>
      <c r="U876" s="96">
        <v>46051.8341087963</v>
      </c>
      <c r="V876" s="96">
        <v>46050.8342592593</v>
      </c>
      <c r="W876" s="84"/>
      <c r="X876" s="84"/>
      <c r="Y876" s="84"/>
      <c r="Z876" s="84"/>
      <c r="AA876" s="84"/>
      <c r="AB876" s="84"/>
      <c r="AC876" s="84"/>
      <c r="AD876" s="84"/>
      <c r="AE876" s="85"/>
    </row>
    <row r="877" s="63" customFormat="1" ht="14.4" customHeight="1" spans="1:31">
      <c r="A877" s="68">
        <v>876</v>
      </c>
      <c r="B877" s="69" t="s">
        <v>94</v>
      </c>
      <c r="C877" s="97" t="s">
        <v>279</v>
      </c>
      <c r="D877" s="97" t="s">
        <v>161</v>
      </c>
      <c r="E877" s="95" t="s">
        <v>115</v>
      </c>
      <c r="F877" s="96">
        <v>46057.8821643519</v>
      </c>
      <c r="G877" s="96">
        <v>46056.8823148148</v>
      </c>
      <c r="H877" s="86" t="s">
        <v>99</v>
      </c>
      <c r="I877" s="87">
        <v>12000</v>
      </c>
      <c r="J877" s="83" t="s">
        <v>116</v>
      </c>
      <c r="K877" s="88" t="s">
        <v>117</v>
      </c>
      <c r="L877" s="91">
        <v>45561.6753125</v>
      </c>
      <c r="M877" s="91">
        <v>45610.7963078704</v>
      </c>
      <c r="N877" s="84" t="s">
        <v>138</v>
      </c>
      <c r="O877" s="91">
        <v>45646.6181481481</v>
      </c>
      <c r="P877" s="91">
        <v>45652.6962962963</v>
      </c>
      <c r="Q877" s="95" t="s">
        <v>121</v>
      </c>
      <c r="R877" s="96">
        <v>46046.5837731482</v>
      </c>
      <c r="S877" s="96">
        <v>46050.4532291667</v>
      </c>
      <c r="T877" s="95" t="s">
        <v>120</v>
      </c>
      <c r="U877" s="96">
        <v>46054.8342361111</v>
      </c>
      <c r="V877" s="96">
        <v>46053.8343981481</v>
      </c>
      <c r="W877" s="84"/>
      <c r="X877" s="84"/>
      <c r="Y877" s="84"/>
      <c r="Z877" s="84"/>
      <c r="AA877" s="84"/>
      <c r="AB877" s="84"/>
      <c r="AC877" s="84"/>
      <c r="AD877" s="84"/>
      <c r="AE877" s="85"/>
    </row>
    <row r="878" s="63" customFormat="1" ht="14.4" customHeight="1" spans="1:31">
      <c r="A878" s="68">
        <v>877</v>
      </c>
      <c r="B878" s="69" t="s">
        <v>94</v>
      </c>
      <c r="C878" s="97" t="s">
        <v>279</v>
      </c>
      <c r="D878" s="97" t="s">
        <v>162</v>
      </c>
      <c r="E878" s="95" t="s">
        <v>115</v>
      </c>
      <c r="F878" s="96">
        <v>46057.8821643519</v>
      </c>
      <c r="G878" s="96">
        <v>46056.8823148148</v>
      </c>
      <c r="H878" s="86" t="s">
        <v>99</v>
      </c>
      <c r="I878" s="87">
        <v>12000</v>
      </c>
      <c r="J878" s="83" t="s">
        <v>116</v>
      </c>
      <c r="K878" s="88" t="s">
        <v>117</v>
      </c>
      <c r="L878" s="91">
        <v>45561.6753125</v>
      </c>
      <c r="M878" s="91">
        <v>45610.7963078704</v>
      </c>
      <c r="N878" s="84" t="s">
        <v>138</v>
      </c>
      <c r="O878" s="91">
        <v>45646.6181481481</v>
      </c>
      <c r="P878" s="91">
        <v>45652.6962962963</v>
      </c>
      <c r="Q878" s="95" t="s">
        <v>121</v>
      </c>
      <c r="R878" s="96">
        <v>46043.7363310185</v>
      </c>
      <c r="S878" s="96">
        <v>46044.691712963</v>
      </c>
      <c r="T878" s="95" t="s">
        <v>120</v>
      </c>
      <c r="U878" s="96">
        <v>46051.8341087963</v>
      </c>
      <c r="V878" s="96">
        <v>46050.8342592593</v>
      </c>
      <c r="W878" s="84"/>
      <c r="X878" s="84"/>
      <c r="Y878" s="84"/>
      <c r="Z878" s="84"/>
      <c r="AA878" s="84"/>
      <c r="AB878" s="84"/>
      <c r="AC878" s="84"/>
      <c r="AD878" s="84"/>
      <c r="AE878" s="85"/>
    </row>
    <row r="879" s="63" customFormat="1" ht="14.4" customHeight="1" spans="1:31">
      <c r="A879" s="68">
        <v>878</v>
      </c>
      <c r="B879" s="69" t="s">
        <v>94</v>
      </c>
      <c r="C879" s="97" t="s">
        <v>279</v>
      </c>
      <c r="D879" s="97" t="s">
        <v>163</v>
      </c>
      <c r="E879" s="95" t="s">
        <v>115</v>
      </c>
      <c r="F879" s="96">
        <v>46057.8821643519</v>
      </c>
      <c r="G879" s="96">
        <v>46056.8823148148</v>
      </c>
      <c r="H879" s="86" t="s">
        <v>99</v>
      </c>
      <c r="I879" s="87">
        <v>12000</v>
      </c>
      <c r="J879" s="83" t="s">
        <v>116</v>
      </c>
      <c r="K879" s="95" t="s">
        <v>121</v>
      </c>
      <c r="L879" s="96">
        <v>46043.7363657407</v>
      </c>
      <c r="M879" s="96">
        <v>46044.6918865741</v>
      </c>
      <c r="N879" s="95" t="s">
        <v>120</v>
      </c>
      <c r="O879" s="96">
        <v>46051.8341087963</v>
      </c>
      <c r="P879" s="96">
        <v>46050.8342592593</v>
      </c>
      <c r="Q879" s="84"/>
      <c r="R879" s="84"/>
      <c r="S879" s="84"/>
      <c r="T879" s="84"/>
      <c r="U879" s="84"/>
      <c r="V879" s="84"/>
      <c r="W879" s="84"/>
      <c r="X879" s="84"/>
      <c r="Y879" s="84"/>
      <c r="Z879" s="84"/>
      <c r="AA879" s="84"/>
      <c r="AB879" s="84"/>
      <c r="AC879" s="84"/>
      <c r="AD879" s="84"/>
      <c r="AE879" s="85"/>
    </row>
    <row r="880" s="63" customFormat="1" ht="14.4" customHeight="1" spans="1:31">
      <c r="A880" s="68">
        <v>879</v>
      </c>
      <c r="B880" s="69" t="s">
        <v>94</v>
      </c>
      <c r="C880" s="97" t="s">
        <v>279</v>
      </c>
      <c r="D880" s="97" t="s">
        <v>164</v>
      </c>
      <c r="E880" s="95" t="s">
        <v>115</v>
      </c>
      <c r="F880" s="96">
        <v>46057.8821643519</v>
      </c>
      <c r="G880" s="96">
        <v>46056.8823148148</v>
      </c>
      <c r="H880" s="86" t="s">
        <v>99</v>
      </c>
      <c r="I880" s="87">
        <v>12000</v>
      </c>
      <c r="J880" s="83" t="s">
        <v>116</v>
      </c>
      <c r="K880" s="95" t="s">
        <v>121</v>
      </c>
      <c r="L880" s="96">
        <v>46046.5837731482</v>
      </c>
      <c r="M880" s="96">
        <v>46050.4545486111</v>
      </c>
      <c r="N880" s="95" t="s">
        <v>120</v>
      </c>
      <c r="O880" s="96">
        <v>46054.8342361111</v>
      </c>
      <c r="P880" s="96">
        <v>46053.8343981481</v>
      </c>
      <c r="Q880" s="84"/>
      <c r="R880" s="84"/>
      <c r="S880" s="84"/>
      <c r="T880" s="84"/>
      <c r="U880" s="84"/>
      <c r="V880" s="84"/>
      <c r="W880" s="84"/>
      <c r="X880" s="84"/>
      <c r="Y880" s="84"/>
      <c r="Z880" s="84"/>
      <c r="AA880" s="84"/>
      <c r="AB880" s="84"/>
      <c r="AC880" s="84"/>
      <c r="AD880" s="84"/>
      <c r="AE880" s="85"/>
    </row>
    <row r="881" s="63" customFormat="1" ht="14.4" customHeight="1" spans="1:31">
      <c r="A881" s="68">
        <v>880</v>
      </c>
      <c r="B881" s="69" t="s">
        <v>94</v>
      </c>
      <c r="C881" s="97" t="s">
        <v>279</v>
      </c>
      <c r="D881" s="97" t="s">
        <v>165</v>
      </c>
      <c r="E881" s="95" t="s">
        <v>115</v>
      </c>
      <c r="F881" s="96">
        <v>46057.8821643519</v>
      </c>
      <c r="G881" s="96">
        <v>46056.8823148148</v>
      </c>
      <c r="H881" s="86" t="s">
        <v>99</v>
      </c>
      <c r="I881" s="87">
        <v>12000</v>
      </c>
      <c r="J881" s="83" t="s">
        <v>116</v>
      </c>
      <c r="K881" s="95" t="s">
        <v>121</v>
      </c>
      <c r="L881" s="96">
        <v>46043.7363657407</v>
      </c>
      <c r="M881" s="96">
        <v>46047.6166087963</v>
      </c>
      <c r="N881" s="95" t="s">
        <v>120</v>
      </c>
      <c r="O881" s="96">
        <v>46051.8341087963</v>
      </c>
      <c r="P881" s="96">
        <v>46050.8342592593</v>
      </c>
      <c r="Q881" s="84"/>
      <c r="R881" s="84"/>
      <c r="S881" s="84"/>
      <c r="T881" s="84"/>
      <c r="U881" s="84"/>
      <c r="V881" s="84"/>
      <c r="W881" s="84"/>
      <c r="X881" s="84"/>
      <c r="Y881" s="84"/>
      <c r="Z881" s="84"/>
      <c r="AA881" s="84"/>
      <c r="AB881" s="84"/>
      <c r="AC881" s="84"/>
      <c r="AD881" s="84"/>
      <c r="AE881" s="85"/>
    </row>
    <row r="882" s="63" customFormat="1" ht="14.4" customHeight="1" spans="1:31">
      <c r="A882" s="68">
        <v>881</v>
      </c>
      <c r="B882" s="69" t="s">
        <v>94</v>
      </c>
      <c r="C882" s="97" t="s">
        <v>279</v>
      </c>
      <c r="D882" s="97" t="s">
        <v>166</v>
      </c>
      <c r="E882" s="95" t="s">
        <v>115</v>
      </c>
      <c r="F882" s="96">
        <v>46057.8821643519</v>
      </c>
      <c r="G882" s="96">
        <v>46056.8823148148</v>
      </c>
      <c r="H882" s="86" t="s">
        <v>99</v>
      </c>
      <c r="I882" s="87">
        <v>12000</v>
      </c>
      <c r="J882" s="83" t="s">
        <v>116</v>
      </c>
      <c r="K882" s="95" t="s">
        <v>121</v>
      </c>
      <c r="L882" s="96">
        <v>46043.7363541667</v>
      </c>
      <c r="M882" s="96">
        <v>46047.616724537</v>
      </c>
      <c r="N882" s="95" t="s">
        <v>120</v>
      </c>
      <c r="O882" s="96">
        <v>46051.8341087963</v>
      </c>
      <c r="P882" s="96">
        <v>46050.8342592593</v>
      </c>
      <c r="Q882" s="84"/>
      <c r="R882" s="84"/>
      <c r="S882" s="84"/>
      <c r="T882" s="84"/>
      <c r="U882" s="84"/>
      <c r="V882" s="84"/>
      <c r="W882" s="84"/>
      <c r="X882" s="84"/>
      <c r="Y882" s="84"/>
      <c r="Z882" s="84"/>
      <c r="AA882" s="84"/>
      <c r="AB882" s="84"/>
      <c r="AC882" s="84"/>
      <c r="AD882" s="84"/>
      <c r="AE882" s="85"/>
    </row>
    <row r="883" s="63" customFormat="1" ht="14.4" customHeight="1" spans="1:31">
      <c r="A883" s="68">
        <v>882</v>
      </c>
      <c r="B883" s="69" t="s">
        <v>94</v>
      </c>
      <c r="C883" s="97" t="s">
        <v>279</v>
      </c>
      <c r="D883" s="97" t="s">
        <v>167</v>
      </c>
      <c r="E883" s="95" t="s">
        <v>115</v>
      </c>
      <c r="F883" s="96">
        <v>46057.8821643519</v>
      </c>
      <c r="G883" s="96">
        <v>46056.8823148148</v>
      </c>
      <c r="H883" s="86" t="s">
        <v>99</v>
      </c>
      <c r="I883" s="87">
        <v>12000</v>
      </c>
      <c r="J883" s="83" t="s">
        <v>116</v>
      </c>
      <c r="K883" s="95" t="s">
        <v>121</v>
      </c>
      <c r="L883" s="96">
        <v>46046.5837731482</v>
      </c>
      <c r="M883" s="96">
        <v>46050.4546643519</v>
      </c>
      <c r="N883" s="95" t="s">
        <v>120</v>
      </c>
      <c r="O883" s="96">
        <v>46054.8342361111</v>
      </c>
      <c r="P883" s="96">
        <v>46053.8343981481</v>
      </c>
      <c r="Q883" s="84"/>
      <c r="R883" s="84"/>
      <c r="S883" s="84"/>
      <c r="T883" s="84"/>
      <c r="U883" s="84"/>
      <c r="V883" s="84"/>
      <c r="W883" s="84"/>
      <c r="X883" s="84"/>
      <c r="Y883" s="84"/>
      <c r="Z883" s="84"/>
      <c r="AA883" s="84"/>
      <c r="AB883" s="84"/>
      <c r="AC883" s="84"/>
      <c r="AD883" s="84"/>
      <c r="AE883" s="85"/>
    </row>
    <row r="884" s="63" customFormat="1" ht="14.4" customHeight="1" spans="1:31">
      <c r="A884" s="68">
        <v>883</v>
      </c>
      <c r="B884" s="69" t="s">
        <v>94</v>
      </c>
      <c r="C884" s="97" t="s">
        <v>279</v>
      </c>
      <c r="D884" s="97" t="s">
        <v>168</v>
      </c>
      <c r="E884" s="95" t="s">
        <v>115</v>
      </c>
      <c r="F884" s="96">
        <v>46057.8821643519</v>
      </c>
      <c r="G884" s="96">
        <v>46056.8823148148</v>
      </c>
      <c r="H884" s="86" t="s">
        <v>99</v>
      </c>
      <c r="I884" s="87">
        <v>12000</v>
      </c>
      <c r="J884" s="83" t="s">
        <v>116</v>
      </c>
      <c r="K884" s="95" t="s">
        <v>121</v>
      </c>
      <c r="L884" s="96">
        <v>46043.7363657407</v>
      </c>
      <c r="M884" s="96">
        <v>46047.6169212963</v>
      </c>
      <c r="N884" s="95" t="s">
        <v>120</v>
      </c>
      <c r="O884" s="96">
        <v>46051.8341087963</v>
      </c>
      <c r="P884" s="96">
        <v>46050.8342592593</v>
      </c>
      <c r="Q884" s="84"/>
      <c r="R884" s="84"/>
      <c r="S884" s="84"/>
      <c r="T884" s="84"/>
      <c r="U884" s="84"/>
      <c r="V884" s="84"/>
      <c r="W884" s="84"/>
      <c r="X884" s="84"/>
      <c r="Y884" s="84"/>
      <c r="Z884" s="84"/>
      <c r="AA884" s="84"/>
      <c r="AB884" s="84"/>
      <c r="AC884" s="84"/>
      <c r="AD884" s="84"/>
      <c r="AE884" s="85"/>
    </row>
    <row r="885" s="63" customFormat="1" ht="14.4" customHeight="1" spans="1:31">
      <c r="A885" s="68">
        <v>884</v>
      </c>
      <c r="B885" s="69" t="s">
        <v>94</v>
      </c>
      <c r="C885" s="97" t="s">
        <v>279</v>
      </c>
      <c r="D885" s="97" t="s">
        <v>169</v>
      </c>
      <c r="E885" s="95" t="s">
        <v>115</v>
      </c>
      <c r="F885" s="96">
        <v>46057.8821643519</v>
      </c>
      <c r="G885" s="96">
        <v>46056.8823148148</v>
      </c>
      <c r="H885" s="86" t="s">
        <v>99</v>
      </c>
      <c r="I885" s="87">
        <v>12000</v>
      </c>
      <c r="J885" s="83" t="s">
        <v>116</v>
      </c>
      <c r="K885" s="95" t="s">
        <v>121</v>
      </c>
      <c r="L885" s="96">
        <v>46043.7363657407</v>
      </c>
      <c r="M885" s="96">
        <v>46047.6188541667</v>
      </c>
      <c r="N885" s="95" t="s">
        <v>120</v>
      </c>
      <c r="O885" s="96">
        <v>46051.8341087963</v>
      </c>
      <c r="P885" s="96">
        <v>46050.8342592593</v>
      </c>
      <c r="Q885" s="84"/>
      <c r="R885" s="84"/>
      <c r="S885" s="84"/>
      <c r="T885" s="84"/>
      <c r="U885" s="84"/>
      <c r="V885" s="84"/>
      <c r="W885" s="84"/>
      <c r="X885" s="84"/>
      <c r="Y885" s="84"/>
      <c r="Z885" s="84"/>
      <c r="AA885" s="84"/>
      <c r="AB885" s="84"/>
      <c r="AC885" s="84"/>
      <c r="AD885" s="84"/>
      <c r="AE885" s="85"/>
    </row>
    <row r="886" s="63" customFormat="1" ht="14.4" customHeight="1" spans="1:31">
      <c r="A886" s="68">
        <v>885</v>
      </c>
      <c r="B886" s="69" t="s">
        <v>94</v>
      </c>
      <c r="C886" s="70" t="s">
        <v>279</v>
      </c>
      <c r="D886" s="84" t="s">
        <v>170</v>
      </c>
      <c r="E886" s="88"/>
      <c r="F886" s="84"/>
      <c r="G886" s="84"/>
      <c r="H886" s="86" t="s">
        <v>99</v>
      </c>
      <c r="I886" s="87">
        <v>12000</v>
      </c>
      <c r="J886" s="84"/>
      <c r="K886" s="89"/>
      <c r="L886" s="90"/>
      <c r="M886" s="82"/>
      <c r="N886" s="84"/>
      <c r="O886" s="84"/>
      <c r="P886" s="84"/>
      <c r="Q886" s="84"/>
      <c r="R886" s="84"/>
      <c r="S886" s="84"/>
      <c r="T886" s="84"/>
      <c r="U886" s="84"/>
      <c r="V886" s="84"/>
      <c r="W886" s="84"/>
      <c r="X886" s="84"/>
      <c r="Y886" s="84"/>
      <c r="Z886" s="84"/>
      <c r="AA886" s="84"/>
      <c r="AB886" s="84"/>
      <c r="AC886" s="84"/>
      <c r="AD886" s="84"/>
      <c r="AE886" s="85"/>
    </row>
    <row r="887" s="63" customFormat="1" ht="14.4" customHeight="1" spans="1:31">
      <c r="A887" s="68">
        <v>886</v>
      </c>
      <c r="B887" s="69" t="s">
        <v>94</v>
      </c>
      <c r="C887" s="70" t="s">
        <v>279</v>
      </c>
      <c r="D887" s="84" t="s">
        <v>171</v>
      </c>
      <c r="E887" s="88"/>
      <c r="F887" s="84"/>
      <c r="G887" s="84"/>
      <c r="H887" s="86" t="s">
        <v>99</v>
      </c>
      <c r="I887" s="87">
        <v>12000</v>
      </c>
      <c r="J887" s="84"/>
      <c r="K887" s="89"/>
      <c r="L887" s="90"/>
      <c r="M887" s="82"/>
      <c r="N887" s="84"/>
      <c r="O887" s="84"/>
      <c r="P887" s="84"/>
      <c r="Q887" s="84"/>
      <c r="R887" s="84"/>
      <c r="S887" s="84"/>
      <c r="T887" s="84"/>
      <c r="U887" s="84"/>
      <c r="V887" s="84"/>
      <c r="W887" s="84"/>
      <c r="X887" s="84"/>
      <c r="Y887" s="84"/>
      <c r="Z887" s="84"/>
      <c r="AA887" s="84"/>
      <c r="AB887" s="84"/>
      <c r="AC887" s="84"/>
      <c r="AD887" s="84"/>
      <c r="AE887" s="85"/>
    </row>
    <row r="888" s="63" customFormat="1" ht="14.4" customHeight="1" spans="1:31">
      <c r="A888" s="68">
        <v>887</v>
      </c>
      <c r="B888" s="69" t="s">
        <v>94</v>
      </c>
      <c r="C888" s="97" t="s">
        <v>279</v>
      </c>
      <c r="D888" s="97" t="s">
        <v>172</v>
      </c>
      <c r="E888" s="95" t="s">
        <v>115</v>
      </c>
      <c r="F888" s="96">
        <v>46125.8821875</v>
      </c>
      <c r="G888" s="96">
        <v>46124.8823958333</v>
      </c>
      <c r="H888" s="79" t="s">
        <v>97</v>
      </c>
      <c r="I888" s="80">
        <v>16000</v>
      </c>
      <c r="J888" s="83" t="s">
        <v>116</v>
      </c>
      <c r="K888" s="93" t="s">
        <v>121</v>
      </c>
      <c r="L888" s="94">
        <v>46093.6749305556</v>
      </c>
      <c r="M888" s="94">
        <v>46094.7465625</v>
      </c>
      <c r="N888" s="84"/>
      <c r="O888" s="84"/>
      <c r="P888" s="84"/>
      <c r="Q888" s="84"/>
      <c r="R888" s="84"/>
      <c r="S888" s="84"/>
      <c r="T888" s="111" t="s">
        <v>120</v>
      </c>
      <c r="U888" s="112">
        <v>46100.8336226852</v>
      </c>
      <c r="V888" s="112">
        <v>46099.8338541667</v>
      </c>
      <c r="W888" s="84"/>
      <c r="X888" s="84"/>
      <c r="Y888" s="84"/>
      <c r="Z888" s="84"/>
      <c r="AA888" s="84"/>
      <c r="AB888" s="84"/>
      <c r="AC888" s="84"/>
      <c r="AD888" s="84"/>
      <c r="AE888" s="85"/>
    </row>
    <row r="889" s="63" customFormat="1" ht="14.4" customHeight="1" spans="1:31">
      <c r="A889" s="68">
        <v>888</v>
      </c>
      <c r="B889" s="69" t="s">
        <v>94</v>
      </c>
      <c r="C889" s="97" t="s">
        <v>279</v>
      </c>
      <c r="D889" s="97" t="s">
        <v>173</v>
      </c>
      <c r="E889" s="95" t="s">
        <v>115</v>
      </c>
      <c r="F889" s="96">
        <v>46125.8821875</v>
      </c>
      <c r="G889" s="96">
        <v>46124.8823958333</v>
      </c>
      <c r="H889" s="86" t="s">
        <v>99</v>
      </c>
      <c r="I889" s="87">
        <v>12000</v>
      </c>
      <c r="J889" s="83" t="s">
        <v>116</v>
      </c>
      <c r="K889" s="88" t="s">
        <v>117</v>
      </c>
      <c r="L889" s="91">
        <v>45561.6753125</v>
      </c>
      <c r="M889" s="91">
        <v>45610.7963078704</v>
      </c>
      <c r="N889" s="84" t="s">
        <v>138</v>
      </c>
      <c r="O889" s="91">
        <v>45646.6181481481</v>
      </c>
      <c r="P889" s="91">
        <v>45652.6962962963</v>
      </c>
      <c r="Q889" s="93" t="s">
        <v>121</v>
      </c>
      <c r="R889" s="94">
        <v>46093.6749189815</v>
      </c>
      <c r="S889" s="94">
        <v>46094.7467824074</v>
      </c>
      <c r="T889" s="93" t="s">
        <v>120</v>
      </c>
      <c r="U889" s="94">
        <v>46102.8336226852</v>
      </c>
      <c r="V889" s="94">
        <v>46101.8338425926</v>
      </c>
      <c r="W889" s="84"/>
      <c r="X889" s="84"/>
      <c r="Y889" s="84"/>
      <c r="Z889" s="84"/>
      <c r="AA889" s="84"/>
      <c r="AB889" s="84"/>
      <c r="AC889" s="84"/>
      <c r="AD889" s="84"/>
      <c r="AE889" s="85"/>
    </row>
    <row r="890" s="63" customFormat="1" ht="14.4" customHeight="1" spans="1:31">
      <c r="A890" s="68">
        <v>889</v>
      </c>
      <c r="B890" s="69" t="s">
        <v>94</v>
      </c>
      <c r="C890" s="97" t="s">
        <v>279</v>
      </c>
      <c r="D890" s="97" t="s">
        <v>174</v>
      </c>
      <c r="E890" s="95" t="s">
        <v>115</v>
      </c>
      <c r="F890" s="96">
        <v>46124.8822453704</v>
      </c>
      <c r="G890" s="96">
        <v>46123.8824652778</v>
      </c>
      <c r="H890" s="86" t="s">
        <v>99</v>
      </c>
      <c r="I890" s="87">
        <v>12000</v>
      </c>
      <c r="J890" s="83" t="s">
        <v>116</v>
      </c>
      <c r="K890" s="88" t="s">
        <v>117</v>
      </c>
      <c r="L890" s="91">
        <v>45561.6753125</v>
      </c>
      <c r="M890" s="91">
        <v>45610.7963078704</v>
      </c>
      <c r="N890" s="84" t="s">
        <v>138</v>
      </c>
      <c r="O890" s="91">
        <v>45646.6181481481</v>
      </c>
      <c r="P890" s="91">
        <v>45652.6962962963</v>
      </c>
      <c r="Q890" s="84"/>
      <c r="R890" s="84"/>
      <c r="S890" s="84"/>
      <c r="T890" s="83" t="s">
        <v>117</v>
      </c>
      <c r="U890" s="91">
        <v>46101.7259490741</v>
      </c>
      <c r="V890" s="91">
        <v>46104.7713078704</v>
      </c>
      <c r="W890" s="84"/>
      <c r="X890" s="84"/>
      <c r="Y890" s="84"/>
      <c r="Z890" s="84"/>
      <c r="AA890" s="84"/>
      <c r="AB890" s="84"/>
      <c r="AC890" s="84"/>
      <c r="AD890" s="84"/>
      <c r="AE890" s="85"/>
    </row>
    <row r="891" s="63" customFormat="1" ht="14.4" customHeight="1" spans="1:31">
      <c r="A891" s="68">
        <v>890</v>
      </c>
      <c r="B891" s="69" t="s">
        <v>94</v>
      </c>
      <c r="C891" s="97" t="s">
        <v>279</v>
      </c>
      <c r="D891" s="97" t="s">
        <v>175</v>
      </c>
      <c r="E891" s="95" t="s">
        <v>115</v>
      </c>
      <c r="F891" s="96">
        <v>46056.8821759259</v>
      </c>
      <c r="G891" s="96">
        <v>46055.8823263889</v>
      </c>
      <c r="H891" s="86" t="s">
        <v>99</v>
      </c>
      <c r="I891" s="87">
        <v>12000</v>
      </c>
      <c r="J891" s="83" t="s">
        <v>116</v>
      </c>
      <c r="K891" s="88" t="s">
        <v>117</v>
      </c>
      <c r="L891" s="91">
        <v>45561.6753125</v>
      </c>
      <c r="M891" s="91">
        <v>45610.7963078704</v>
      </c>
      <c r="N891" s="84" t="s">
        <v>138</v>
      </c>
      <c r="O891" s="91">
        <v>45646.6181481481</v>
      </c>
      <c r="P891" s="91">
        <v>45652.6962962963</v>
      </c>
      <c r="Q891" s="95" t="s">
        <v>121</v>
      </c>
      <c r="R891" s="96">
        <v>46043.7363657407</v>
      </c>
      <c r="S891" s="96">
        <v>46047.4743518519</v>
      </c>
      <c r="T891" s="95" t="s">
        <v>120</v>
      </c>
      <c r="U891" s="96">
        <v>46051.8341087963</v>
      </c>
      <c r="V891" s="96">
        <v>46050.8342592593</v>
      </c>
      <c r="W891" s="84"/>
      <c r="X891" s="84"/>
      <c r="Y891" s="84"/>
      <c r="Z891" s="84"/>
      <c r="AA891" s="84"/>
      <c r="AB891" s="84"/>
      <c r="AC891" s="84"/>
      <c r="AD891" s="84"/>
      <c r="AE891" s="85"/>
    </row>
    <row r="892" s="63" customFormat="1" ht="14.4" customHeight="1" spans="1:31">
      <c r="A892" s="68">
        <v>891</v>
      </c>
      <c r="B892" s="69" t="s">
        <v>94</v>
      </c>
      <c r="C892" s="97" t="s">
        <v>279</v>
      </c>
      <c r="D892" s="97" t="s">
        <v>176</v>
      </c>
      <c r="E892" s="95" t="s">
        <v>115</v>
      </c>
      <c r="F892" s="96">
        <v>46056.8821759259</v>
      </c>
      <c r="G892" s="96">
        <v>46055.8823263889</v>
      </c>
      <c r="H892" s="86" t="s">
        <v>99</v>
      </c>
      <c r="I892" s="87">
        <v>12000</v>
      </c>
      <c r="J892" s="83" t="s">
        <v>116</v>
      </c>
      <c r="K892" s="88" t="s">
        <v>117</v>
      </c>
      <c r="L892" s="91">
        <v>45561.6753125</v>
      </c>
      <c r="M892" s="91">
        <v>45610.7963078704</v>
      </c>
      <c r="N892" s="84" t="s">
        <v>138</v>
      </c>
      <c r="O892" s="91">
        <v>45646.6181481481</v>
      </c>
      <c r="P892" s="91">
        <v>45652.6962962963</v>
      </c>
      <c r="Q892" s="95" t="s">
        <v>121</v>
      </c>
      <c r="R892" s="96">
        <v>46043.7363310185</v>
      </c>
      <c r="S892" s="96">
        <v>46047.4744907407</v>
      </c>
      <c r="T892" s="95" t="s">
        <v>120</v>
      </c>
      <c r="U892" s="96">
        <v>46051.8341087963</v>
      </c>
      <c r="V892" s="96">
        <v>46050.8342592593</v>
      </c>
      <c r="W892" s="84"/>
      <c r="X892" s="84"/>
      <c r="Y892" s="84"/>
      <c r="Z892" s="84"/>
      <c r="AA892" s="84"/>
      <c r="AB892" s="84"/>
      <c r="AC892" s="84"/>
      <c r="AD892" s="84"/>
      <c r="AE892" s="85"/>
    </row>
    <row r="893" s="63" customFormat="1" ht="14.4" customHeight="1" spans="1:31">
      <c r="A893" s="68">
        <v>892</v>
      </c>
      <c r="B893" s="69" t="s">
        <v>94</v>
      </c>
      <c r="C893" s="97" t="s">
        <v>279</v>
      </c>
      <c r="D893" s="97" t="s">
        <v>177</v>
      </c>
      <c r="E893" s="95" t="s">
        <v>121</v>
      </c>
      <c r="F893" s="96">
        <v>46046.5837731482</v>
      </c>
      <c r="G893" s="96">
        <v>46050.4669791667</v>
      </c>
      <c r="H893" s="86" t="s">
        <v>99</v>
      </c>
      <c r="I893" s="87">
        <v>12000</v>
      </c>
      <c r="J893" s="83" t="s">
        <v>116</v>
      </c>
      <c r="K893" s="88" t="s">
        <v>117</v>
      </c>
      <c r="L893" s="91">
        <v>45561.6753125</v>
      </c>
      <c r="M893" s="91">
        <v>45610.7963078704</v>
      </c>
      <c r="N893" s="84" t="s">
        <v>138</v>
      </c>
      <c r="O893" s="91">
        <v>45646.6181481481</v>
      </c>
      <c r="P893" s="91">
        <v>45652.6962962963</v>
      </c>
      <c r="Q893" s="84"/>
      <c r="R893" s="84"/>
      <c r="S893" s="84"/>
      <c r="T893" s="84"/>
      <c r="U893" s="84"/>
      <c r="V893" s="84"/>
      <c r="W893" s="84"/>
      <c r="X893" s="84"/>
      <c r="Y893" s="84"/>
      <c r="Z893" s="84"/>
      <c r="AA893" s="84"/>
      <c r="AB893" s="84"/>
      <c r="AC893" s="84"/>
      <c r="AD893" s="84"/>
      <c r="AE893" s="85"/>
    </row>
    <row r="894" s="63" customFormat="1" ht="14.4" customHeight="1" spans="1:31">
      <c r="A894" s="68">
        <v>893</v>
      </c>
      <c r="B894" s="69" t="s">
        <v>94</v>
      </c>
      <c r="C894" s="97" t="s">
        <v>279</v>
      </c>
      <c r="D894" s="97" t="s">
        <v>178</v>
      </c>
      <c r="E894" s="95" t="s">
        <v>115</v>
      </c>
      <c r="F894" s="96">
        <v>46056.8821759259</v>
      </c>
      <c r="G894" s="96">
        <v>46055.8823263889</v>
      </c>
      <c r="H894" s="86" t="s">
        <v>99</v>
      </c>
      <c r="I894" s="87">
        <v>12000</v>
      </c>
      <c r="J894" s="83" t="s">
        <v>116</v>
      </c>
      <c r="K894" s="88" t="s">
        <v>117</v>
      </c>
      <c r="L894" s="91">
        <v>45561.6753125</v>
      </c>
      <c r="M894" s="91">
        <v>45610.7963078704</v>
      </c>
      <c r="N894" s="84" t="s">
        <v>138</v>
      </c>
      <c r="O894" s="91">
        <v>45646.6181481481</v>
      </c>
      <c r="P894" s="91">
        <v>45652.6962962963</v>
      </c>
      <c r="Q894" s="95" t="s">
        <v>121</v>
      </c>
      <c r="R894" s="96">
        <v>46043.7363541667</v>
      </c>
      <c r="S894" s="96">
        <v>46047.4746296296</v>
      </c>
      <c r="T894" s="95" t="s">
        <v>120</v>
      </c>
      <c r="U894" s="96">
        <v>46051.8341087963</v>
      </c>
      <c r="V894" s="96">
        <v>46050.8342592593</v>
      </c>
      <c r="W894" s="84"/>
      <c r="X894" s="84"/>
      <c r="Y894" s="84"/>
      <c r="Z894" s="84"/>
      <c r="AA894" s="84"/>
      <c r="AB894" s="84"/>
      <c r="AC894" s="84"/>
      <c r="AD894" s="84"/>
      <c r="AE894" s="85"/>
    </row>
    <row r="895" s="63" customFormat="1" ht="14.4" customHeight="1" spans="1:31">
      <c r="A895" s="68">
        <v>894</v>
      </c>
      <c r="B895" s="69" t="s">
        <v>94</v>
      </c>
      <c r="C895" s="97" t="s">
        <v>279</v>
      </c>
      <c r="D895" s="97" t="s">
        <v>179</v>
      </c>
      <c r="E895" s="95" t="s">
        <v>115</v>
      </c>
      <c r="F895" s="96">
        <v>46056.8821759259</v>
      </c>
      <c r="G895" s="96">
        <v>46055.8823263889</v>
      </c>
      <c r="H895" s="86" t="s">
        <v>99</v>
      </c>
      <c r="I895" s="87">
        <v>12000</v>
      </c>
      <c r="J895" s="83" t="s">
        <v>116</v>
      </c>
      <c r="K895" s="88" t="s">
        <v>117</v>
      </c>
      <c r="L895" s="91">
        <v>45561.6753125</v>
      </c>
      <c r="M895" s="91">
        <v>45610.7963078704</v>
      </c>
      <c r="N895" s="84" t="s">
        <v>138</v>
      </c>
      <c r="O895" s="91">
        <v>45646.6181481481</v>
      </c>
      <c r="P895" s="91">
        <v>45652.6962962963</v>
      </c>
      <c r="Q895" s="95" t="s">
        <v>121</v>
      </c>
      <c r="R895" s="96">
        <v>46043.7363541667</v>
      </c>
      <c r="S895" s="96">
        <v>46048.6212384259</v>
      </c>
      <c r="T895" s="95" t="s">
        <v>120</v>
      </c>
      <c r="U895" s="96">
        <v>46051.8341087963</v>
      </c>
      <c r="V895" s="96">
        <v>46050.8342592593</v>
      </c>
      <c r="W895" s="84"/>
      <c r="X895" s="84"/>
      <c r="Y895" s="84"/>
      <c r="Z895" s="84"/>
      <c r="AA895" s="84"/>
      <c r="AB895" s="84"/>
      <c r="AC895" s="84"/>
      <c r="AD895" s="84"/>
      <c r="AE895" s="85"/>
    </row>
    <row r="896" s="63" customFormat="1" ht="14.4" customHeight="1" spans="1:31">
      <c r="A896" s="68">
        <v>895</v>
      </c>
      <c r="B896" s="69" t="s">
        <v>94</v>
      </c>
      <c r="C896" s="97" t="s">
        <v>279</v>
      </c>
      <c r="D896" s="97" t="s">
        <v>180</v>
      </c>
      <c r="E896" s="95" t="s">
        <v>121</v>
      </c>
      <c r="F896" s="96">
        <v>46046.5837731482</v>
      </c>
      <c r="G896" s="96">
        <v>46050.467025463</v>
      </c>
      <c r="H896" s="86" t="s">
        <v>99</v>
      </c>
      <c r="I896" s="87">
        <v>12000</v>
      </c>
      <c r="J896" s="83" t="s">
        <v>116</v>
      </c>
      <c r="K896" s="88" t="s">
        <v>117</v>
      </c>
      <c r="L896" s="91">
        <v>45561.6753125</v>
      </c>
      <c r="M896" s="91">
        <v>45610.7963078704</v>
      </c>
      <c r="N896" s="84" t="s">
        <v>138</v>
      </c>
      <c r="O896" s="91">
        <v>45646.6181481481</v>
      </c>
      <c r="P896" s="91">
        <v>45652.6962962963</v>
      </c>
      <c r="Q896" s="84"/>
      <c r="R896" s="84"/>
      <c r="S896" s="84"/>
      <c r="T896" s="84"/>
      <c r="U896" s="84"/>
      <c r="V896" s="84"/>
      <c r="W896" s="84"/>
      <c r="X896" s="84"/>
      <c r="Y896" s="84"/>
      <c r="Z896" s="84"/>
      <c r="AA896" s="84"/>
      <c r="AB896" s="84"/>
      <c r="AC896" s="84"/>
      <c r="AD896" s="84"/>
      <c r="AE896" s="85"/>
    </row>
    <row r="897" s="63" customFormat="1" ht="14.4" customHeight="1" spans="1:31">
      <c r="A897" s="68">
        <v>896</v>
      </c>
      <c r="B897" s="69" t="s">
        <v>94</v>
      </c>
      <c r="C897" s="97" t="s">
        <v>279</v>
      </c>
      <c r="D897" s="97" t="s">
        <v>181</v>
      </c>
      <c r="E897" s="95" t="s">
        <v>115</v>
      </c>
      <c r="F897" s="96">
        <v>46056.8821759259</v>
      </c>
      <c r="G897" s="96">
        <v>46055.8823263889</v>
      </c>
      <c r="H897" s="86" t="s">
        <v>99</v>
      </c>
      <c r="I897" s="87">
        <v>12000</v>
      </c>
      <c r="J897" s="83" t="s">
        <v>116</v>
      </c>
      <c r="K897" s="88" t="s">
        <v>117</v>
      </c>
      <c r="L897" s="91">
        <v>45561.6753125</v>
      </c>
      <c r="M897" s="91">
        <v>45610.7963078704</v>
      </c>
      <c r="N897" s="84" t="s">
        <v>138</v>
      </c>
      <c r="O897" s="91">
        <v>45646.6181481481</v>
      </c>
      <c r="P897" s="91">
        <v>45652.6962962963</v>
      </c>
      <c r="Q897" s="95" t="s">
        <v>121</v>
      </c>
      <c r="R897" s="96">
        <v>46043.7363541667</v>
      </c>
      <c r="S897" s="96">
        <v>46047.4751041667</v>
      </c>
      <c r="T897" s="95" t="s">
        <v>120</v>
      </c>
      <c r="U897" s="96">
        <v>46051.8341087963</v>
      </c>
      <c r="V897" s="96">
        <v>46050.8342592593</v>
      </c>
      <c r="W897" s="84"/>
      <c r="X897" s="84"/>
      <c r="Y897" s="84"/>
      <c r="Z897" s="84"/>
      <c r="AA897" s="84"/>
      <c r="AB897" s="84"/>
      <c r="AC897" s="84"/>
      <c r="AD897" s="84"/>
      <c r="AE897" s="85"/>
    </row>
    <row r="898" s="63" customFormat="1" ht="14.4" customHeight="1" spans="1:31">
      <c r="A898" s="68">
        <v>897</v>
      </c>
      <c r="B898" s="69" t="s">
        <v>94</v>
      </c>
      <c r="C898" s="97" t="s">
        <v>279</v>
      </c>
      <c r="D898" s="97" t="s">
        <v>182</v>
      </c>
      <c r="E898" s="95" t="s">
        <v>115</v>
      </c>
      <c r="F898" s="96">
        <v>46056.8821759259</v>
      </c>
      <c r="G898" s="96">
        <v>46055.8823263889</v>
      </c>
      <c r="H898" s="86" t="s">
        <v>99</v>
      </c>
      <c r="I898" s="87">
        <v>12000</v>
      </c>
      <c r="J898" s="83" t="s">
        <v>116</v>
      </c>
      <c r="K898" s="95" t="s">
        <v>121</v>
      </c>
      <c r="L898" s="96">
        <v>46043.7363657407</v>
      </c>
      <c r="M898" s="96">
        <v>46047.668587963</v>
      </c>
      <c r="N898" s="95" t="s">
        <v>120</v>
      </c>
      <c r="O898" s="96">
        <v>46051.8341087963</v>
      </c>
      <c r="P898" s="96">
        <v>46050.8342592593</v>
      </c>
      <c r="Q898" s="84"/>
      <c r="R898" s="84"/>
      <c r="S898" s="84"/>
      <c r="T898" s="84"/>
      <c r="U898" s="84"/>
      <c r="V898" s="84"/>
      <c r="W898" s="84"/>
      <c r="X898" s="84"/>
      <c r="Y898" s="84"/>
      <c r="Z898" s="84"/>
      <c r="AA898" s="84"/>
      <c r="AB898" s="84"/>
      <c r="AC898" s="84"/>
      <c r="AD898" s="84"/>
      <c r="AE898" s="85"/>
    </row>
    <row r="899" s="63" customFormat="1" ht="14.4" customHeight="1" spans="1:31">
      <c r="A899" s="68">
        <v>898</v>
      </c>
      <c r="B899" s="69" t="s">
        <v>94</v>
      </c>
      <c r="C899" s="97" t="s">
        <v>279</v>
      </c>
      <c r="D899" s="97" t="s">
        <v>183</v>
      </c>
      <c r="E899" s="95" t="s">
        <v>121</v>
      </c>
      <c r="F899" s="96">
        <v>46046.5837731482</v>
      </c>
      <c r="G899" s="96">
        <v>46050.4670833333</v>
      </c>
      <c r="H899" s="86" t="s">
        <v>99</v>
      </c>
      <c r="I899" s="87">
        <v>12000</v>
      </c>
      <c r="J899" s="83" t="s">
        <v>116</v>
      </c>
      <c r="K899" s="89"/>
      <c r="L899" s="90"/>
      <c r="M899" s="82"/>
      <c r="N899" s="84"/>
      <c r="O899" s="84"/>
      <c r="P899" s="84"/>
      <c r="Q899" s="84"/>
      <c r="R899" s="84"/>
      <c r="S899" s="84"/>
      <c r="T899" s="84"/>
      <c r="U899" s="84"/>
      <c r="V899" s="84"/>
      <c r="W899" s="84"/>
      <c r="X899" s="84"/>
      <c r="Y899" s="84"/>
      <c r="Z899" s="84"/>
      <c r="AA899" s="84"/>
      <c r="AB899" s="84"/>
      <c r="AC899" s="84"/>
      <c r="AD899" s="84"/>
      <c r="AE899" s="85"/>
    </row>
    <row r="900" s="63" customFormat="1" ht="14.4" customHeight="1" spans="1:31">
      <c r="A900" s="68">
        <v>899</v>
      </c>
      <c r="B900" s="69" t="s">
        <v>94</v>
      </c>
      <c r="C900" s="97" t="s">
        <v>279</v>
      </c>
      <c r="D900" s="97" t="s">
        <v>184</v>
      </c>
      <c r="E900" s="95" t="s">
        <v>115</v>
      </c>
      <c r="F900" s="96">
        <v>46057.8821643519</v>
      </c>
      <c r="G900" s="96">
        <v>46056.8823148148</v>
      </c>
      <c r="H900" s="86" t="s">
        <v>99</v>
      </c>
      <c r="I900" s="87">
        <v>12000</v>
      </c>
      <c r="J900" s="83" t="s">
        <v>116</v>
      </c>
      <c r="K900" s="95" t="s">
        <v>121</v>
      </c>
      <c r="L900" s="96">
        <v>46043.7363310185</v>
      </c>
      <c r="M900" s="96">
        <v>46047.6687037037</v>
      </c>
      <c r="N900" s="95" t="s">
        <v>120</v>
      </c>
      <c r="O900" s="96">
        <v>46051.8341087963</v>
      </c>
      <c r="P900" s="96">
        <v>46050.8342592593</v>
      </c>
      <c r="Q900" s="84"/>
      <c r="R900" s="84"/>
      <c r="S900" s="84"/>
      <c r="T900" s="84"/>
      <c r="U900" s="84"/>
      <c r="V900" s="84"/>
      <c r="W900" s="84"/>
      <c r="X900" s="84"/>
      <c r="Y900" s="84"/>
      <c r="Z900" s="84"/>
      <c r="AA900" s="84"/>
      <c r="AB900" s="84"/>
      <c r="AC900" s="84"/>
      <c r="AD900" s="84"/>
      <c r="AE900" s="85"/>
    </row>
    <row r="901" s="63" customFormat="1" ht="14.4" customHeight="1" spans="1:31">
      <c r="A901" s="68">
        <v>900</v>
      </c>
      <c r="B901" s="69" t="s">
        <v>94</v>
      </c>
      <c r="C901" s="97" t="s">
        <v>279</v>
      </c>
      <c r="D901" s="97" t="s">
        <v>185</v>
      </c>
      <c r="E901" s="95" t="s">
        <v>115</v>
      </c>
      <c r="F901" s="96">
        <v>46057.8821643519</v>
      </c>
      <c r="G901" s="96">
        <v>46056.8823148148</v>
      </c>
      <c r="H901" s="86" t="s">
        <v>99</v>
      </c>
      <c r="I901" s="87">
        <v>12000</v>
      </c>
      <c r="J901" s="83" t="s">
        <v>116</v>
      </c>
      <c r="K901" s="95" t="s">
        <v>121</v>
      </c>
      <c r="L901" s="96">
        <v>46043.7363425926</v>
      </c>
      <c r="M901" s="96">
        <v>46047.6687962963</v>
      </c>
      <c r="N901" s="95" t="s">
        <v>120</v>
      </c>
      <c r="O901" s="96">
        <v>46051.8341087963</v>
      </c>
      <c r="P901" s="96">
        <v>46050.8342592593</v>
      </c>
      <c r="Q901" s="84"/>
      <c r="R901" s="84"/>
      <c r="S901" s="84"/>
      <c r="T901" s="84"/>
      <c r="U901" s="84"/>
      <c r="V901" s="84"/>
      <c r="W901" s="84"/>
      <c r="X901" s="84"/>
      <c r="Y901" s="84"/>
      <c r="Z901" s="84"/>
      <c r="AA901" s="84"/>
      <c r="AB901" s="84"/>
      <c r="AC901" s="84"/>
      <c r="AD901" s="84"/>
      <c r="AE901" s="85"/>
    </row>
    <row r="902" s="63" customFormat="1" ht="14.4" customHeight="1" spans="1:31">
      <c r="A902" s="68">
        <v>901</v>
      </c>
      <c r="B902" s="69" t="s">
        <v>94</v>
      </c>
      <c r="C902" s="97" t="s">
        <v>279</v>
      </c>
      <c r="D902" s="97" t="s">
        <v>186</v>
      </c>
      <c r="E902" s="95" t="s">
        <v>115</v>
      </c>
      <c r="F902" s="96">
        <v>46057.8821643519</v>
      </c>
      <c r="G902" s="96">
        <v>46056.8823148148</v>
      </c>
      <c r="H902" s="86" t="s">
        <v>99</v>
      </c>
      <c r="I902" s="87">
        <v>12000</v>
      </c>
      <c r="J902" s="83" t="s">
        <v>116</v>
      </c>
      <c r="K902" s="95" t="s">
        <v>121</v>
      </c>
      <c r="L902" s="96">
        <v>46046.5837731482</v>
      </c>
      <c r="M902" s="96">
        <v>46050.4671412037</v>
      </c>
      <c r="N902" s="95" t="s">
        <v>120</v>
      </c>
      <c r="O902" s="96">
        <v>46054.8342361111</v>
      </c>
      <c r="P902" s="96">
        <v>46053.8343981481</v>
      </c>
      <c r="Q902" s="84"/>
      <c r="R902" s="84"/>
      <c r="S902" s="84"/>
      <c r="T902" s="84"/>
      <c r="U902" s="84"/>
      <c r="V902" s="84"/>
      <c r="W902" s="84"/>
      <c r="X902" s="84"/>
      <c r="Y902" s="84"/>
      <c r="Z902" s="84"/>
      <c r="AA902" s="84"/>
      <c r="AB902" s="84"/>
      <c r="AC902" s="84"/>
      <c r="AD902" s="84"/>
      <c r="AE902" s="85"/>
    </row>
    <row r="903" s="63" customFormat="1" ht="14.4" customHeight="1" spans="1:31">
      <c r="A903" s="68">
        <v>902</v>
      </c>
      <c r="B903" s="69" t="s">
        <v>94</v>
      </c>
      <c r="C903" s="70" t="s">
        <v>279</v>
      </c>
      <c r="D903" s="84" t="s">
        <v>187</v>
      </c>
      <c r="E903" s="88"/>
      <c r="F903" s="84"/>
      <c r="G903" s="84"/>
      <c r="H903" s="86" t="s">
        <v>99</v>
      </c>
      <c r="I903" s="87">
        <v>12000</v>
      </c>
      <c r="J903" s="84"/>
      <c r="K903" s="89"/>
      <c r="L903" s="90"/>
      <c r="M903" s="82"/>
      <c r="N903" s="84"/>
      <c r="O903" s="84"/>
      <c r="P903" s="84"/>
      <c r="Q903" s="84"/>
      <c r="R903" s="84"/>
      <c r="S903" s="84"/>
      <c r="T903" s="84"/>
      <c r="U903" s="84"/>
      <c r="V903" s="84"/>
      <c r="W903" s="84"/>
      <c r="X903" s="84"/>
      <c r="Y903" s="84"/>
      <c r="Z903" s="84"/>
      <c r="AA903" s="84"/>
      <c r="AB903" s="84"/>
      <c r="AC903" s="84"/>
      <c r="AD903" s="84"/>
      <c r="AE903" s="85"/>
    </row>
    <row r="904" s="63" customFormat="1" ht="14.4" customHeight="1" spans="1:31">
      <c r="A904" s="68">
        <v>903</v>
      </c>
      <c r="B904" s="69" t="s">
        <v>94</v>
      </c>
      <c r="C904" s="97" t="s">
        <v>279</v>
      </c>
      <c r="D904" s="97" t="s">
        <v>188</v>
      </c>
      <c r="E904" s="95" t="s">
        <v>121</v>
      </c>
      <c r="F904" s="96">
        <v>46043.7337384259</v>
      </c>
      <c r="G904" s="96">
        <v>46047.4741550926</v>
      </c>
      <c r="H904" s="79" t="s">
        <v>97</v>
      </c>
      <c r="I904" s="80">
        <v>16000</v>
      </c>
      <c r="J904" s="83" t="s">
        <v>116</v>
      </c>
      <c r="K904" s="89"/>
      <c r="L904" s="90"/>
      <c r="M904" s="82"/>
      <c r="N904" s="84"/>
      <c r="O904" s="84"/>
      <c r="P904" s="84"/>
      <c r="Q904" s="84"/>
      <c r="R904" s="84"/>
      <c r="S904" s="84"/>
      <c r="T904" s="84"/>
      <c r="U904" s="84"/>
      <c r="V904" s="84"/>
      <c r="W904" s="84"/>
      <c r="X904" s="84"/>
      <c r="Y904" s="84"/>
      <c r="Z904" s="84"/>
      <c r="AA904" s="84"/>
      <c r="AB904" s="84"/>
      <c r="AC904" s="84"/>
      <c r="AD904" s="84"/>
      <c r="AE904" s="85"/>
    </row>
    <row r="905" s="63" customFormat="1" ht="14.4" customHeight="1" spans="1:31">
      <c r="A905" s="68">
        <v>904</v>
      </c>
      <c r="B905" s="69" t="s">
        <v>94</v>
      </c>
      <c r="C905" s="97" t="s">
        <v>279</v>
      </c>
      <c r="D905" s="97" t="s">
        <v>189</v>
      </c>
      <c r="E905" s="95" t="s">
        <v>115</v>
      </c>
      <c r="F905" s="96">
        <v>46124.8822453704</v>
      </c>
      <c r="G905" s="96">
        <v>46123.8824652778</v>
      </c>
      <c r="H905" s="86" t="s">
        <v>99</v>
      </c>
      <c r="I905" s="87">
        <v>12000</v>
      </c>
      <c r="J905" s="83" t="s">
        <v>116</v>
      </c>
      <c r="K905" s="88" t="s">
        <v>117</v>
      </c>
      <c r="L905" s="91">
        <v>45561.6753125</v>
      </c>
      <c r="M905" s="91">
        <v>45610.7963078704</v>
      </c>
      <c r="N905" s="84" t="s">
        <v>138</v>
      </c>
      <c r="O905" s="91">
        <v>45646.6181481481</v>
      </c>
      <c r="P905" s="91">
        <v>45652.6962962963</v>
      </c>
      <c r="Q905" s="84"/>
      <c r="R905" s="84"/>
      <c r="S905" s="84"/>
      <c r="T905" s="83" t="s">
        <v>117</v>
      </c>
      <c r="U905" s="91">
        <v>46101.7259490741</v>
      </c>
      <c r="V905" s="91">
        <v>46104.7713078704</v>
      </c>
      <c r="W905" s="84"/>
      <c r="X905" s="84"/>
      <c r="Y905" s="84"/>
      <c r="Z905" s="84"/>
      <c r="AA905" s="84"/>
      <c r="AB905" s="84"/>
      <c r="AC905" s="84"/>
      <c r="AD905" s="84"/>
      <c r="AE905" s="85"/>
    </row>
    <row r="906" s="63" customFormat="1" ht="14.4" customHeight="1" spans="1:31">
      <c r="A906" s="68">
        <v>905</v>
      </c>
      <c r="B906" s="69" t="s">
        <v>94</v>
      </c>
      <c r="C906" s="97" t="s">
        <v>279</v>
      </c>
      <c r="D906" s="97" t="s">
        <v>190</v>
      </c>
      <c r="E906" s="95" t="s">
        <v>115</v>
      </c>
      <c r="F906" s="96">
        <v>46124.8822453704</v>
      </c>
      <c r="G906" s="96">
        <v>46123.8824652778</v>
      </c>
      <c r="H906" s="86" t="s">
        <v>99</v>
      </c>
      <c r="I906" s="87">
        <v>12000</v>
      </c>
      <c r="J906" s="83" t="s">
        <v>116</v>
      </c>
      <c r="K906" s="88" t="s">
        <v>117</v>
      </c>
      <c r="L906" s="91">
        <v>45561.6753125</v>
      </c>
      <c r="M906" s="91">
        <v>45610.7963078704</v>
      </c>
      <c r="N906" s="84" t="s">
        <v>138</v>
      </c>
      <c r="O906" s="91">
        <v>45646.6181481481</v>
      </c>
      <c r="P906" s="91">
        <v>45652.6962962963</v>
      </c>
      <c r="Q906" s="93" t="s">
        <v>121</v>
      </c>
      <c r="R906" s="94">
        <v>46093.6749189815</v>
      </c>
      <c r="S906" s="94">
        <v>46094.7469212963</v>
      </c>
      <c r="T906" s="93" t="s">
        <v>120</v>
      </c>
      <c r="U906" s="94">
        <v>46104.8335185185</v>
      </c>
      <c r="V906" s="94">
        <v>46103.8337268519</v>
      </c>
      <c r="W906" s="84"/>
      <c r="X906" s="84"/>
      <c r="Y906" s="84"/>
      <c r="Z906" s="84"/>
      <c r="AA906" s="84"/>
      <c r="AB906" s="84"/>
      <c r="AC906" s="84"/>
      <c r="AD906" s="84"/>
      <c r="AE906" s="85"/>
    </row>
    <row r="907" s="63" customFormat="1" ht="14.4" customHeight="1" spans="1:31">
      <c r="A907" s="68">
        <v>906</v>
      </c>
      <c r="B907" s="69" t="s">
        <v>94</v>
      </c>
      <c r="C907" s="97" t="s">
        <v>279</v>
      </c>
      <c r="D907" s="97" t="s">
        <v>191</v>
      </c>
      <c r="E907" s="95" t="s">
        <v>115</v>
      </c>
      <c r="F907" s="96">
        <v>46124.8822453704</v>
      </c>
      <c r="G907" s="96">
        <v>46123.8824652778</v>
      </c>
      <c r="H907" s="86" t="s">
        <v>99</v>
      </c>
      <c r="I907" s="87">
        <v>12000</v>
      </c>
      <c r="J907" s="83" t="s">
        <v>116</v>
      </c>
      <c r="K907" s="88" t="s">
        <v>117</v>
      </c>
      <c r="L907" s="91">
        <v>45561.6753125</v>
      </c>
      <c r="M907" s="91">
        <v>45610.7963078704</v>
      </c>
      <c r="N907" s="84" t="s">
        <v>138</v>
      </c>
      <c r="O907" s="91">
        <v>45646.6181481481</v>
      </c>
      <c r="P907" s="91">
        <v>45652.6962962963</v>
      </c>
      <c r="Q907" s="93" t="s">
        <v>121</v>
      </c>
      <c r="R907" s="94">
        <v>46093.6749305556</v>
      </c>
      <c r="S907" s="94">
        <v>46094.7478125</v>
      </c>
      <c r="T907" s="93" t="s">
        <v>120</v>
      </c>
      <c r="U907" s="94">
        <v>46104.8335185185</v>
      </c>
      <c r="V907" s="94">
        <v>46103.8337268519</v>
      </c>
      <c r="W907" s="84"/>
      <c r="X907" s="84"/>
      <c r="Y907" s="84"/>
      <c r="Z907" s="84"/>
      <c r="AA907" s="84"/>
      <c r="AB907" s="84"/>
      <c r="AC907" s="84"/>
      <c r="AD907" s="84"/>
      <c r="AE907" s="85"/>
    </row>
    <row r="908" s="63" customFormat="1" ht="14.4" customHeight="1" spans="1:31">
      <c r="A908" s="68">
        <v>907</v>
      </c>
      <c r="B908" s="69" t="s">
        <v>94</v>
      </c>
      <c r="C908" s="97" t="s">
        <v>279</v>
      </c>
      <c r="D908" s="97" t="s">
        <v>192</v>
      </c>
      <c r="E908" s="95" t="s">
        <v>121</v>
      </c>
      <c r="F908" s="96">
        <v>46046.5837731482</v>
      </c>
      <c r="G908" s="96">
        <v>46050.4703935185</v>
      </c>
      <c r="H908" s="86" t="s">
        <v>99</v>
      </c>
      <c r="I908" s="87">
        <v>12000</v>
      </c>
      <c r="J908" s="83" t="s">
        <v>116</v>
      </c>
      <c r="K908" s="88" t="s">
        <v>117</v>
      </c>
      <c r="L908" s="91">
        <v>45561.6753125</v>
      </c>
      <c r="M908" s="91">
        <v>45610.7963078704</v>
      </c>
      <c r="N908" s="84" t="s">
        <v>138</v>
      </c>
      <c r="O908" s="91">
        <v>45646.6181481481</v>
      </c>
      <c r="P908" s="91">
        <v>45652.6962962963</v>
      </c>
      <c r="Q908" s="84"/>
      <c r="R908" s="84"/>
      <c r="S908" s="84"/>
      <c r="T908" s="84"/>
      <c r="U908" s="84"/>
      <c r="V908" s="84"/>
      <c r="W908" s="84"/>
      <c r="X908" s="84"/>
      <c r="Y908" s="84"/>
      <c r="Z908" s="84"/>
      <c r="AA908" s="84"/>
      <c r="AB908" s="84"/>
      <c r="AC908" s="84"/>
      <c r="AD908" s="84"/>
      <c r="AE908" s="85"/>
    </row>
    <row r="909" s="63" customFormat="1" ht="14.4" customHeight="1" spans="1:31">
      <c r="A909" s="68">
        <v>908</v>
      </c>
      <c r="B909" s="69" t="s">
        <v>94</v>
      </c>
      <c r="C909" s="97" t="s">
        <v>279</v>
      </c>
      <c r="D909" s="97" t="s">
        <v>193</v>
      </c>
      <c r="E909" s="95" t="s">
        <v>115</v>
      </c>
      <c r="F909" s="96">
        <v>46056.8821759259</v>
      </c>
      <c r="G909" s="96">
        <v>46055.8823263889</v>
      </c>
      <c r="H909" s="86" t="s">
        <v>99</v>
      </c>
      <c r="I909" s="87">
        <v>12000</v>
      </c>
      <c r="J909" s="83" t="s">
        <v>116</v>
      </c>
      <c r="K909" s="88" t="s">
        <v>117</v>
      </c>
      <c r="L909" s="91">
        <v>45561.6753125</v>
      </c>
      <c r="M909" s="91">
        <v>45610.7963078704</v>
      </c>
      <c r="N909" s="84" t="s">
        <v>138</v>
      </c>
      <c r="O909" s="91">
        <v>45646.6181481481</v>
      </c>
      <c r="P909" s="91">
        <v>45652.6962962963</v>
      </c>
      <c r="Q909" s="95" t="s">
        <v>121</v>
      </c>
      <c r="R909" s="96">
        <v>46043.7363310185</v>
      </c>
      <c r="S909" s="96">
        <v>46048.6464467593</v>
      </c>
      <c r="T909" s="95" t="s">
        <v>120</v>
      </c>
      <c r="U909" s="96">
        <v>46051.8341087963</v>
      </c>
      <c r="V909" s="96">
        <v>46050.8342592593</v>
      </c>
      <c r="W909" s="84"/>
      <c r="X909" s="84"/>
      <c r="Y909" s="84"/>
      <c r="Z909" s="84"/>
      <c r="AA909" s="84"/>
      <c r="AB909" s="84"/>
      <c r="AC909" s="84"/>
      <c r="AD909" s="84"/>
      <c r="AE909" s="85"/>
    </row>
    <row r="910" s="63" customFormat="1" ht="14.4" customHeight="1" spans="1:31">
      <c r="A910" s="68">
        <v>909</v>
      </c>
      <c r="B910" s="69" t="s">
        <v>94</v>
      </c>
      <c r="C910" s="97" t="s">
        <v>279</v>
      </c>
      <c r="D910" s="97" t="s">
        <v>194</v>
      </c>
      <c r="E910" s="95" t="s">
        <v>115</v>
      </c>
      <c r="F910" s="96">
        <v>46056.8821759259</v>
      </c>
      <c r="G910" s="96">
        <v>46055.8823263889</v>
      </c>
      <c r="H910" s="86" t="s">
        <v>99</v>
      </c>
      <c r="I910" s="87">
        <v>12000</v>
      </c>
      <c r="J910" s="83" t="s">
        <v>116</v>
      </c>
      <c r="K910" s="88" t="s">
        <v>117</v>
      </c>
      <c r="L910" s="91">
        <v>45561.6753125</v>
      </c>
      <c r="M910" s="91">
        <v>45610.7963078704</v>
      </c>
      <c r="N910" s="84" t="s">
        <v>138</v>
      </c>
      <c r="O910" s="91">
        <v>45646.6181481481</v>
      </c>
      <c r="P910" s="91">
        <v>45652.6962962963</v>
      </c>
      <c r="Q910" s="95" t="s">
        <v>121</v>
      </c>
      <c r="R910" s="96">
        <v>46043.736412037</v>
      </c>
      <c r="S910" s="96">
        <v>46047.4738657407</v>
      </c>
      <c r="T910" s="95" t="s">
        <v>120</v>
      </c>
      <c r="U910" s="96">
        <v>46051.8341087963</v>
      </c>
      <c r="V910" s="96">
        <v>46050.8342592593</v>
      </c>
      <c r="W910" s="84"/>
      <c r="X910" s="84"/>
      <c r="Y910" s="84"/>
      <c r="Z910" s="84"/>
      <c r="AA910" s="84"/>
      <c r="AB910" s="84"/>
      <c r="AC910" s="84"/>
      <c r="AD910" s="84"/>
      <c r="AE910" s="85"/>
    </row>
    <row r="911" s="63" customFormat="1" ht="14.4" customHeight="1" spans="1:31">
      <c r="A911" s="68">
        <v>910</v>
      </c>
      <c r="B911" s="69" t="s">
        <v>94</v>
      </c>
      <c r="C911" s="97" t="s">
        <v>279</v>
      </c>
      <c r="D911" s="97" t="s">
        <v>195</v>
      </c>
      <c r="E911" s="95" t="s">
        <v>121</v>
      </c>
      <c r="F911" s="96">
        <v>46046.5837731482</v>
      </c>
      <c r="G911" s="96">
        <v>46050.4704513889</v>
      </c>
      <c r="H911" s="86" t="s">
        <v>99</v>
      </c>
      <c r="I911" s="87">
        <v>12000</v>
      </c>
      <c r="J911" s="83" t="s">
        <v>116</v>
      </c>
      <c r="K911" s="88" t="s">
        <v>117</v>
      </c>
      <c r="L911" s="91">
        <v>45561.6753125</v>
      </c>
      <c r="M911" s="91">
        <v>45610.7963078704</v>
      </c>
      <c r="N911" s="84" t="s">
        <v>138</v>
      </c>
      <c r="O911" s="91">
        <v>45646.6181481481</v>
      </c>
      <c r="P911" s="91">
        <v>45652.6962962963</v>
      </c>
      <c r="Q911" s="84"/>
      <c r="R911" s="84"/>
      <c r="S911" s="84"/>
      <c r="T911" s="84"/>
      <c r="U911" s="84"/>
      <c r="V911" s="84"/>
      <c r="W911" s="84"/>
      <c r="X911" s="84"/>
      <c r="Y911" s="84"/>
      <c r="Z911" s="84"/>
      <c r="AA911" s="84"/>
      <c r="AB911" s="84"/>
      <c r="AC911" s="84"/>
      <c r="AD911" s="84"/>
      <c r="AE911" s="85"/>
    </row>
    <row r="912" s="63" customFormat="1" ht="14.4" customHeight="1" spans="1:31">
      <c r="A912" s="68">
        <v>911</v>
      </c>
      <c r="B912" s="69" t="s">
        <v>94</v>
      </c>
      <c r="C912" s="97" t="s">
        <v>279</v>
      </c>
      <c r="D912" s="97" t="s">
        <v>196</v>
      </c>
      <c r="E912" s="95" t="s">
        <v>115</v>
      </c>
      <c r="F912" s="96">
        <v>46056.8821759259</v>
      </c>
      <c r="G912" s="96">
        <v>46055.8823263889</v>
      </c>
      <c r="H912" s="86" t="s">
        <v>99</v>
      </c>
      <c r="I912" s="87">
        <v>12000</v>
      </c>
      <c r="J912" s="83" t="s">
        <v>116</v>
      </c>
      <c r="K912" s="88" t="s">
        <v>117</v>
      </c>
      <c r="L912" s="91">
        <v>45561.6753125</v>
      </c>
      <c r="M912" s="91">
        <v>45610.7963078704</v>
      </c>
      <c r="N912" s="84" t="s">
        <v>138</v>
      </c>
      <c r="O912" s="91">
        <v>45646.6181481481</v>
      </c>
      <c r="P912" s="91">
        <v>45652.6962962963</v>
      </c>
      <c r="Q912" s="95" t="s">
        <v>121</v>
      </c>
      <c r="R912" s="96">
        <v>46043.7363541667</v>
      </c>
      <c r="S912" s="96">
        <v>46047.4736458333</v>
      </c>
      <c r="T912" s="95" t="s">
        <v>120</v>
      </c>
      <c r="U912" s="96">
        <v>46051.8341087963</v>
      </c>
      <c r="V912" s="96">
        <v>46050.8342592593</v>
      </c>
      <c r="W912" s="84"/>
      <c r="X912" s="84"/>
      <c r="Y912" s="84"/>
      <c r="Z912" s="84"/>
      <c r="AA912" s="84"/>
      <c r="AB912" s="84"/>
      <c r="AC912" s="84"/>
      <c r="AD912" s="84"/>
      <c r="AE912" s="85"/>
    </row>
    <row r="913" s="63" customFormat="1" ht="14.4" customHeight="1" spans="1:31">
      <c r="A913" s="68">
        <v>912</v>
      </c>
      <c r="B913" s="69" t="s">
        <v>94</v>
      </c>
      <c r="C913" s="97" t="s">
        <v>279</v>
      </c>
      <c r="D913" s="97" t="s">
        <v>197</v>
      </c>
      <c r="E913" s="95" t="s">
        <v>115</v>
      </c>
      <c r="F913" s="96">
        <v>46056.8821759259</v>
      </c>
      <c r="G913" s="96">
        <v>46055.8823263889</v>
      </c>
      <c r="H913" s="86" t="s">
        <v>99</v>
      </c>
      <c r="I913" s="87">
        <v>12000</v>
      </c>
      <c r="J913" s="83" t="s">
        <v>116</v>
      </c>
      <c r="K913" s="88" t="s">
        <v>117</v>
      </c>
      <c r="L913" s="91">
        <v>45561.6753125</v>
      </c>
      <c r="M913" s="91">
        <v>45610.7963078704</v>
      </c>
      <c r="N913" s="84" t="s">
        <v>138</v>
      </c>
      <c r="O913" s="91">
        <v>45646.6181481481</v>
      </c>
      <c r="P913" s="91">
        <v>45652.6962962963</v>
      </c>
      <c r="Q913" s="95" t="s">
        <v>121</v>
      </c>
      <c r="R913" s="96">
        <v>46043.7363657407</v>
      </c>
      <c r="S913" s="96">
        <v>46047.4734143519</v>
      </c>
      <c r="T913" s="95" t="s">
        <v>120</v>
      </c>
      <c r="U913" s="96">
        <v>46051.8341087963</v>
      </c>
      <c r="V913" s="96">
        <v>46050.8342592593</v>
      </c>
      <c r="W913" s="84"/>
      <c r="X913" s="84"/>
      <c r="Y913" s="84"/>
      <c r="Z913" s="84"/>
      <c r="AA913" s="84"/>
      <c r="AB913" s="84"/>
      <c r="AC913" s="84"/>
      <c r="AD913" s="84"/>
      <c r="AE913" s="85"/>
    </row>
    <row r="914" s="63" customFormat="1" ht="14.4" customHeight="1" spans="1:31">
      <c r="A914" s="68">
        <v>913</v>
      </c>
      <c r="B914" s="69" t="s">
        <v>94</v>
      </c>
      <c r="C914" s="97" t="s">
        <v>279</v>
      </c>
      <c r="D914" s="97" t="s">
        <v>198</v>
      </c>
      <c r="E914" s="95" t="s">
        <v>121</v>
      </c>
      <c r="F914" s="96">
        <v>46046.5837731482</v>
      </c>
      <c r="G914" s="96">
        <v>46050.4704976852</v>
      </c>
      <c r="H914" s="86" t="s">
        <v>99</v>
      </c>
      <c r="I914" s="87">
        <v>12000</v>
      </c>
      <c r="J914" s="83" t="s">
        <v>116</v>
      </c>
      <c r="K914" s="89"/>
      <c r="L914" s="90"/>
      <c r="M914" s="82"/>
      <c r="N914" s="84"/>
      <c r="O914" s="84"/>
      <c r="P914" s="84"/>
      <c r="Q914" s="84"/>
      <c r="R914" s="84"/>
      <c r="S914" s="84"/>
      <c r="T914" s="84"/>
      <c r="U914" s="84"/>
      <c r="V914" s="84"/>
      <c r="W914" s="84"/>
      <c r="X914" s="84"/>
      <c r="Y914" s="84"/>
      <c r="Z914" s="84"/>
      <c r="AA914" s="84"/>
      <c r="AB914" s="84"/>
      <c r="AC914" s="84"/>
      <c r="AD914" s="84"/>
      <c r="AE914" s="85"/>
    </row>
    <row r="915" s="63" customFormat="1" ht="14.4" customHeight="1" spans="1:31">
      <c r="A915" s="68">
        <v>914</v>
      </c>
      <c r="B915" s="69" t="s">
        <v>94</v>
      </c>
      <c r="C915" s="97" t="s">
        <v>279</v>
      </c>
      <c r="D915" s="97" t="s">
        <v>199</v>
      </c>
      <c r="E915" s="95" t="s">
        <v>115</v>
      </c>
      <c r="F915" s="96">
        <v>46056.8821759259</v>
      </c>
      <c r="G915" s="96">
        <v>46055.8823263889</v>
      </c>
      <c r="H915" s="86" t="s">
        <v>99</v>
      </c>
      <c r="I915" s="87">
        <v>12000</v>
      </c>
      <c r="J915" s="83" t="s">
        <v>116</v>
      </c>
      <c r="K915" s="95" t="s">
        <v>121</v>
      </c>
      <c r="L915" s="96">
        <v>46043.7363541667</v>
      </c>
      <c r="M915" s="96">
        <v>46047.4720717593</v>
      </c>
      <c r="N915" s="95" t="s">
        <v>120</v>
      </c>
      <c r="O915" s="96">
        <v>46051.8341087963</v>
      </c>
      <c r="P915" s="96">
        <v>46050.8342592593</v>
      </c>
      <c r="Q915" s="84"/>
      <c r="R915" s="84"/>
      <c r="S915" s="84"/>
      <c r="T915" s="84"/>
      <c r="U915" s="84"/>
      <c r="V915" s="84"/>
      <c r="W915" s="84"/>
      <c r="X915" s="84"/>
      <c r="Y915" s="84"/>
      <c r="Z915" s="84"/>
      <c r="AA915" s="84"/>
      <c r="AB915" s="84"/>
      <c r="AC915" s="84"/>
      <c r="AD915" s="84"/>
      <c r="AE915" s="85"/>
    </row>
    <row r="916" s="63" customFormat="1" ht="14.4" customHeight="1" spans="1:31">
      <c r="A916" s="68">
        <v>915</v>
      </c>
      <c r="B916" s="69" t="s">
        <v>94</v>
      </c>
      <c r="C916" s="97" t="s">
        <v>279</v>
      </c>
      <c r="D916" s="97" t="s">
        <v>200</v>
      </c>
      <c r="E916" s="95" t="s">
        <v>115</v>
      </c>
      <c r="F916" s="96">
        <v>46056.8821759259</v>
      </c>
      <c r="G916" s="96">
        <v>46055.8823263889</v>
      </c>
      <c r="H916" s="86" t="s">
        <v>99</v>
      </c>
      <c r="I916" s="87">
        <v>12000</v>
      </c>
      <c r="J916" s="83" t="s">
        <v>116</v>
      </c>
      <c r="K916" s="95" t="s">
        <v>121</v>
      </c>
      <c r="L916" s="96">
        <v>46043.7363541667</v>
      </c>
      <c r="M916" s="96">
        <v>46047.6690856482</v>
      </c>
      <c r="N916" s="95" t="s">
        <v>120</v>
      </c>
      <c r="O916" s="96">
        <v>46051.8341087963</v>
      </c>
      <c r="P916" s="96">
        <v>46050.8342592593</v>
      </c>
      <c r="Q916" s="84"/>
      <c r="R916" s="84"/>
      <c r="S916" s="84"/>
      <c r="T916" s="84"/>
      <c r="U916" s="84"/>
      <c r="V916" s="84"/>
      <c r="W916" s="84"/>
      <c r="X916" s="84"/>
      <c r="Y916" s="84"/>
      <c r="Z916" s="84"/>
      <c r="AA916" s="84"/>
      <c r="AB916" s="84"/>
      <c r="AC916" s="84"/>
      <c r="AD916" s="84"/>
      <c r="AE916" s="85"/>
    </row>
    <row r="917" s="63" customFormat="1" ht="14.4" customHeight="1" spans="1:31">
      <c r="A917" s="68">
        <v>916</v>
      </c>
      <c r="B917" s="69" t="s">
        <v>94</v>
      </c>
      <c r="C917" s="97" t="s">
        <v>279</v>
      </c>
      <c r="D917" s="97" t="s">
        <v>201</v>
      </c>
      <c r="E917" s="95" t="s">
        <v>121</v>
      </c>
      <c r="F917" s="96">
        <v>46046.5837731482</v>
      </c>
      <c r="G917" s="96">
        <v>46050.4705555556</v>
      </c>
      <c r="H917" s="86" t="s">
        <v>99</v>
      </c>
      <c r="I917" s="87">
        <v>12000</v>
      </c>
      <c r="J917" s="83" t="s">
        <v>116</v>
      </c>
      <c r="K917" s="89"/>
      <c r="L917" s="90"/>
      <c r="M917" s="82"/>
      <c r="N917" s="84"/>
      <c r="O917" s="84"/>
      <c r="P917" s="84"/>
      <c r="Q917" s="84"/>
      <c r="R917" s="84"/>
      <c r="S917" s="84"/>
      <c r="T917" s="84"/>
      <c r="U917" s="84"/>
      <c r="V917" s="84"/>
      <c r="W917" s="84"/>
      <c r="X917" s="84"/>
      <c r="Y917" s="84"/>
      <c r="Z917" s="84"/>
      <c r="AA917" s="84"/>
      <c r="AB917" s="84"/>
      <c r="AC917" s="84"/>
      <c r="AD917" s="84"/>
      <c r="AE917" s="85"/>
    </row>
    <row r="918" s="63" customFormat="1" ht="14.4" customHeight="1" spans="1:31">
      <c r="A918" s="68">
        <v>917</v>
      </c>
      <c r="B918" s="69" t="s">
        <v>94</v>
      </c>
      <c r="C918" s="97" t="s">
        <v>279</v>
      </c>
      <c r="D918" s="97" t="s">
        <v>202</v>
      </c>
      <c r="E918" s="95" t="s">
        <v>115</v>
      </c>
      <c r="F918" s="96">
        <v>46056.8821759259</v>
      </c>
      <c r="G918" s="96">
        <v>46055.8823263889</v>
      </c>
      <c r="H918" s="86" t="s">
        <v>99</v>
      </c>
      <c r="I918" s="87">
        <v>12000</v>
      </c>
      <c r="J918" s="83" t="s">
        <v>116</v>
      </c>
      <c r="K918" s="95" t="s">
        <v>121</v>
      </c>
      <c r="L918" s="96">
        <v>46043.7363657407</v>
      </c>
      <c r="M918" s="96">
        <v>46047.6692361111</v>
      </c>
      <c r="N918" s="95" t="s">
        <v>120</v>
      </c>
      <c r="O918" s="96">
        <v>46051.8341087963</v>
      </c>
      <c r="P918" s="96">
        <v>46050.8342592593</v>
      </c>
      <c r="Q918" s="84"/>
      <c r="R918" s="84"/>
      <c r="S918" s="84"/>
      <c r="T918" s="84"/>
      <c r="U918" s="84"/>
      <c r="V918" s="84"/>
      <c r="W918" s="84"/>
      <c r="X918" s="84"/>
      <c r="Y918" s="84"/>
      <c r="Z918" s="84"/>
      <c r="AA918" s="84"/>
      <c r="AB918" s="84"/>
      <c r="AC918" s="84"/>
      <c r="AD918" s="84"/>
      <c r="AE918" s="85"/>
    </row>
    <row r="919" s="63" customFormat="1" ht="14.4" customHeight="1" spans="1:31">
      <c r="A919" s="68">
        <v>918</v>
      </c>
      <c r="B919" s="69" t="s">
        <v>94</v>
      </c>
      <c r="C919" s="97" t="s">
        <v>279</v>
      </c>
      <c r="D919" s="97" t="s">
        <v>203</v>
      </c>
      <c r="E919" s="95" t="s">
        <v>115</v>
      </c>
      <c r="F919" s="96">
        <v>46056.8821759259</v>
      </c>
      <c r="G919" s="96">
        <v>46055.8823263889</v>
      </c>
      <c r="H919" s="86" t="s">
        <v>99</v>
      </c>
      <c r="I919" s="87">
        <v>12000</v>
      </c>
      <c r="J919" s="83" t="s">
        <v>116</v>
      </c>
      <c r="K919" s="95" t="s">
        <v>121</v>
      </c>
      <c r="L919" s="96">
        <v>46043.7363773148</v>
      </c>
      <c r="M919" s="96">
        <v>46047.6680555556</v>
      </c>
      <c r="N919" s="95" t="s">
        <v>120</v>
      </c>
      <c r="O919" s="96">
        <v>46051.8341087963</v>
      </c>
      <c r="P919" s="96">
        <v>46050.8342592593</v>
      </c>
      <c r="Q919" s="84"/>
      <c r="R919" s="84"/>
      <c r="S919" s="84"/>
      <c r="T919" s="84"/>
      <c r="U919" s="84"/>
      <c r="V919" s="84"/>
      <c r="W919" s="84"/>
      <c r="X919" s="84"/>
      <c r="Y919" s="84"/>
      <c r="Z919" s="84"/>
      <c r="AA919" s="84"/>
      <c r="AB919" s="84"/>
      <c r="AC919" s="84"/>
      <c r="AD919" s="84"/>
      <c r="AE919" s="85"/>
    </row>
    <row r="920" s="63" customFormat="1" ht="14.4" customHeight="1" spans="1:31">
      <c r="A920" s="68">
        <v>919</v>
      </c>
      <c r="B920" s="69" t="s">
        <v>94</v>
      </c>
      <c r="C920" s="70" t="s">
        <v>279</v>
      </c>
      <c r="D920" s="84" t="s">
        <v>204</v>
      </c>
      <c r="E920" s="88"/>
      <c r="F920" s="84"/>
      <c r="G920" s="84"/>
      <c r="H920" s="86" t="s">
        <v>99</v>
      </c>
      <c r="I920" s="87">
        <v>12000</v>
      </c>
      <c r="J920" s="84"/>
      <c r="K920" s="89"/>
      <c r="L920" s="90"/>
      <c r="M920" s="82"/>
      <c r="N920" s="84"/>
      <c r="O920" s="84"/>
      <c r="P920" s="84"/>
      <c r="Q920" s="84"/>
      <c r="R920" s="84"/>
      <c r="S920" s="84"/>
      <c r="T920" s="84"/>
      <c r="U920" s="84"/>
      <c r="V920" s="84"/>
      <c r="W920" s="84"/>
      <c r="X920" s="84"/>
      <c r="Y920" s="84"/>
      <c r="Z920" s="84"/>
      <c r="AA920" s="84"/>
      <c r="AB920" s="84"/>
      <c r="AC920" s="84"/>
      <c r="AD920" s="84"/>
      <c r="AE920" s="85"/>
    </row>
    <row r="921" s="63" customFormat="1" ht="14.4" customHeight="1" spans="1:31">
      <c r="A921" s="68">
        <v>920</v>
      </c>
      <c r="B921" s="69" t="s">
        <v>94</v>
      </c>
      <c r="C921" s="70" t="s">
        <v>279</v>
      </c>
      <c r="D921" s="84" t="s">
        <v>205</v>
      </c>
      <c r="E921" s="88"/>
      <c r="F921" s="84"/>
      <c r="G921" s="84"/>
      <c r="H921" s="86" t="s">
        <v>99</v>
      </c>
      <c r="I921" s="87">
        <v>12000</v>
      </c>
      <c r="J921" s="84"/>
      <c r="K921" s="89"/>
      <c r="L921" s="90"/>
      <c r="M921" s="82"/>
      <c r="N921" s="84"/>
      <c r="O921" s="84"/>
      <c r="P921" s="84"/>
      <c r="Q921" s="84"/>
      <c r="R921" s="84"/>
      <c r="S921" s="84"/>
      <c r="T921" s="84"/>
      <c r="U921" s="84"/>
      <c r="V921" s="84"/>
      <c r="W921" s="84"/>
      <c r="X921" s="84"/>
      <c r="Y921" s="84"/>
      <c r="Z921" s="84"/>
      <c r="AA921" s="84"/>
      <c r="AB921" s="84"/>
      <c r="AC921" s="84"/>
      <c r="AD921" s="84"/>
      <c r="AE921" s="85"/>
    </row>
    <row r="922" s="63" customFormat="1" ht="14.4" customHeight="1" spans="1:31">
      <c r="A922" s="68">
        <v>921</v>
      </c>
      <c r="B922" s="69" t="s">
        <v>94</v>
      </c>
      <c r="C922" s="97" t="s">
        <v>279</v>
      </c>
      <c r="D922" s="97" t="s">
        <v>206</v>
      </c>
      <c r="E922" s="95" t="s">
        <v>115</v>
      </c>
      <c r="F922" s="96">
        <v>46124.8822453704</v>
      </c>
      <c r="G922" s="96">
        <v>46123.8824652778</v>
      </c>
      <c r="H922" s="79" t="s">
        <v>97</v>
      </c>
      <c r="I922" s="80">
        <v>16000</v>
      </c>
      <c r="J922" s="83" t="s">
        <v>116</v>
      </c>
      <c r="K922" s="93" t="s">
        <v>121</v>
      </c>
      <c r="L922" s="94">
        <v>46093.6749189815</v>
      </c>
      <c r="M922" s="94">
        <v>46094.7479513889</v>
      </c>
      <c r="N922" s="84"/>
      <c r="O922" s="84"/>
      <c r="P922" s="84"/>
      <c r="Q922" s="84"/>
      <c r="R922" s="84"/>
      <c r="S922" s="84"/>
      <c r="T922" s="111" t="s">
        <v>120</v>
      </c>
      <c r="U922" s="112">
        <v>46100.8336226852</v>
      </c>
      <c r="V922" s="112">
        <v>46099.8338541667</v>
      </c>
      <c r="W922" s="84"/>
      <c r="X922" s="84"/>
      <c r="Y922" s="84"/>
      <c r="Z922" s="84"/>
      <c r="AA922" s="84"/>
      <c r="AB922" s="84"/>
      <c r="AC922" s="84"/>
      <c r="AD922" s="84"/>
      <c r="AE922" s="85"/>
    </row>
    <row r="923" s="63" customFormat="1" ht="14.4" customHeight="1" spans="1:31">
      <c r="A923" s="68">
        <v>922</v>
      </c>
      <c r="B923" s="69" t="s">
        <v>94</v>
      </c>
      <c r="C923" s="97" t="s">
        <v>279</v>
      </c>
      <c r="D923" s="97" t="s">
        <v>207</v>
      </c>
      <c r="E923" s="95" t="s">
        <v>115</v>
      </c>
      <c r="F923" s="96">
        <v>46125.8821875</v>
      </c>
      <c r="G923" s="96">
        <v>46124.8823958333</v>
      </c>
      <c r="H923" s="86" t="s">
        <v>99</v>
      </c>
      <c r="I923" s="87">
        <v>12000</v>
      </c>
      <c r="J923" s="83" t="s">
        <v>116</v>
      </c>
      <c r="K923" s="88" t="s">
        <v>117</v>
      </c>
      <c r="L923" s="91">
        <v>45561.6753125</v>
      </c>
      <c r="M923" s="91">
        <v>45610.7963078704</v>
      </c>
      <c r="N923" s="84" t="s">
        <v>138</v>
      </c>
      <c r="O923" s="91">
        <v>45646.6181481481</v>
      </c>
      <c r="P923" s="91">
        <v>45652.6962962963</v>
      </c>
      <c r="Q923" s="93" t="s">
        <v>121</v>
      </c>
      <c r="R923" s="94">
        <v>46093.6749189815</v>
      </c>
      <c r="S923" s="94">
        <v>46097.6586226852</v>
      </c>
      <c r="T923" s="93" t="s">
        <v>120</v>
      </c>
      <c r="U923" s="94">
        <v>46103.8344444444</v>
      </c>
      <c r="V923" s="94">
        <v>46102.8346643519</v>
      </c>
      <c r="W923" s="84"/>
      <c r="X923" s="84"/>
      <c r="Y923" s="84"/>
      <c r="Z923" s="84"/>
      <c r="AA923" s="84"/>
      <c r="AB923" s="84"/>
      <c r="AC923" s="84"/>
      <c r="AD923" s="84"/>
      <c r="AE923" s="85"/>
    </row>
    <row r="924" s="63" customFormat="1" ht="14.4" customHeight="1" spans="1:31">
      <c r="A924" s="68">
        <v>923</v>
      </c>
      <c r="B924" s="69" t="s">
        <v>94</v>
      </c>
      <c r="C924" s="97" t="s">
        <v>279</v>
      </c>
      <c r="D924" s="97" t="s">
        <v>208</v>
      </c>
      <c r="E924" s="95" t="s">
        <v>115</v>
      </c>
      <c r="F924" s="96">
        <v>46125.8821875</v>
      </c>
      <c r="G924" s="96">
        <v>46124.8823958333</v>
      </c>
      <c r="H924" s="86" t="s">
        <v>99</v>
      </c>
      <c r="I924" s="87">
        <v>12000</v>
      </c>
      <c r="J924" s="83" t="s">
        <v>116</v>
      </c>
      <c r="K924" s="88" t="s">
        <v>117</v>
      </c>
      <c r="L924" s="91">
        <v>45561.6753125</v>
      </c>
      <c r="M924" s="91">
        <v>45610.7963078704</v>
      </c>
      <c r="N924" s="84" t="s">
        <v>138</v>
      </c>
      <c r="O924" s="91">
        <v>45646.6181481481</v>
      </c>
      <c r="P924" s="91">
        <v>45652.6962962963</v>
      </c>
      <c r="Q924" s="84"/>
      <c r="R924" s="84"/>
      <c r="S924" s="84"/>
      <c r="T924" s="83" t="s">
        <v>117</v>
      </c>
      <c r="U924" s="91">
        <v>46101.7259490741</v>
      </c>
      <c r="V924" s="91">
        <v>46104.7713078704</v>
      </c>
      <c r="W924" s="84"/>
      <c r="X924" s="84"/>
      <c r="Y924" s="84"/>
      <c r="Z924" s="84"/>
      <c r="AA924" s="84"/>
      <c r="AB924" s="84"/>
      <c r="AC924" s="84"/>
      <c r="AD924" s="84"/>
      <c r="AE924" s="85"/>
    </row>
    <row r="925" s="63" customFormat="1" ht="14.4" customHeight="1" spans="1:31">
      <c r="A925" s="68">
        <v>924</v>
      </c>
      <c r="B925" s="69" t="s">
        <v>94</v>
      </c>
      <c r="C925" s="97" t="s">
        <v>279</v>
      </c>
      <c r="D925" s="97" t="s">
        <v>209</v>
      </c>
      <c r="E925" s="95" t="s">
        <v>115</v>
      </c>
      <c r="F925" s="96">
        <v>46056.8821759259</v>
      </c>
      <c r="G925" s="96">
        <v>46055.8823263889</v>
      </c>
      <c r="H925" s="86" t="s">
        <v>99</v>
      </c>
      <c r="I925" s="87">
        <v>12000</v>
      </c>
      <c r="J925" s="83" t="s">
        <v>116</v>
      </c>
      <c r="K925" s="88" t="s">
        <v>117</v>
      </c>
      <c r="L925" s="91">
        <v>45561.6753125</v>
      </c>
      <c r="M925" s="91">
        <v>45610.7963078704</v>
      </c>
      <c r="N925" s="84" t="s">
        <v>138</v>
      </c>
      <c r="O925" s="91">
        <v>45646.6181481481</v>
      </c>
      <c r="P925" s="91">
        <v>45652.6962962963</v>
      </c>
      <c r="Q925" s="95" t="s">
        <v>121</v>
      </c>
      <c r="R925" s="96">
        <v>46043.7363425926</v>
      </c>
      <c r="S925" s="96">
        <v>46044.720150463</v>
      </c>
      <c r="T925" s="95" t="s">
        <v>120</v>
      </c>
      <c r="U925" s="96">
        <v>46051.8341087963</v>
      </c>
      <c r="V925" s="96">
        <v>46050.8342592593</v>
      </c>
      <c r="W925" s="84"/>
      <c r="X925" s="84"/>
      <c r="Y925" s="84"/>
      <c r="Z925" s="84"/>
      <c r="AA925" s="84"/>
      <c r="AB925" s="84"/>
      <c r="AC925" s="84"/>
      <c r="AD925" s="84"/>
      <c r="AE925" s="85"/>
    </row>
    <row r="926" s="63" customFormat="1" ht="14.4" customHeight="1" spans="1:31">
      <c r="A926" s="68">
        <v>925</v>
      </c>
      <c r="B926" s="69" t="s">
        <v>94</v>
      </c>
      <c r="C926" s="97" t="s">
        <v>279</v>
      </c>
      <c r="D926" s="97" t="s">
        <v>210</v>
      </c>
      <c r="E926" s="95" t="s">
        <v>115</v>
      </c>
      <c r="F926" s="96">
        <v>46056.8821759259</v>
      </c>
      <c r="G926" s="96">
        <v>46055.8823263889</v>
      </c>
      <c r="H926" s="86" t="s">
        <v>99</v>
      </c>
      <c r="I926" s="87">
        <v>12000</v>
      </c>
      <c r="J926" s="83" t="s">
        <v>116</v>
      </c>
      <c r="K926" s="88" t="s">
        <v>117</v>
      </c>
      <c r="L926" s="91">
        <v>45561.6753125</v>
      </c>
      <c r="M926" s="91">
        <v>45610.7963078704</v>
      </c>
      <c r="N926" s="84" t="s">
        <v>138</v>
      </c>
      <c r="O926" s="91">
        <v>45646.6181481481</v>
      </c>
      <c r="P926" s="91">
        <v>45652.6962962963</v>
      </c>
      <c r="Q926" s="95" t="s">
        <v>121</v>
      </c>
      <c r="R926" s="96">
        <v>46043.7363773148</v>
      </c>
      <c r="S926" s="96">
        <v>46044.7207175926</v>
      </c>
      <c r="T926" s="95" t="s">
        <v>120</v>
      </c>
      <c r="U926" s="96">
        <v>46051.8341087963</v>
      </c>
      <c r="V926" s="96">
        <v>46050.8342592593</v>
      </c>
      <c r="W926" s="84"/>
      <c r="X926" s="84"/>
      <c r="Y926" s="84"/>
      <c r="Z926" s="84"/>
      <c r="AA926" s="84"/>
      <c r="AB926" s="84"/>
      <c r="AC926" s="84"/>
      <c r="AD926" s="84"/>
      <c r="AE926" s="85"/>
    </row>
    <row r="927" s="63" customFormat="1" ht="14.4" customHeight="1" spans="1:31">
      <c r="A927" s="68">
        <v>926</v>
      </c>
      <c r="B927" s="69" t="s">
        <v>94</v>
      </c>
      <c r="C927" s="97" t="s">
        <v>279</v>
      </c>
      <c r="D927" s="97" t="s">
        <v>211</v>
      </c>
      <c r="E927" s="95" t="s">
        <v>121</v>
      </c>
      <c r="F927" s="96">
        <v>46046.5837731482</v>
      </c>
      <c r="G927" s="96">
        <v>46050.6121296296</v>
      </c>
      <c r="H927" s="86" t="s">
        <v>99</v>
      </c>
      <c r="I927" s="87">
        <v>12000</v>
      </c>
      <c r="J927" s="83" t="s">
        <v>116</v>
      </c>
      <c r="K927" s="88" t="s">
        <v>117</v>
      </c>
      <c r="L927" s="91">
        <v>45561.6753125</v>
      </c>
      <c r="M927" s="91">
        <v>45610.7963078704</v>
      </c>
      <c r="N927" s="84" t="s">
        <v>138</v>
      </c>
      <c r="O927" s="91">
        <v>45646.6181481481</v>
      </c>
      <c r="P927" s="91">
        <v>45652.6962962963</v>
      </c>
      <c r="Q927" s="84"/>
      <c r="R927" s="84"/>
      <c r="S927" s="84"/>
      <c r="T927" s="84"/>
      <c r="U927" s="84"/>
      <c r="V927" s="84"/>
      <c r="W927" s="84"/>
      <c r="X927" s="84"/>
      <c r="Y927" s="84"/>
      <c r="Z927" s="84"/>
      <c r="AA927" s="84"/>
      <c r="AB927" s="84"/>
      <c r="AC927" s="84"/>
      <c r="AD927" s="84"/>
      <c r="AE927" s="85"/>
    </row>
    <row r="928" s="63" customFormat="1" ht="14.4" customHeight="1" spans="1:31">
      <c r="A928" s="68">
        <v>927</v>
      </c>
      <c r="B928" s="69" t="s">
        <v>94</v>
      </c>
      <c r="C928" s="97" t="s">
        <v>279</v>
      </c>
      <c r="D928" s="97" t="s">
        <v>212</v>
      </c>
      <c r="E928" s="95" t="s">
        <v>115</v>
      </c>
      <c r="F928" s="96">
        <v>46056.8821759259</v>
      </c>
      <c r="G928" s="96">
        <v>46055.8823263889</v>
      </c>
      <c r="H928" s="86" t="s">
        <v>99</v>
      </c>
      <c r="I928" s="87">
        <v>12000</v>
      </c>
      <c r="J928" s="83" t="s">
        <v>116</v>
      </c>
      <c r="K928" s="88" t="s">
        <v>117</v>
      </c>
      <c r="L928" s="91">
        <v>45561.6753125</v>
      </c>
      <c r="M928" s="91">
        <v>45610.7963078704</v>
      </c>
      <c r="N928" s="84" t="s">
        <v>138</v>
      </c>
      <c r="O928" s="91">
        <v>45646.6181481481</v>
      </c>
      <c r="P928" s="91">
        <v>45652.6962962963</v>
      </c>
      <c r="Q928" s="95" t="s">
        <v>121</v>
      </c>
      <c r="R928" s="96">
        <v>46043.7363888889</v>
      </c>
      <c r="S928" s="96">
        <v>46044.722349537</v>
      </c>
      <c r="T928" s="95" t="s">
        <v>120</v>
      </c>
      <c r="U928" s="96">
        <v>46051.8341087963</v>
      </c>
      <c r="V928" s="96">
        <v>46050.8342592593</v>
      </c>
      <c r="W928" s="84"/>
      <c r="X928" s="84"/>
      <c r="Y928" s="84"/>
      <c r="Z928" s="84"/>
      <c r="AA928" s="84"/>
      <c r="AB928" s="84"/>
      <c r="AC928" s="84"/>
      <c r="AD928" s="84"/>
      <c r="AE928" s="85"/>
    </row>
    <row r="929" s="63" customFormat="1" ht="14.4" customHeight="1" spans="1:31">
      <c r="A929" s="68">
        <v>928</v>
      </c>
      <c r="B929" s="69" t="s">
        <v>94</v>
      </c>
      <c r="C929" s="97" t="s">
        <v>279</v>
      </c>
      <c r="D929" s="97" t="s">
        <v>213</v>
      </c>
      <c r="E929" s="95" t="s">
        <v>115</v>
      </c>
      <c r="F929" s="96">
        <v>46056.8821759259</v>
      </c>
      <c r="G929" s="96">
        <v>46055.8823263889</v>
      </c>
      <c r="H929" s="86" t="s">
        <v>99</v>
      </c>
      <c r="I929" s="87">
        <v>12000</v>
      </c>
      <c r="J929" s="83" t="s">
        <v>116</v>
      </c>
      <c r="K929" s="88" t="s">
        <v>117</v>
      </c>
      <c r="L929" s="91">
        <v>45561.6753125</v>
      </c>
      <c r="M929" s="91">
        <v>45610.7963078704</v>
      </c>
      <c r="N929" s="84" t="s">
        <v>138</v>
      </c>
      <c r="O929" s="91">
        <v>45646.6181481481</v>
      </c>
      <c r="P929" s="91">
        <v>45652.6962962963</v>
      </c>
      <c r="Q929" s="95" t="s">
        <v>121</v>
      </c>
      <c r="R929" s="96">
        <v>46043.7363425926</v>
      </c>
      <c r="S929" s="96">
        <v>46044.7243981482</v>
      </c>
      <c r="T929" s="95" t="s">
        <v>120</v>
      </c>
      <c r="U929" s="96">
        <v>46051.8341087963</v>
      </c>
      <c r="V929" s="96">
        <v>46050.8342592593</v>
      </c>
      <c r="W929" s="84"/>
      <c r="X929" s="84"/>
      <c r="Y929" s="84"/>
      <c r="Z929" s="84"/>
      <c r="AA929" s="84"/>
      <c r="AB929" s="84"/>
      <c r="AC929" s="84"/>
      <c r="AD929" s="84"/>
      <c r="AE929" s="85"/>
    </row>
    <row r="930" s="63" customFormat="1" ht="14.4" customHeight="1" spans="1:31">
      <c r="A930" s="68">
        <v>929</v>
      </c>
      <c r="B930" s="69" t="s">
        <v>94</v>
      </c>
      <c r="C930" s="97" t="s">
        <v>279</v>
      </c>
      <c r="D930" s="97" t="s">
        <v>214</v>
      </c>
      <c r="E930" s="95" t="s">
        <v>121</v>
      </c>
      <c r="F930" s="96">
        <v>46046.5837731482</v>
      </c>
      <c r="G930" s="96">
        <v>46050.6137384259</v>
      </c>
      <c r="H930" s="86" t="s">
        <v>99</v>
      </c>
      <c r="I930" s="87">
        <v>12000</v>
      </c>
      <c r="J930" s="83" t="s">
        <v>116</v>
      </c>
      <c r="K930" s="88" t="s">
        <v>117</v>
      </c>
      <c r="L930" s="91">
        <v>45561.6753125</v>
      </c>
      <c r="M930" s="91">
        <v>45610.7963078704</v>
      </c>
      <c r="N930" s="84" t="s">
        <v>138</v>
      </c>
      <c r="O930" s="91">
        <v>45646.6181481481</v>
      </c>
      <c r="P930" s="91">
        <v>45652.6962962963</v>
      </c>
      <c r="Q930" s="84"/>
      <c r="R930" s="84"/>
      <c r="S930" s="84"/>
      <c r="T930" s="84"/>
      <c r="U930" s="84"/>
      <c r="V930" s="84"/>
      <c r="W930" s="84"/>
      <c r="X930" s="84"/>
      <c r="Y930" s="84"/>
      <c r="Z930" s="84"/>
      <c r="AA930" s="84"/>
      <c r="AB930" s="84"/>
      <c r="AC930" s="84"/>
      <c r="AD930" s="84"/>
      <c r="AE930" s="85"/>
    </row>
    <row r="931" s="63" customFormat="1" ht="14.4" customHeight="1" spans="1:31">
      <c r="A931" s="68">
        <v>930</v>
      </c>
      <c r="B931" s="69" t="s">
        <v>94</v>
      </c>
      <c r="C931" s="97" t="s">
        <v>279</v>
      </c>
      <c r="D931" s="97" t="s">
        <v>215</v>
      </c>
      <c r="E931" s="95" t="s">
        <v>115</v>
      </c>
      <c r="F931" s="96">
        <v>46056.8821759259</v>
      </c>
      <c r="G931" s="96">
        <v>46055.8823263889</v>
      </c>
      <c r="H931" s="86" t="s">
        <v>99</v>
      </c>
      <c r="I931" s="87">
        <v>12000</v>
      </c>
      <c r="J931" s="83" t="s">
        <v>116</v>
      </c>
      <c r="K931" s="88" t="s">
        <v>117</v>
      </c>
      <c r="L931" s="91">
        <v>45561.6753125</v>
      </c>
      <c r="M931" s="91">
        <v>45610.7963078704</v>
      </c>
      <c r="N931" s="84" t="s">
        <v>138</v>
      </c>
      <c r="O931" s="91">
        <v>45646.6181481481</v>
      </c>
      <c r="P931" s="91">
        <v>45652.6962962963</v>
      </c>
      <c r="Q931" s="95" t="s">
        <v>121</v>
      </c>
      <c r="R931" s="96">
        <v>46043.7363657407</v>
      </c>
      <c r="S931" s="96">
        <v>46044.7359490741</v>
      </c>
      <c r="T931" s="95" t="s">
        <v>120</v>
      </c>
      <c r="U931" s="96">
        <v>46051.8341087963</v>
      </c>
      <c r="V931" s="96">
        <v>46050.8342592593</v>
      </c>
      <c r="W931" s="84"/>
      <c r="X931" s="84"/>
      <c r="Y931" s="84"/>
      <c r="Z931" s="84"/>
      <c r="AA931" s="84"/>
      <c r="AB931" s="84"/>
      <c r="AC931" s="84"/>
      <c r="AD931" s="84"/>
      <c r="AE931" s="85"/>
    </row>
    <row r="932" s="63" customFormat="1" ht="14.4" customHeight="1" spans="1:31">
      <c r="A932" s="68">
        <v>931</v>
      </c>
      <c r="B932" s="69" t="s">
        <v>94</v>
      </c>
      <c r="C932" s="97" t="s">
        <v>279</v>
      </c>
      <c r="D932" s="97" t="s">
        <v>216</v>
      </c>
      <c r="E932" s="95" t="s">
        <v>115</v>
      </c>
      <c r="F932" s="96">
        <v>46056.8821759259</v>
      </c>
      <c r="G932" s="96">
        <v>46055.8823263889</v>
      </c>
      <c r="H932" s="86" t="s">
        <v>99</v>
      </c>
      <c r="I932" s="87">
        <v>12000</v>
      </c>
      <c r="J932" s="83" t="s">
        <v>116</v>
      </c>
      <c r="K932" s="95" t="s">
        <v>121</v>
      </c>
      <c r="L932" s="96">
        <v>46043.7363541667</v>
      </c>
      <c r="M932" s="96">
        <v>46047.6451273148</v>
      </c>
      <c r="N932" s="95" t="s">
        <v>120</v>
      </c>
      <c r="O932" s="96">
        <v>46051.8341087963</v>
      </c>
      <c r="P932" s="96">
        <v>46050.8342592593</v>
      </c>
      <c r="Q932" s="84"/>
      <c r="R932" s="84"/>
      <c r="S932" s="84"/>
      <c r="T932" s="84"/>
      <c r="U932" s="84"/>
      <c r="V932" s="84"/>
      <c r="W932" s="84"/>
      <c r="X932" s="84"/>
      <c r="Y932" s="84"/>
      <c r="Z932" s="84"/>
      <c r="AA932" s="84"/>
      <c r="AB932" s="84"/>
      <c r="AC932" s="84"/>
      <c r="AD932" s="84"/>
      <c r="AE932" s="85"/>
    </row>
    <row r="933" s="63" customFormat="1" ht="14.4" customHeight="1" spans="1:31">
      <c r="A933" s="68">
        <v>932</v>
      </c>
      <c r="B933" s="69" t="s">
        <v>94</v>
      </c>
      <c r="C933" s="97" t="s">
        <v>279</v>
      </c>
      <c r="D933" s="97" t="s">
        <v>217</v>
      </c>
      <c r="E933" s="95" t="s">
        <v>121</v>
      </c>
      <c r="F933" s="96">
        <v>46046.5837731482</v>
      </c>
      <c r="G933" s="96">
        <v>46050.6155208333</v>
      </c>
      <c r="H933" s="86" t="s">
        <v>99</v>
      </c>
      <c r="I933" s="87">
        <v>12000</v>
      </c>
      <c r="J933" s="83" t="s">
        <v>116</v>
      </c>
      <c r="K933" s="89"/>
      <c r="L933" s="90"/>
      <c r="M933" s="82"/>
      <c r="N933" s="84"/>
      <c r="O933" s="84"/>
      <c r="P933" s="84"/>
      <c r="Q933" s="84"/>
      <c r="R933" s="84"/>
      <c r="S933" s="84"/>
      <c r="T933" s="84"/>
      <c r="U933" s="84"/>
      <c r="V933" s="84"/>
      <c r="W933" s="84"/>
      <c r="X933" s="84"/>
      <c r="Y933" s="84"/>
      <c r="Z933" s="84"/>
      <c r="AA933" s="84"/>
      <c r="AB933" s="84"/>
      <c r="AC933" s="84"/>
      <c r="AD933" s="84"/>
      <c r="AE933" s="85"/>
    </row>
    <row r="934" s="63" customFormat="1" ht="14.4" customHeight="1" spans="1:31">
      <c r="A934" s="68">
        <v>933</v>
      </c>
      <c r="B934" s="69" t="s">
        <v>94</v>
      </c>
      <c r="C934" s="97" t="s">
        <v>279</v>
      </c>
      <c r="D934" s="97" t="s">
        <v>218</v>
      </c>
      <c r="E934" s="95" t="s">
        <v>115</v>
      </c>
      <c r="F934" s="96">
        <v>46056.8821759259</v>
      </c>
      <c r="G934" s="96">
        <v>46055.8823263889</v>
      </c>
      <c r="H934" s="86" t="s">
        <v>99</v>
      </c>
      <c r="I934" s="87">
        <v>12000</v>
      </c>
      <c r="J934" s="83" t="s">
        <v>116</v>
      </c>
      <c r="K934" s="95" t="s">
        <v>121</v>
      </c>
      <c r="L934" s="96">
        <v>46043.7363425926</v>
      </c>
      <c r="M934" s="96">
        <v>46047.6453472222</v>
      </c>
      <c r="N934" s="95" t="s">
        <v>120</v>
      </c>
      <c r="O934" s="96">
        <v>46051.8341087963</v>
      </c>
      <c r="P934" s="96">
        <v>46050.8342592593</v>
      </c>
      <c r="Q934" s="84"/>
      <c r="R934" s="84"/>
      <c r="S934" s="84"/>
      <c r="T934" s="84"/>
      <c r="U934" s="84"/>
      <c r="V934" s="84"/>
      <c r="W934" s="84"/>
      <c r="X934" s="84"/>
      <c r="Y934" s="84"/>
      <c r="Z934" s="84"/>
      <c r="AA934" s="84"/>
      <c r="AB934" s="84"/>
      <c r="AC934" s="84"/>
      <c r="AD934" s="84"/>
      <c r="AE934" s="85"/>
    </row>
    <row r="935" s="63" customFormat="1" ht="14.4" customHeight="1" spans="1:31">
      <c r="A935" s="68">
        <v>934</v>
      </c>
      <c r="B935" s="69" t="s">
        <v>94</v>
      </c>
      <c r="C935" s="97" t="s">
        <v>279</v>
      </c>
      <c r="D935" s="97" t="s">
        <v>219</v>
      </c>
      <c r="E935" s="95" t="s">
        <v>115</v>
      </c>
      <c r="F935" s="96">
        <v>46056.8821759259</v>
      </c>
      <c r="G935" s="96">
        <v>46055.8823263889</v>
      </c>
      <c r="H935" s="86" t="s">
        <v>99</v>
      </c>
      <c r="I935" s="87">
        <v>12000</v>
      </c>
      <c r="J935" s="83" t="s">
        <v>116</v>
      </c>
      <c r="K935" s="95" t="s">
        <v>121</v>
      </c>
      <c r="L935" s="96">
        <v>46043.7363773148</v>
      </c>
      <c r="M935" s="96">
        <v>46047.6489814815</v>
      </c>
      <c r="N935" s="95" t="s">
        <v>120</v>
      </c>
      <c r="O935" s="96">
        <v>46051.8341087963</v>
      </c>
      <c r="P935" s="96">
        <v>46050.8342592593</v>
      </c>
      <c r="Q935" s="84"/>
      <c r="R935" s="84"/>
      <c r="S935" s="84"/>
      <c r="T935" s="84"/>
      <c r="U935" s="84"/>
      <c r="V935" s="84"/>
      <c r="W935" s="84"/>
      <c r="X935" s="84"/>
      <c r="Y935" s="84"/>
      <c r="Z935" s="84"/>
      <c r="AA935" s="84"/>
      <c r="AB935" s="84"/>
      <c r="AC935" s="84"/>
      <c r="AD935" s="84"/>
      <c r="AE935" s="85"/>
    </row>
    <row r="936" s="63" customFormat="1" ht="14.4" customHeight="1" spans="1:31">
      <c r="A936" s="68">
        <v>935</v>
      </c>
      <c r="B936" s="69" t="s">
        <v>94</v>
      </c>
      <c r="C936" s="97" t="s">
        <v>279</v>
      </c>
      <c r="D936" s="97" t="s">
        <v>220</v>
      </c>
      <c r="E936" s="95" t="s">
        <v>121</v>
      </c>
      <c r="F936" s="96">
        <v>46046.5837731482</v>
      </c>
      <c r="G936" s="96">
        <v>46050.6172222222</v>
      </c>
      <c r="H936" s="86" t="s">
        <v>99</v>
      </c>
      <c r="I936" s="87">
        <v>12000</v>
      </c>
      <c r="J936" s="83" t="s">
        <v>116</v>
      </c>
      <c r="K936" s="89"/>
      <c r="L936" s="90"/>
      <c r="M936" s="82"/>
      <c r="N936" s="84"/>
      <c r="O936" s="84"/>
      <c r="P936" s="84"/>
      <c r="Q936" s="84"/>
      <c r="R936" s="84"/>
      <c r="S936" s="84"/>
      <c r="T936" s="84"/>
      <c r="U936" s="84"/>
      <c r="V936" s="84"/>
      <c r="W936" s="84"/>
      <c r="X936" s="84"/>
      <c r="Y936" s="84"/>
      <c r="Z936" s="84"/>
      <c r="AA936" s="84"/>
      <c r="AB936" s="84"/>
      <c r="AC936" s="84"/>
      <c r="AD936" s="84"/>
      <c r="AE936" s="85"/>
    </row>
    <row r="937" s="63" customFormat="1" ht="14.4" customHeight="1" spans="1:31">
      <c r="A937" s="68">
        <v>936</v>
      </c>
      <c r="B937" s="69" t="s">
        <v>94</v>
      </c>
      <c r="C937" s="70" t="s">
        <v>279</v>
      </c>
      <c r="D937" s="84" t="s">
        <v>221</v>
      </c>
      <c r="E937" s="88"/>
      <c r="F937" s="84"/>
      <c r="G937" s="84"/>
      <c r="H937" s="86" t="s">
        <v>99</v>
      </c>
      <c r="I937" s="87">
        <v>12000</v>
      </c>
      <c r="J937" s="84"/>
      <c r="K937" s="89"/>
      <c r="L937" s="90"/>
      <c r="M937" s="82"/>
      <c r="N937" s="84"/>
      <c r="O937" s="84"/>
      <c r="P937" s="84"/>
      <c r="Q937" s="84"/>
      <c r="R937" s="84"/>
      <c r="S937" s="84"/>
      <c r="T937" s="84"/>
      <c r="U937" s="84"/>
      <c r="V937" s="84"/>
      <c r="W937" s="84"/>
      <c r="X937" s="84"/>
      <c r="Y937" s="84"/>
      <c r="Z937" s="84"/>
      <c r="AA937" s="84"/>
      <c r="AB937" s="84"/>
      <c r="AC937" s="84"/>
      <c r="AD937" s="84"/>
      <c r="AE937" s="85"/>
    </row>
    <row r="938" s="63" customFormat="1" ht="14.4" customHeight="1" spans="1:31">
      <c r="A938" s="68">
        <v>937</v>
      </c>
      <c r="B938" s="69" t="s">
        <v>94</v>
      </c>
      <c r="C938" s="97" t="s">
        <v>279</v>
      </c>
      <c r="D938" s="97" t="s">
        <v>222</v>
      </c>
      <c r="E938" s="95" t="s">
        <v>121</v>
      </c>
      <c r="F938" s="96">
        <v>46043.7337384259</v>
      </c>
      <c r="G938" s="96">
        <v>46044.7395138889</v>
      </c>
      <c r="H938" s="79" t="s">
        <v>97</v>
      </c>
      <c r="I938" s="80">
        <v>16000</v>
      </c>
      <c r="J938" s="83" t="s">
        <v>116</v>
      </c>
      <c r="K938" s="89"/>
      <c r="L938" s="90"/>
      <c r="M938" s="82"/>
      <c r="N938" s="84"/>
      <c r="O938" s="84"/>
      <c r="P938" s="84"/>
      <c r="Q938" s="84"/>
      <c r="R938" s="84"/>
      <c r="S938" s="84"/>
      <c r="T938" s="84"/>
      <c r="U938" s="84"/>
      <c r="V938" s="84"/>
      <c r="W938" s="84"/>
      <c r="X938" s="84"/>
      <c r="Y938" s="84"/>
      <c r="Z938" s="84"/>
      <c r="AA938" s="84"/>
      <c r="AB938" s="84"/>
      <c r="AC938" s="84"/>
      <c r="AD938" s="84"/>
      <c r="AE938" s="85"/>
    </row>
    <row r="939" s="63" customFormat="1" ht="14.4" customHeight="1" spans="1:31">
      <c r="A939" s="68">
        <v>938</v>
      </c>
      <c r="B939" s="69" t="s">
        <v>94</v>
      </c>
      <c r="C939" s="97" t="s">
        <v>279</v>
      </c>
      <c r="D939" s="97" t="s">
        <v>223</v>
      </c>
      <c r="E939" s="95" t="s">
        <v>115</v>
      </c>
      <c r="F939" s="96">
        <v>46125.8821875</v>
      </c>
      <c r="G939" s="96">
        <v>46124.8823958333</v>
      </c>
      <c r="H939" s="86" t="s">
        <v>99</v>
      </c>
      <c r="I939" s="87">
        <v>12000</v>
      </c>
      <c r="J939" s="83" t="s">
        <v>116</v>
      </c>
      <c r="K939" s="88" t="s">
        <v>117</v>
      </c>
      <c r="L939" s="91">
        <v>45561.6753125</v>
      </c>
      <c r="M939" s="91">
        <v>45610.7963078704</v>
      </c>
      <c r="N939" s="84" t="s">
        <v>138</v>
      </c>
      <c r="O939" s="91">
        <v>45646.6181481481</v>
      </c>
      <c r="P939" s="91">
        <v>45652.6962962963</v>
      </c>
      <c r="Q939" s="84"/>
      <c r="R939" s="84"/>
      <c r="S939" s="84"/>
      <c r="T939" s="83" t="s">
        <v>117</v>
      </c>
      <c r="U939" s="91">
        <v>46101.7259490741</v>
      </c>
      <c r="V939" s="91">
        <v>46104.7713078704</v>
      </c>
      <c r="W939" s="84"/>
      <c r="X939" s="84"/>
      <c r="Y939" s="84"/>
      <c r="Z939" s="84"/>
      <c r="AA939" s="84"/>
      <c r="AB939" s="84"/>
      <c r="AC939" s="84"/>
      <c r="AD939" s="84"/>
      <c r="AE939" s="85"/>
    </row>
    <row r="940" s="63" customFormat="1" ht="14.4" customHeight="1" spans="1:31">
      <c r="A940" s="68">
        <v>939</v>
      </c>
      <c r="B940" s="69" t="s">
        <v>94</v>
      </c>
      <c r="C940" s="97" t="s">
        <v>279</v>
      </c>
      <c r="D940" s="97" t="s">
        <v>224</v>
      </c>
      <c r="E940" s="95" t="s">
        <v>115</v>
      </c>
      <c r="F940" s="96">
        <v>46124.8822453704</v>
      </c>
      <c r="G940" s="96">
        <v>46123.8824652778</v>
      </c>
      <c r="H940" s="86" t="s">
        <v>99</v>
      </c>
      <c r="I940" s="87">
        <v>12000</v>
      </c>
      <c r="J940" s="83" t="s">
        <v>116</v>
      </c>
      <c r="K940" s="88" t="s">
        <v>117</v>
      </c>
      <c r="L940" s="91">
        <v>45561.6753125</v>
      </c>
      <c r="M940" s="91">
        <v>45610.7963078704</v>
      </c>
      <c r="N940" s="84" t="s">
        <v>138</v>
      </c>
      <c r="O940" s="91">
        <v>45646.6181481481</v>
      </c>
      <c r="P940" s="91">
        <v>45652.6962962963</v>
      </c>
      <c r="Q940" s="93" t="s">
        <v>121</v>
      </c>
      <c r="R940" s="94">
        <v>46093.6749189815</v>
      </c>
      <c r="S940" s="94">
        <v>46097.6586226852</v>
      </c>
      <c r="T940" s="93" t="s">
        <v>120</v>
      </c>
      <c r="U940" s="94">
        <v>46103.8344444444</v>
      </c>
      <c r="V940" s="94">
        <v>46102.8346643519</v>
      </c>
      <c r="W940" s="84"/>
      <c r="X940" s="84"/>
      <c r="Y940" s="84"/>
      <c r="Z940" s="84"/>
      <c r="AA940" s="84"/>
      <c r="AB940" s="84"/>
      <c r="AC940" s="84"/>
      <c r="AD940" s="84"/>
      <c r="AE940" s="85"/>
    </row>
    <row r="941" s="63" customFormat="1" ht="14.4" customHeight="1" spans="1:31">
      <c r="A941" s="68">
        <v>940</v>
      </c>
      <c r="B941" s="69" t="s">
        <v>94</v>
      </c>
      <c r="C941" s="97" t="s">
        <v>279</v>
      </c>
      <c r="D941" s="97" t="s">
        <v>225</v>
      </c>
      <c r="E941" s="95" t="s">
        <v>115</v>
      </c>
      <c r="F941" s="96">
        <v>46125.8821875</v>
      </c>
      <c r="G941" s="96">
        <v>46124.8823958333</v>
      </c>
      <c r="H941" s="86" t="s">
        <v>99</v>
      </c>
      <c r="I941" s="87">
        <v>12000</v>
      </c>
      <c r="J941" s="83" t="s">
        <v>116</v>
      </c>
      <c r="K941" s="88" t="s">
        <v>117</v>
      </c>
      <c r="L941" s="91">
        <v>45561.6753125</v>
      </c>
      <c r="M941" s="91">
        <v>45610.7963078704</v>
      </c>
      <c r="N941" s="84" t="s">
        <v>138</v>
      </c>
      <c r="O941" s="91">
        <v>45646.6181481481</v>
      </c>
      <c r="P941" s="91">
        <v>45652.6962962963</v>
      </c>
      <c r="Q941" s="93" t="s">
        <v>121</v>
      </c>
      <c r="R941" s="94">
        <v>46093.6749189815</v>
      </c>
      <c r="S941" s="94">
        <v>46097.6586226852</v>
      </c>
      <c r="T941" s="111" t="s">
        <v>120</v>
      </c>
      <c r="U941" s="112">
        <v>46100.8336226852</v>
      </c>
      <c r="V941" s="112">
        <v>46099.8338541667</v>
      </c>
      <c r="W941" s="84"/>
      <c r="X941" s="84"/>
      <c r="Y941" s="84"/>
      <c r="Z941" s="84"/>
      <c r="AA941" s="84"/>
      <c r="AB941" s="84"/>
      <c r="AC941" s="84"/>
      <c r="AD941" s="84"/>
      <c r="AE941" s="85"/>
    </row>
    <row r="942" s="63" customFormat="1" ht="14.4" customHeight="1" spans="1:31">
      <c r="A942" s="68">
        <v>941</v>
      </c>
      <c r="B942" s="69" t="s">
        <v>94</v>
      </c>
      <c r="C942" s="97" t="s">
        <v>279</v>
      </c>
      <c r="D942" s="97" t="s">
        <v>226</v>
      </c>
      <c r="E942" s="95" t="s">
        <v>121</v>
      </c>
      <c r="F942" s="96">
        <v>46046.5837731482</v>
      </c>
      <c r="G942" s="96">
        <v>46050.6189236111</v>
      </c>
      <c r="H942" s="86" t="s">
        <v>99</v>
      </c>
      <c r="I942" s="87">
        <v>12000</v>
      </c>
      <c r="J942" s="83" t="s">
        <v>116</v>
      </c>
      <c r="K942" s="88" t="s">
        <v>117</v>
      </c>
      <c r="L942" s="91">
        <v>45561.6753125</v>
      </c>
      <c r="M942" s="91">
        <v>45610.7963078704</v>
      </c>
      <c r="N942" s="84" t="s">
        <v>138</v>
      </c>
      <c r="O942" s="91">
        <v>45646.6181481481</v>
      </c>
      <c r="P942" s="91">
        <v>45652.6962962963</v>
      </c>
      <c r="Q942" s="84"/>
      <c r="R942" s="84"/>
      <c r="S942" s="84"/>
      <c r="T942" s="84"/>
      <c r="U942" s="84"/>
      <c r="V942" s="84"/>
      <c r="W942" s="84"/>
      <c r="X942" s="84"/>
      <c r="Y942" s="84"/>
      <c r="Z942" s="84"/>
      <c r="AA942" s="84"/>
      <c r="AB942" s="84"/>
      <c r="AC942" s="84"/>
      <c r="AD942" s="84"/>
      <c r="AE942" s="85"/>
    </row>
    <row r="943" s="63" customFormat="1" ht="14.4" customHeight="1" spans="1:31">
      <c r="A943" s="68">
        <v>942</v>
      </c>
      <c r="B943" s="69" t="s">
        <v>94</v>
      </c>
      <c r="C943" s="97" t="s">
        <v>279</v>
      </c>
      <c r="D943" s="97" t="s">
        <v>227</v>
      </c>
      <c r="E943" s="95" t="s">
        <v>115</v>
      </c>
      <c r="F943" s="96">
        <v>46056.8821759259</v>
      </c>
      <c r="G943" s="96">
        <v>46055.8823263889</v>
      </c>
      <c r="H943" s="86" t="s">
        <v>99</v>
      </c>
      <c r="I943" s="87">
        <v>12000</v>
      </c>
      <c r="J943" s="83" t="s">
        <v>116</v>
      </c>
      <c r="K943" s="88" t="s">
        <v>117</v>
      </c>
      <c r="L943" s="91">
        <v>45561.6753125</v>
      </c>
      <c r="M943" s="91">
        <v>45610.7963078704</v>
      </c>
      <c r="N943" s="84" t="s">
        <v>138</v>
      </c>
      <c r="O943" s="91">
        <v>45646.6181481481</v>
      </c>
      <c r="P943" s="91">
        <v>45652.6962962963</v>
      </c>
      <c r="Q943" s="95" t="s">
        <v>121</v>
      </c>
      <c r="R943" s="96">
        <v>46043.7363310185</v>
      </c>
      <c r="S943" s="96">
        <v>46044.7409143519</v>
      </c>
      <c r="T943" s="121" t="s">
        <v>120</v>
      </c>
      <c r="U943" s="91">
        <v>46050.8336111111</v>
      </c>
      <c r="V943" s="91">
        <v>46049.8337615741</v>
      </c>
      <c r="W943" s="84"/>
      <c r="X943" s="84"/>
      <c r="Y943" s="84"/>
      <c r="Z943" s="84"/>
      <c r="AA943" s="84"/>
      <c r="AB943" s="84"/>
      <c r="AC943" s="84"/>
      <c r="AD943" s="84"/>
      <c r="AE943" s="85"/>
    </row>
    <row r="944" s="63" customFormat="1" ht="14.4" customHeight="1" spans="1:31">
      <c r="A944" s="68">
        <v>943</v>
      </c>
      <c r="B944" s="69" t="s">
        <v>94</v>
      </c>
      <c r="C944" s="97" t="s">
        <v>279</v>
      </c>
      <c r="D944" s="97" t="s">
        <v>228</v>
      </c>
      <c r="E944" s="95" t="s">
        <v>115</v>
      </c>
      <c r="F944" s="96">
        <v>46056.8821759259</v>
      </c>
      <c r="G944" s="96">
        <v>46055.8823263889</v>
      </c>
      <c r="H944" s="86" t="s">
        <v>99</v>
      </c>
      <c r="I944" s="87">
        <v>12000</v>
      </c>
      <c r="J944" s="83" t="s">
        <v>116</v>
      </c>
      <c r="K944" s="88" t="s">
        <v>117</v>
      </c>
      <c r="L944" s="91">
        <v>45561.6753125</v>
      </c>
      <c r="M944" s="91">
        <v>45610.7963078704</v>
      </c>
      <c r="N944" s="84" t="s">
        <v>138</v>
      </c>
      <c r="O944" s="91">
        <v>45646.6181481481</v>
      </c>
      <c r="P944" s="91">
        <v>45652.6962962963</v>
      </c>
      <c r="Q944" s="95" t="s">
        <v>121</v>
      </c>
      <c r="R944" s="96">
        <v>46043.7363773148</v>
      </c>
      <c r="S944" s="96">
        <v>46044.7427662037</v>
      </c>
      <c r="T944" s="95" t="s">
        <v>120</v>
      </c>
      <c r="U944" s="96">
        <v>46051.8341087963</v>
      </c>
      <c r="V944" s="96">
        <v>46050.8342592593</v>
      </c>
      <c r="W944" s="84"/>
      <c r="X944" s="84"/>
      <c r="Y944" s="84"/>
      <c r="Z944" s="84"/>
      <c r="AA944" s="84"/>
      <c r="AB944" s="84"/>
      <c r="AC944" s="84"/>
      <c r="AD944" s="84"/>
      <c r="AE944" s="85"/>
    </row>
    <row r="945" s="63" customFormat="1" ht="14.4" customHeight="1" spans="1:31">
      <c r="A945" s="68">
        <v>944</v>
      </c>
      <c r="B945" s="69" t="s">
        <v>94</v>
      </c>
      <c r="C945" s="97" t="s">
        <v>279</v>
      </c>
      <c r="D945" s="97" t="s">
        <v>229</v>
      </c>
      <c r="E945" s="95" t="s">
        <v>121</v>
      </c>
      <c r="F945" s="96">
        <v>46046.5837731482</v>
      </c>
      <c r="G945" s="96">
        <v>46050.620625</v>
      </c>
      <c r="H945" s="86" t="s">
        <v>99</v>
      </c>
      <c r="I945" s="87">
        <v>12000</v>
      </c>
      <c r="J945" s="83" t="s">
        <v>116</v>
      </c>
      <c r="K945" s="88" t="s">
        <v>117</v>
      </c>
      <c r="L945" s="91">
        <v>45561.6753125</v>
      </c>
      <c r="M945" s="91">
        <v>45610.7963078704</v>
      </c>
      <c r="N945" s="84" t="s">
        <v>138</v>
      </c>
      <c r="O945" s="91">
        <v>45646.6181481481</v>
      </c>
      <c r="P945" s="91">
        <v>45652.6962962963</v>
      </c>
      <c r="Q945" s="84"/>
      <c r="R945" s="84"/>
      <c r="S945" s="84"/>
      <c r="T945" s="84"/>
      <c r="U945" s="84"/>
      <c r="V945" s="84"/>
      <c r="W945" s="84"/>
      <c r="X945" s="84"/>
      <c r="Y945" s="84"/>
      <c r="Z945" s="84"/>
      <c r="AA945" s="84"/>
      <c r="AB945" s="84"/>
      <c r="AC945" s="84"/>
      <c r="AD945" s="84"/>
      <c r="AE945" s="85"/>
    </row>
    <row r="946" s="63" customFormat="1" ht="14.4" customHeight="1" spans="1:31">
      <c r="A946" s="68">
        <v>945</v>
      </c>
      <c r="B946" s="69" t="s">
        <v>94</v>
      </c>
      <c r="C946" s="97" t="s">
        <v>279</v>
      </c>
      <c r="D946" s="97" t="s">
        <v>230</v>
      </c>
      <c r="E946" s="95" t="s">
        <v>115</v>
      </c>
      <c r="F946" s="96">
        <v>46056.8821759259</v>
      </c>
      <c r="G946" s="96">
        <v>46055.8823263889</v>
      </c>
      <c r="H946" s="86" t="s">
        <v>99</v>
      </c>
      <c r="I946" s="87">
        <v>12000</v>
      </c>
      <c r="J946" s="83" t="s">
        <v>116</v>
      </c>
      <c r="K946" s="88" t="s">
        <v>117</v>
      </c>
      <c r="L946" s="91">
        <v>45561.6753125</v>
      </c>
      <c r="M946" s="91">
        <v>45610.7963078704</v>
      </c>
      <c r="N946" s="84" t="s">
        <v>138</v>
      </c>
      <c r="O946" s="91">
        <v>45646.6181481481</v>
      </c>
      <c r="P946" s="91">
        <v>45652.6962962963</v>
      </c>
      <c r="Q946" s="95" t="s">
        <v>121</v>
      </c>
      <c r="R946" s="96">
        <v>46043.7363657407</v>
      </c>
      <c r="S946" s="96">
        <v>46044.7442939815</v>
      </c>
      <c r="T946" s="95" t="s">
        <v>120</v>
      </c>
      <c r="U946" s="96">
        <v>46051.8341087963</v>
      </c>
      <c r="V946" s="96">
        <v>46050.8342592593</v>
      </c>
      <c r="W946" s="84"/>
      <c r="X946" s="84"/>
      <c r="Y946" s="84"/>
      <c r="Z946" s="84"/>
      <c r="AA946" s="84"/>
      <c r="AB946" s="84"/>
      <c r="AC946" s="84"/>
      <c r="AD946" s="84"/>
      <c r="AE946" s="85"/>
    </row>
    <row r="947" s="63" customFormat="1" ht="14.4" customHeight="1" spans="1:31">
      <c r="A947" s="68">
        <v>946</v>
      </c>
      <c r="B947" s="69" t="s">
        <v>94</v>
      </c>
      <c r="C947" s="97" t="s">
        <v>279</v>
      </c>
      <c r="D947" s="97" t="s">
        <v>231</v>
      </c>
      <c r="E947" s="95" t="s">
        <v>115</v>
      </c>
      <c r="F947" s="96">
        <v>46056.8821759259</v>
      </c>
      <c r="G947" s="96">
        <v>46055.8823263889</v>
      </c>
      <c r="H947" s="86" t="s">
        <v>99</v>
      </c>
      <c r="I947" s="87">
        <v>12000</v>
      </c>
      <c r="J947" s="83" t="s">
        <v>116</v>
      </c>
      <c r="K947" s="88" t="s">
        <v>117</v>
      </c>
      <c r="L947" s="91">
        <v>45561.6753125</v>
      </c>
      <c r="M947" s="91">
        <v>45610.7963078704</v>
      </c>
      <c r="N947" s="84" t="s">
        <v>138</v>
      </c>
      <c r="O947" s="91">
        <v>45646.6181481481</v>
      </c>
      <c r="P947" s="91">
        <v>45652.6962962963</v>
      </c>
      <c r="Q947" s="95" t="s">
        <v>121</v>
      </c>
      <c r="R947" s="96">
        <v>46043.7363541667</v>
      </c>
      <c r="S947" s="96">
        <v>46044.7454398148</v>
      </c>
      <c r="T947" s="95" t="s">
        <v>120</v>
      </c>
      <c r="U947" s="96">
        <v>46051.8341087963</v>
      </c>
      <c r="V947" s="96">
        <v>46050.8342592593</v>
      </c>
      <c r="W947" s="84"/>
      <c r="X947" s="84"/>
      <c r="Y947" s="84"/>
      <c r="Z947" s="84"/>
      <c r="AA947" s="84"/>
      <c r="AB947" s="84"/>
      <c r="AC947" s="84"/>
      <c r="AD947" s="84"/>
      <c r="AE947" s="85"/>
    </row>
    <row r="948" s="63" customFormat="1" ht="14.4" customHeight="1" spans="1:31">
      <c r="A948" s="68">
        <v>947</v>
      </c>
      <c r="B948" s="69" t="s">
        <v>94</v>
      </c>
      <c r="C948" s="97" t="s">
        <v>279</v>
      </c>
      <c r="D948" s="97" t="s">
        <v>232</v>
      </c>
      <c r="E948" s="95" t="s">
        <v>121</v>
      </c>
      <c r="F948" s="96">
        <v>46046.5837731482</v>
      </c>
      <c r="G948" s="96">
        <v>46050.6223148148</v>
      </c>
      <c r="H948" s="86" t="s">
        <v>99</v>
      </c>
      <c r="I948" s="87">
        <v>12000</v>
      </c>
      <c r="J948" s="83" t="s">
        <v>116</v>
      </c>
      <c r="K948" s="89"/>
      <c r="L948" s="90"/>
      <c r="M948" s="82"/>
      <c r="N948" s="84"/>
      <c r="O948" s="84"/>
      <c r="P948" s="84"/>
      <c r="Q948" s="84"/>
      <c r="R948" s="84"/>
      <c r="S948" s="84"/>
      <c r="T948" s="84"/>
      <c r="U948" s="84"/>
      <c r="V948" s="84"/>
      <c r="W948" s="84"/>
      <c r="X948" s="84"/>
      <c r="Y948" s="84"/>
      <c r="Z948" s="84"/>
      <c r="AA948" s="84"/>
      <c r="AB948" s="84"/>
      <c r="AC948" s="84"/>
      <c r="AD948" s="84"/>
      <c r="AE948" s="85"/>
    </row>
    <row r="949" s="63" customFormat="1" ht="14.4" customHeight="1" spans="1:31">
      <c r="A949" s="68">
        <v>948</v>
      </c>
      <c r="B949" s="69" t="s">
        <v>94</v>
      </c>
      <c r="C949" s="97" t="s">
        <v>279</v>
      </c>
      <c r="D949" s="97" t="s">
        <v>233</v>
      </c>
      <c r="E949" s="95" t="s">
        <v>115</v>
      </c>
      <c r="F949" s="96">
        <v>46056.8821759259</v>
      </c>
      <c r="G949" s="96">
        <v>46055.8823263889</v>
      </c>
      <c r="H949" s="86" t="s">
        <v>99</v>
      </c>
      <c r="I949" s="87">
        <v>12000</v>
      </c>
      <c r="J949" s="83" t="s">
        <v>116</v>
      </c>
      <c r="K949" s="95" t="s">
        <v>121</v>
      </c>
      <c r="L949" s="96">
        <v>46043.7363541667</v>
      </c>
      <c r="M949" s="96">
        <v>46047.6528587963</v>
      </c>
      <c r="N949" s="95" t="s">
        <v>120</v>
      </c>
      <c r="O949" s="96">
        <v>46051.8341087963</v>
      </c>
      <c r="P949" s="96">
        <v>46050.8342592593</v>
      </c>
      <c r="Q949" s="84"/>
      <c r="R949" s="84"/>
      <c r="S949" s="84"/>
      <c r="T949" s="84"/>
      <c r="U949" s="84"/>
      <c r="V949" s="84"/>
      <c r="W949" s="84"/>
      <c r="X949" s="84"/>
      <c r="Y949" s="84"/>
      <c r="Z949" s="84"/>
      <c r="AA949" s="84"/>
      <c r="AB949" s="84"/>
      <c r="AC949" s="84"/>
      <c r="AD949" s="84"/>
      <c r="AE949" s="85"/>
    </row>
    <row r="950" s="63" customFormat="1" ht="14.4" customHeight="1" spans="1:31">
      <c r="A950" s="68">
        <v>949</v>
      </c>
      <c r="B950" s="69" t="s">
        <v>94</v>
      </c>
      <c r="C950" s="97" t="s">
        <v>279</v>
      </c>
      <c r="D950" s="97" t="s">
        <v>234</v>
      </c>
      <c r="E950" s="95" t="s">
        <v>115</v>
      </c>
      <c r="F950" s="96">
        <v>46056.8821759259</v>
      </c>
      <c r="G950" s="96">
        <v>46055.8823263889</v>
      </c>
      <c r="H950" s="86" t="s">
        <v>99</v>
      </c>
      <c r="I950" s="87">
        <v>12000</v>
      </c>
      <c r="J950" s="83" t="s">
        <v>116</v>
      </c>
      <c r="K950" s="95" t="s">
        <v>121</v>
      </c>
      <c r="L950" s="96">
        <v>46043.7363773148</v>
      </c>
      <c r="M950" s="96">
        <v>46047.657025463</v>
      </c>
      <c r="N950" s="95" t="s">
        <v>120</v>
      </c>
      <c r="O950" s="96">
        <v>46051.8341087963</v>
      </c>
      <c r="P950" s="96">
        <v>46050.8342592593</v>
      </c>
      <c r="Q950" s="84"/>
      <c r="R950" s="84"/>
      <c r="S950" s="84"/>
      <c r="T950" s="84"/>
      <c r="U950" s="84"/>
      <c r="V950" s="84"/>
      <c r="W950" s="84"/>
      <c r="X950" s="84"/>
      <c r="Y950" s="84"/>
      <c r="Z950" s="84"/>
      <c r="AA950" s="84"/>
      <c r="AB950" s="84"/>
      <c r="AC950" s="84"/>
      <c r="AD950" s="84"/>
      <c r="AE950" s="85"/>
    </row>
    <row r="951" s="63" customFormat="1" ht="14.4" customHeight="1" spans="1:31">
      <c r="A951" s="68">
        <v>950</v>
      </c>
      <c r="B951" s="69" t="s">
        <v>94</v>
      </c>
      <c r="C951" s="97" t="s">
        <v>279</v>
      </c>
      <c r="D951" s="97" t="s">
        <v>235</v>
      </c>
      <c r="E951" s="95" t="s">
        <v>121</v>
      </c>
      <c r="F951" s="96">
        <v>46046.5837731482</v>
      </c>
      <c r="G951" s="96">
        <v>46050.6236805556</v>
      </c>
      <c r="H951" s="86" t="s">
        <v>99</v>
      </c>
      <c r="I951" s="87">
        <v>12000</v>
      </c>
      <c r="J951" s="83" t="s">
        <v>116</v>
      </c>
      <c r="K951" s="89"/>
      <c r="L951" s="90"/>
      <c r="M951" s="82"/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  <c r="Y951" s="84"/>
      <c r="Z951" s="84"/>
      <c r="AA951" s="84"/>
      <c r="AB951" s="84"/>
      <c r="AC951" s="84"/>
      <c r="AD951" s="84"/>
      <c r="AE951" s="85"/>
    </row>
    <row r="952" s="63" customFormat="1" ht="14.4" customHeight="1" spans="1:31">
      <c r="A952" s="68">
        <v>951</v>
      </c>
      <c r="B952" s="69" t="s">
        <v>94</v>
      </c>
      <c r="C952" s="97" t="s">
        <v>279</v>
      </c>
      <c r="D952" s="97" t="s">
        <v>236</v>
      </c>
      <c r="E952" s="95" t="s">
        <v>115</v>
      </c>
      <c r="F952" s="96">
        <v>46056.8821759259</v>
      </c>
      <c r="G952" s="96">
        <v>46055.8823263889</v>
      </c>
      <c r="H952" s="86" t="s">
        <v>99</v>
      </c>
      <c r="I952" s="87">
        <v>12000</v>
      </c>
      <c r="J952" s="83" t="s">
        <v>116</v>
      </c>
      <c r="K952" s="95" t="s">
        <v>121</v>
      </c>
      <c r="L952" s="96">
        <v>46043.7363425926</v>
      </c>
      <c r="M952" s="96">
        <v>46044.7471527778</v>
      </c>
      <c r="N952" s="95" t="s">
        <v>120</v>
      </c>
      <c r="O952" s="96">
        <v>46051.8341087963</v>
      </c>
      <c r="P952" s="96">
        <v>46050.8342592593</v>
      </c>
      <c r="Q952" s="84"/>
      <c r="R952" s="84"/>
      <c r="S952" s="84"/>
      <c r="T952" s="84"/>
      <c r="U952" s="84"/>
      <c r="V952" s="84"/>
      <c r="W952" s="84"/>
      <c r="X952" s="84"/>
      <c r="Y952" s="84"/>
      <c r="Z952" s="84"/>
      <c r="AA952" s="84"/>
      <c r="AB952" s="84"/>
      <c r="AC952" s="84"/>
      <c r="AD952" s="84"/>
      <c r="AE952" s="85"/>
    </row>
    <row r="953" s="63" customFormat="1" ht="14.4" customHeight="1" spans="1:31">
      <c r="A953" s="68">
        <v>952</v>
      </c>
      <c r="B953" s="69" t="s">
        <v>94</v>
      </c>
      <c r="C953" s="97" t="s">
        <v>279</v>
      </c>
      <c r="D953" s="97" t="s">
        <v>237</v>
      </c>
      <c r="E953" s="95" t="s">
        <v>115</v>
      </c>
      <c r="F953" s="96">
        <v>46056.8821759259</v>
      </c>
      <c r="G953" s="96">
        <v>46055.8823263889</v>
      </c>
      <c r="H953" s="86" t="s">
        <v>99</v>
      </c>
      <c r="I953" s="87">
        <v>12000</v>
      </c>
      <c r="J953" s="83" t="s">
        <v>116</v>
      </c>
      <c r="K953" s="95" t="s">
        <v>121</v>
      </c>
      <c r="L953" s="96">
        <v>46043.7363541667</v>
      </c>
      <c r="M953" s="96">
        <v>46047.6568865741</v>
      </c>
      <c r="N953" s="95" t="s">
        <v>120</v>
      </c>
      <c r="O953" s="96">
        <v>46051.8341087963</v>
      </c>
      <c r="P953" s="96">
        <v>46050.8342592593</v>
      </c>
      <c r="Q953" s="84"/>
      <c r="R953" s="84"/>
      <c r="S953" s="84"/>
      <c r="T953" s="84"/>
      <c r="U953" s="84"/>
      <c r="V953" s="84"/>
      <c r="W953" s="84"/>
      <c r="X953" s="84"/>
      <c r="Y953" s="84"/>
      <c r="Z953" s="84"/>
      <c r="AA953" s="84"/>
      <c r="AB953" s="84"/>
      <c r="AC953" s="84"/>
      <c r="AD953" s="84"/>
      <c r="AE953" s="85"/>
    </row>
    <row r="954" s="63" customFormat="1" ht="14.4" customHeight="1" spans="1:31">
      <c r="A954" s="68">
        <v>953</v>
      </c>
      <c r="B954" s="69" t="s">
        <v>94</v>
      </c>
      <c r="C954" s="70" t="s">
        <v>279</v>
      </c>
      <c r="D954" s="84" t="s">
        <v>238</v>
      </c>
      <c r="E954" s="88"/>
      <c r="F954" s="84"/>
      <c r="G954" s="84"/>
      <c r="H954" s="86" t="s">
        <v>99</v>
      </c>
      <c r="I954" s="87">
        <v>12000</v>
      </c>
      <c r="J954" s="84"/>
      <c r="K954" s="89"/>
      <c r="L954" s="90"/>
      <c r="M954" s="82"/>
      <c r="N954" s="84"/>
      <c r="O954" s="84"/>
      <c r="P954" s="84"/>
      <c r="Q954" s="84"/>
      <c r="R954" s="84"/>
      <c r="S954" s="84"/>
      <c r="T954" s="84"/>
      <c r="U954" s="84"/>
      <c r="V954" s="84"/>
      <c r="W954" s="84"/>
      <c r="X954" s="84"/>
      <c r="Y954" s="84"/>
      <c r="Z954" s="84"/>
      <c r="AA954" s="84"/>
      <c r="AB954" s="84"/>
      <c r="AC954" s="84"/>
      <c r="AD954" s="84"/>
      <c r="AE954" s="85"/>
    </row>
    <row r="955" s="63" customFormat="1" ht="14.4" customHeight="1" spans="1:31">
      <c r="A955" s="68">
        <v>954</v>
      </c>
      <c r="B955" s="69" t="s">
        <v>94</v>
      </c>
      <c r="C955" s="70" t="s">
        <v>279</v>
      </c>
      <c r="D955" s="84" t="s">
        <v>239</v>
      </c>
      <c r="E955" s="88"/>
      <c r="F955" s="84"/>
      <c r="G955" s="84"/>
      <c r="H955" s="86" t="s">
        <v>99</v>
      </c>
      <c r="I955" s="87">
        <v>12000</v>
      </c>
      <c r="J955" s="84"/>
      <c r="K955" s="89"/>
      <c r="L955" s="90"/>
      <c r="M955" s="82"/>
      <c r="N955" s="84"/>
      <c r="O955" s="84"/>
      <c r="P955" s="84"/>
      <c r="Q955" s="84"/>
      <c r="R955" s="84"/>
      <c r="S955" s="84"/>
      <c r="T955" s="84"/>
      <c r="U955" s="84"/>
      <c r="V955" s="84"/>
      <c r="W955" s="84"/>
      <c r="X955" s="84"/>
      <c r="Y955" s="84"/>
      <c r="Z955" s="84"/>
      <c r="AA955" s="84"/>
      <c r="AB955" s="84"/>
      <c r="AC955" s="84"/>
      <c r="AD955" s="84"/>
      <c r="AE955" s="85"/>
    </row>
    <row r="956" s="63" customFormat="1" ht="14.4" customHeight="1" spans="1:31">
      <c r="A956" s="68">
        <v>955</v>
      </c>
      <c r="B956" s="69" t="s">
        <v>94</v>
      </c>
      <c r="C956" s="97" t="s">
        <v>279</v>
      </c>
      <c r="D956" s="97" t="s">
        <v>240</v>
      </c>
      <c r="E956" s="95" t="s">
        <v>115</v>
      </c>
      <c r="F956" s="96">
        <v>46128.4685532407</v>
      </c>
      <c r="G956" s="96">
        <v>46126.4687615741</v>
      </c>
      <c r="H956" s="79" t="s">
        <v>97</v>
      </c>
      <c r="I956" s="80">
        <v>16000</v>
      </c>
      <c r="J956" s="83" t="s">
        <v>116</v>
      </c>
      <c r="K956" s="93" t="s">
        <v>121</v>
      </c>
      <c r="L956" s="94">
        <v>46093.6749189815</v>
      </c>
      <c r="M956" s="94">
        <v>46097.6586226852</v>
      </c>
      <c r="N956" s="84"/>
      <c r="O956" s="84"/>
      <c r="P956" s="84"/>
      <c r="Q956" s="84"/>
      <c r="R956" s="84"/>
      <c r="S956" s="84"/>
      <c r="T956" s="111" t="s">
        <v>120</v>
      </c>
      <c r="U956" s="112">
        <v>46100.8336226852</v>
      </c>
      <c r="V956" s="112">
        <v>46099.8338541667</v>
      </c>
      <c r="W956" s="84"/>
      <c r="X956" s="84"/>
      <c r="Y956" s="84"/>
      <c r="Z956" s="84"/>
      <c r="AA956" s="84"/>
      <c r="AB956" s="84"/>
      <c r="AC956" s="84"/>
      <c r="AD956" s="84"/>
      <c r="AE956" s="85"/>
    </row>
    <row r="957" s="63" customFormat="1" ht="14.4" customHeight="1" spans="1:31">
      <c r="A957" s="68">
        <v>956</v>
      </c>
      <c r="B957" s="69" t="s">
        <v>94</v>
      </c>
      <c r="C957" s="97" t="s">
        <v>279</v>
      </c>
      <c r="D957" s="97" t="s">
        <v>241</v>
      </c>
      <c r="E957" s="95" t="s">
        <v>115</v>
      </c>
      <c r="F957" s="96">
        <v>46128.4685532407</v>
      </c>
      <c r="G957" s="96">
        <v>46126.4687731481</v>
      </c>
      <c r="H957" s="86" t="s">
        <v>99</v>
      </c>
      <c r="I957" s="87">
        <v>12000</v>
      </c>
      <c r="J957" s="83" t="s">
        <v>116</v>
      </c>
      <c r="K957" s="88" t="s">
        <v>117</v>
      </c>
      <c r="L957" s="91">
        <v>45561.6753125</v>
      </c>
      <c r="M957" s="91">
        <v>45610.7963078704</v>
      </c>
      <c r="N957" s="84" t="s">
        <v>138</v>
      </c>
      <c r="O957" s="91">
        <v>45646.6181481481</v>
      </c>
      <c r="P957" s="91">
        <v>45652.6962962963</v>
      </c>
      <c r="Q957" s="93" t="s">
        <v>121</v>
      </c>
      <c r="R957" s="94">
        <v>46093.6749189815</v>
      </c>
      <c r="S957" s="94">
        <v>46097.6586226852</v>
      </c>
      <c r="T957" s="93" t="s">
        <v>120</v>
      </c>
      <c r="U957" s="94">
        <v>46103.8344444444</v>
      </c>
      <c r="V957" s="94">
        <v>46102.8346643519</v>
      </c>
      <c r="W957" s="84"/>
      <c r="X957" s="84"/>
      <c r="Y957" s="84"/>
      <c r="Z957" s="84"/>
      <c r="AA957" s="84"/>
      <c r="AB957" s="84"/>
      <c r="AC957" s="84"/>
      <c r="AD957" s="84"/>
      <c r="AE957" s="85"/>
    </row>
    <row r="958" s="63" customFormat="1" ht="14.4" customHeight="1" spans="1:31">
      <c r="A958" s="68">
        <v>957</v>
      </c>
      <c r="B958" s="69" t="s">
        <v>94</v>
      </c>
      <c r="C958" s="97" t="s">
        <v>279</v>
      </c>
      <c r="D958" s="97" t="s">
        <v>242</v>
      </c>
      <c r="E958" s="95" t="s">
        <v>115</v>
      </c>
      <c r="F958" s="96">
        <v>46128.4730324074</v>
      </c>
      <c r="G958" s="96">
        <v>46126.4732523148</v>
      </c>
      <c r="H958" s="86" t="s">
        <v>99</v>
      </c>
      <c r="I958" s="87">
        <v>12000</v>
      </c>
      <c r="J958" s="83" t="s">
        <v>116</v>
      </c>
      <c r="K958" s="88" t="s">
        <v>117</v>
      </c>
      <c r="L958" s="91">
        <v>45561.6753125</v>
      </c>
      <c r="M958" s="91">
        <v>45610.7963078704</v>
      </c>
      <c r="N958" s="84" t="s">
        <v>138</v>
      </c>
      <c r="O958" s="91">
        <v>45646.6181481481</v>
      </c>
      <c r="P958" s="91">
        <v>45652.6962962963</v>
      </c>
      <c r="Q958" s="84"/>
      <c r="R958" s="84"/>
      <c r="S958" s="84"/>
      <c r="T958" s="83" t="s">
        <v>117</v>
      </c>
      <c r="U958" s="91">
        <v>46101.7259490741</v>
      </c>
      <c r="V958" s="91">
        <v>46104.7713078704</v>
      </c>
      <c r="W958" s="84"/>
      <c r="X958" s="84"/>
      <c r="Y958" s="84"/>
      <c r="Z958" s="84"/>
      <c r="AA958" s="84"/>
      <c r="AB958" s="84"/>
      <c r="AC958" s="84"/>
      <c r="AD958" s="84"/>
      <c r="AE958" s="85"/>
    </row>
    <row r="959" s="63" customFormat="1" ht="14.4" customHeight="1" spans="1:31">
      <c r="A959" s="68">
        <v>958</v>
      </c>
      <c r="B959" s="69" t="s">
        <v>94</v>
      </c>
      <c r="C959" s="97" t="s">
        <v>279</v>
      </c>
      <c r="D959" s="97" t="s">
        <v>243</v>
      </c>
      <c r="E959" s="95" t="s">
        <v>115</v>
      </c>
      <c r="F959" s="96">
        <v>46056.8821759259</v>
      </c>
      <c r="G959" s="96">
        <v>46055.8823263889</v>
      </c>
      <c r="H959" s="86" t="s">
        <v>99</v>
      </c>
      <c r="I959" s="87">
        <v>12000</v>
      </c>
      <c r="J959" s="83" t="s">
        <v>116</v>
      </c>
      <c r="K959" s="88" t="s">
        <v>117</v>
      </c>
      <c r="L959" s="91">
        <v>45561.6753125</v>
      </c>
      <c r="M959" s="91">
        <v>45610.7963078704</v>
      </c>
      <c r="N959" s="84" t="s">
        <v>138</v>
      </c>
      <c r="O959" s="91">
        <v>45646.6181481481</v>
      </c>
      <c r="P959" s="91">
        <v>45652.6962962963</v>
      </c>
      <c r="Q959" s="95" t="s">
        <v>121</v>
      </c>
      <c r="R959" s="96">
        <v>46043.736412037</v>
      </c>
      <c r="S959" s="96">
        <v>46044.7544328704</v>
      </c>
      <c r="T959" s="95" t="s">
        <v>120</v>
      </c>
      <c r="U959" s="96">
        <v>46051.8341087963</v>
      </c>
      <c r="V959" s="96">
        <v>46050.8342592593</v>
      </c>
      <c r="W959" s="84"/>
      <c r="X959" s="84"/>
      <c r="Y959" s="84"/>
      <c r="Z959" s="84"/>
      <c r="AA959" s="84"/>
      <c r="AB959" s="84"/>
      <c r="AC959" s="84"/>
      <c r="AD959" s="84"/>
      <c r="AE959" s="85"/>
    </row>
    <row r="960" s="63" customFormat="1" ht="14.4" customHeight="1" spans="1:31">
      <c r="A960" s="68">
        <v>959</v>
      </c>
      <c r="B960" s="69" t="s">
        <v>94</v>
      </c>
      <c r="C960" s="97" t="s">
        <v>279</v>
      </c>
      <c r="D960" s="97" t="s">
        <v>244</v>
      </c>
      <c r="E960" s="95" t="s">
        <v>115</v>
      </c>
      <c r="F960" s="96">
        <v>46056.8821759259</v>
      </c>
      <c r="G960" s="96">
        <v>46055.8823263889</v>
      </c>
      <c r="H960" s="86" t="s">
        <v>99</v>
      </c>
      <c r="I960" s="87">
        <v>12000</v>
      </c>
      <c r="J960" s="83" t="s">
        <v>116</v>
      </c>
      <c r="K960" s="88" t="s">
        <v>117</v>
      </c>
      <c r="L960" s="91">
        <v>45561.6753125</v>
      </c>
      <c r="M960" s="91">
        <v>45610.7963078704</v>
      </c>
      <c r="N960" s="84" t="s">
        <v>138</v>
      </c>
      <c r="O960" s="91">
        <v>45646.6181481481</v>
      </c>
      <c r="P960" s="91">
        <v>45652.6962962963</v>
      </c>
      <c r="Q960" s="95" t="s">
        <v>121</v>
      </c>
      <c r="R960" s="96">
        <v>46043.7363657407</v>
      </c>
      <c r="S960" s="96">
        <v>46044.7620833333</v>
      </c>
      <c r="T960" s="95" t="s">
        <v>120</v>
      </c>
      <c r="U960" s="96">
        <v>46051.8341087963</v>
      </c>
      <c r="V960" s="96">
        <v>46050.8342592593</v>
      </c>
      <c r="W960" s="84"/>
      <c r="X960" s="84"/>
      <c r="Y960" s="84"/>
      <c r="Z960" s="84"/>
      <c r="AA960" s="84"/>
      <c r="AB960" s="84"/>
      <c r="AC960" s="84"/>
      <c r="AD960" s="84"/>
      <c r="AE960" s="85"/>
    </row>
    <row r="961" s="63" customFormat="1" ht="14.4" customHeight="1" spans="1:31">
      <c r="A961" s="68">
        <v>960</v>
      </c>
      <c r="B961" s="69" t="s">
        <v>94</v>
      </c>
      <c r="C961" s="97" t="s">
        <v>279</v>
      </c>
      <c r="D961" s="97" t="s">
        <v>245</v>
      </c>
      <c r="E961" s="95" t="s">
        <v>121</v>
      </c>
      <c r="F961" s="96">
        <v>46046.5837731482</v>
      </c>
      <c r="G961" s="96">
        <v>46050.6251273148</v>
      </c>
      <c r="H961" s="86" t="s">
        <v>99</v>
      </c>
      <c r="I961" s="87">
        <v>12000</v>
      </c>
      <c r="J961" s="83" t="s">
        <v>116</v>
      </c>
      <c r="K961" s="88" t="s">
        <v>117</v>
      </c>
      <c r="L961" s="91">
        <v>45561.6753125</v>
      </c>
      <c r="M961" s="91">
        <v>45610.7963078704</v>
      </c>
      <c r="N961" s="84" t="s">
        <v>138</v>
      </c>
      <c r="O961" s="91">
        <v>45646.6181481481</v>
      </c>
      <c r="P961" s="91">
        <v>45652.6962962963</v>
      </c>
      <c r="Q961" s="84"/>
      <c r="R961" s="84"/>
      <c r="S961" s="84"/>
      <c r="T961" s="84"/>
      <c r="U961" s="84"/>
      <c r="V961" s="84"/>
      <c r="W961" s="84"/>
      <c r="X961" s="84"/>
      <c r="Y961" s="84"/>
      <c r="Z961" s="84"/>
      <c r="AA961" s="84"/>
      <c r="AB961" s="84"/>
      <c r="AC961" s="84"/>
      <c r="AD961" s="84"/>
      <c r="AE961" s="85"/>
    </row>
    <row r="962" s="63" customFormat="1" ht="14.4" customHeight="1" spans="1:31">
      <c r="A962" s="68">
        <v>961</v>
      </c>
      <c r="B962" s="69" t="s">
        <v>94</v>
      </c>
      <c r="C962" s="97" t="s">
        <v>279</v>
      </c>
      <c r="D962" s="97" t="s">
        <v>246</v>
      </c>
      <c r="E962" s="95" t="s">
        <v>115</v>
      </c>
      <c r="F962" s="96">
        <v>46056.8821759259</v>
      </c>
      <c r="G962" s="96">
        <v>46055.8823263889</v>
      </c>
      <c r="H962" s="86" t="s">
        <v>99</v>
      </c>
      <c r="I962" s="87">
        <v>12000</v>
      </c>
      <c r="J962" s="83" t="s">
        <v>116</v>
      </c>
      <c r="K962" s="88" t="s">
        <v>117</v>
      </c>
      <c r="L962" s="91">
        <v>45561.6753125</v>
      </c>
      <c r="M962" s="91">
        <v>45610.7963078704</v>
      </c>
      <c r="N962" s="84" t="s">
        <v>138</v>
      </c>
      <c r="O962" s="91">
        <v>45646.6181481481</v>
      </c>
      <c r="P962" s="91">
        <v>45652.6962962963</v>
      </c>
      <c r="Q962" s="95" t="s">
        <v>121</v>
      </c>
      <c r="R962" s="96">
        <v>46043.7363657407</v>
      </c>
      <c r="S962" s="96">
        <v>46044.7624074074</v>
      </c>
      <c r="T962" s="95" t="s">
        <v>120</v>
      </c>
      <c r="U962" s="96">
        <v>46051.8341087963</v>
      </c>
      <c r="V962" s="96">
        <v>46050.8342592593</v>
      </c>
      <c r="W962" s="84"/>
      <c r="X962" s="84"/>
      <c r="Y962" s="84"/>
      <c r="Z962" s="84"/>
      <c r="AA962" s="84"/>
      <c r="AB962" s="84"/>
      <c r="AC962" s="84"/>
      <c r="AD962" s="84"/>
      <c r="AE962" s="85"/>
    </row>
    <row r="963" s="63" customFormat="1" ht="14.4" customHeight="1" spans="1:31">
      <c r="A963" s="68">
        <v>962</v>
      </c>
      <c r="B963" s="69" t="s">
        <v>94</v>
      </c>
      <c r="C963" s="97" t="s">
        <v>279</v>
      </c>
      <c r="D963" s="97" t="s">
        <v>247</v>
      </c>
      <c r="E963" s="95" t="s">
        <v>115</v>
      </c>
      <c r="F963" s="96">
        <v>46056.8821759259</v>
      </c>
      <c r="G963" s="96">
        <v>46055.8823263889</v>
      </c>
      <c r="H963" s="86" t="s">
        <v>99</v>
      </c>
      <c r="I963" s="87">
        <v>12000</v>
      </c>
      <c r="J963" s="83" t="s">
        <v>116</v>
      </c>
      <c r="K963" s="88" t="s">
        <v>117</v>
      </c>
      <c r="L963" s="91">
        <v>45561.6753125</v>
      </c>
      <c r="M963" s="91">
        <v>45610.7963078704</v>
      </c>
      <c r="N963" s="84" t="s">
        <v>138</v>
      </c>
      <c r="O963" s="91">
        <v>45646.6181481481</v>
      </c>
      <c r="P963" s="91">
        <v>45652.6962962963</v>
      </c>
      <c r="Q963" s="95" t="s">
        <v>121</v>
      </c>
      <c r="R963" s="96">
        <v>46043.7363541667</v>
      </c>
      <c r="S963" s="96">
        <v>46044.7627893519</v>
      </c>
      <c r="T963" s="95" t="s">
        <v>120</v>
      </c>
      <c r="U963" s="96">
        <v>46051.8341087963</v>
      </c>
      <c r="V963" s="96">
        <v>46050.8342592593</v>
      </c>
      <c r="W963" s="84"/>
      <c r="X963" s="84"/>
      <c r="Y963" s="84"/>
      <c r="Z963" s="84"/>
      <c r="AA963" s="84"/>
      <c r="AB963" s="84"/>
      <c r="AC963" s="84"/>
      <c r="AD963" s="84"/>
      <c r="AE963" s="85"/>
    </row>
    <row r="964" s="63" customFormat="1" ht="14.4" customHeight="1" spans="1:31">
      <c r="A964" s="68">
        <v>963</v>
      </c>
      <c r="B964" s="69" t="s">
        <v>94</v>
      </c>
      <c r="C964" s="97" t="s">
        <v>279</v>
      </c>
      <c r="D964" s="97" t="s">
        <v>248</v>
      </c>
      <c r="E964" s="95" t="s">
        <v>121</v>
      </c>
      <c r="F964" s="96">
        <v>46046.5837731482</v>
      </c>
      <c r="G964" s="96">
        <v>46050.6284027778</v>
      </c>
      <c r="H964" s="86" t="s">
        <v>99</v>
      </c>
      <c r="I964" s="87">
        <v>12000</v>
      </c>
      <c r="J964" s="83" t="s">
        <v>116</v>
      </c>
      <c r="K964" s="88" t="s">
        <v>117</v>
      </c>
      <c r="L964" s="91">
        <v>45561.6753125</v>
      </c>
      <c r="M964" s="91">
        <v>45610.7963078704</v>
      </c>
      <c r="N964" s="84" t="s">
        <v>138</v>
      </c>
      <c r="O964" s="91">
        <v>45646.6181481481</v>
      </c>
      <c r="P964" s="91">
        <v>45652.6962962963</v>
      </c>
      <c r="Q964" s="84"/>
      <c r="R964" s="84"/>
      <c r="S964" s="84"/>
      <c r="T964" s="84"/>
      <c r="U964" s="84"/>
      <c r="V964" s="84"/>
      <c r="W964" s="84"/>
      <c r="X964" s="84"/>
      <c r="Y964" s="84"/>
      <c r="Z964" s="84"/>
      <c r="AA964" s="84"/>
      <c r="AB964" s="84"/>
      <c r="AC964" s="84"/>
      <c r="AD964" s="84"/>
      <c r="AE964" s="85"/>
    </row>
    <row r="965" s="63" customFormat="1" ht="14.4" customHeight="1" spans="1:31">
      <c r="A965" s="68">
        <v>964</v>
      </c>
      <c r="B965" s="69" t="s">
        <v>94</v>
      </c>
      <c r="C965" s="97" t="s">
        <v>279</v>
      </c>
      <c r="D965" s="97" t="s">
        <v>249</v>
      </c>
      <c r="E965" s="95" t="s">
        <v>115</v>
      </c>
      <c r="F965" s="96">
        <v>46056.8821759259</v>
      </c>
      <c r="G965" s="96">
        <v>46055.8823263889</v>
      </c>
      <c r="H965" s="86" t="s">
        <v>99</v>
      </c>
      <c r="I965" s="87">
        <v>12000</v>
      </c>
      <c r="J965" s="83" t="s">
        <v>116</v>
      </c>
      <c r="K965" s="88" t="s">
        <v>117</v>
      </c>
      <c r="L965" s="91">
        <v>45561.6753125</v>
      </c>
      <c r="M965" s="91">
        <v>45610.7963078704</v>
      </c>
      <c r="N965" s="84" t="s">
        <v>138</v>
      </c>
      <c r="O965" s="91">
        <v>45646.6181481481</v>
      </c>
      <c r="P965" s="91">
        <v>45652.6962962963</v>
      </c>
      <c r="Q965" s="95" t="s">
        <v>121</v>
      </c>
      <c r="R965" s="96">
        <v>46043.7363310185</v>
      </c>
      <c r="S965" s="96">
        <v>46044.7631712963</v>
      </c>
      <c r="T965" s="84" t="s">
        <v>120</v>
      </c>
      <c r="U965" s="91">
        <v>46050.8336111111</v>
      </c>
      <c r="V965" s="91">
        <v>46049.8337615741</v>
      </c>
      <c r="W965" s="84"/>
      <c r="X965" s="84"/>
      <c r="Y965" s="84"/>
      <c r="Z965" s="84"/>
      <c r="AA965" s="84"/>
      <c r="AB965" s="84"/>
      <c r="AC965" s="84"/>
      <c r="AD965" s="84"/>
      <c r="AE965" s="85"/>
    </row>
    <row r="966" s="63" customFormat="1" ht="14.4" customHeight="1" spans="1:31">
      <c r="A966" s="68">
        <v>965</v>
      </c>
      <c r="B966" s="69" t="s">
        <v>94</v>
      </c>
      <c r="C966" s="97" t="s">
        <v>279</v>
      </c>
      <c r="D966" s="97" t="s">
        <v>250</v>
      </c>
      <c r="E966" s="95" t="s">
        <v>115</v>
      </c>
      <c r="F966" s="96">
        <v>46056.8821759259</v>
      </c>
      <c r="G966" s="96">
        <v>46055.8823263889</v>
      </c>
      <c r="H966" s="86" t="s">
        <v>99</v>
      </c>
      <c r="I966" s="87">
        <v>12000</v>
      </c>
      <c r="J966" s="83" t="s">
        <v>116</v>
      </c>
      <c r="K966" s="95" t="s">
        <v>121</v>
      </c>
      <c r="L966" s="96">
        <v>46043.7363310185</v>
      </c>
      <c r="M966" s="96">
        <v>46047.6595949074</v>
      </c>
      <c r="N966" s="84" t="s">
        <v>120</v>
      </c>
      <c r="O966" s="91">
        <v>46050.8336111111</v>
      </c>
      <c r="P966" s="91">
        <v>46049.8337615741</v>
      </c>
      <c r="Q966" s="84"/>
      <c r="R966" s="84"/>
      <c r="S966" s="84"/>
      <c r="T966" s="84"/>
      <c r="U966" s="84"/>
      <c r="V966" s="84"/>
      <c r="W966" s="84"/>
      <c r="X966" s="84"/>
      <c r="Y966" s="84"/>
      <c r="Z966" s="84"/>
      <c r="AA966" s="84"/>
      <c r="AB966" s="84"/>
      <c r="AC966" s="84"/>
      <c r="AD966" s="84"/>
      <c r="AE966" s="85"/>
    </row>
    <row r="967" s="63" customFormat="1" ht="14.4" customHeight="1" spans="1:31">
      <c r="A967" s="68">
        <v>966</v>
      </c>
      <c r="B967" s="69" t="s">
        <v>94</v>
      </c>
      <c r="C967" s="97" t="s">
        <v>279</v>
      </c>
      <c r="D967" s="97" t="s">
        <v>251</v>
      </c>
      <c r="E967" s="95" t="s">
        <v>121</v>
      </c>
      <c r="F967" s="96">
        <v>46046.5837731482</v>
      </c>
      <c r="G967" s="96">
        <v>46050.6284837963</v>
      </c>
      <c r="H967" s="86" t="s">
        <v>99</v>
      </c>
      <c r="I967" s="87">
        <v>12000</v>
      </c>
      <c r="J967" s="83" t="s">
        <v>116</v>
      </c>
      <c r="K967" s="89"/>
      <c r="L967" s="90"/>
      <c r="M967" s="82"/>
      <c r="N967" s="84"/>
      <c r="O967" s="84"/>
      <c r="P967" s="84"/>
      <c r="Q967" s="84"/>
      <c r="R967" s="84"/>
      <c r="S967" s="84"/>
      <c r="T967" s="84"/>
      <c r="U967" s="84"/>
      <c r="V967" s="84"/>
      <c r="W967" s="84"/>
      <c r="X967" s="84"/>
      <c r="Y967" s="84"/>
      <c r="Z967" s="84"/>
      <c r="AA967" s="84"/>
      <c r="AB967" s="84"/>
      <c r="AC967" s="84"/>
      <c r="AD967" s="84"/>
      <c r="AE967" s="85"/>
    </row>
    <row r="968" s="63" customFormat="1" ht="14.4" customHeight="1" spans="1:31">
      <c r="A968" s="68">
        <v>967</v>
      </c>
      <c r="B968" s="69" t="s">
        <v>94</v>
      </c>
      <c r="C968" s="97" t="s">
        <v>279</v>
      </c>
      <c r="D968" s="97" t="s">
        <v>252</v>
      </c>
      <c r="E968" s="95" t="s">
        <v>115</v>
      </c>
      <c r="F968" s="96">
        <v>46056.8821759259</v>
      </c>
      <c r="G968" s="96">
        <v>46055.8823263889</v>
      </c>
      <c r="H968" s="86" t="s">
        <v>99</v>
      </c>
      <c r="I968" s="87">
        <v>12000</v>
      </c>
      <c r="J968" s="83" t="s">
        <v>116</v>
      </c>
      <c r="K968" s="95" t="s">
        <v>121</v>
      </c>
      <c r="L968" s="96">
        <v>46043.7363773148</v>
      </c>
      <c r="M968" s="96">
        <v>46047.6597685185</v>
      </c>
      <c r="N968" s="95" t="s">
        <v>120</v>
      </c>
      <c r="O968" s="96">
        <v>46051.8341087963</v>
      </c>
      <c r="P968" s="96">
        <v>46050.8342592593</v>
      </c>
      <c r="Q968" s="84"/>
      <c r="R968" s="84"/>
      <c r="S968" s="84"/>
      <c r="T968" s="84"/>
      <c r="U968" s="84"/>
      <c r="V968" s="84"/>
      <c r="W968" s="84"/>
      <c r="X968" s="84"/>
      <c r="Y968" s="84"/>
      <c r="Z968" s="84"/>
      <c r="AA968" s="84"/>
      <c r="AB968" s="84"/>
      <c r="AC968" s="84"/>
      <c r="AD968" s="84"/>
      <c r="AE968" s="85"/>
    </row>
    <row r="969" s="63" customFormat="1" ht="14.4" customHeight="1" spans="1:31">
      <c r="A969" s="68">
        <v>968</v>
      </c>
      <c r="B969" s="69" t="s">
        <v>94</v>
      </c>
      <c r="C969" s="97" t="s">
        <v>279</v>
      </c>
      <c r="D969" s="97" t="s">
        <v>253</v>
      </c>
      <c r="E969" s="95" t="s">
        <v>115</v>
      </c>
      <c r="F969" s="96">
        <v>46056.8821759259</v>
      </c>
      <c r="G969" s="96">
        <v>46055.8823263889</v>
      </c>
      <c r="H969" s="86" t="s">
        <v>99</v>
      </c>
      <c r="I969" s="87">
        <v>12000</v>
      </c>
      <c r="J969" s="83" t="s">
        <v>116</v>
      </c>
      <c r="K969" s="95" t="s">
        <v>121</v>
      </c>
      <c r="L969" s="96">
        <v>46043.7363541667</v>
      </c>
      <c r="M969" s="96">
        <v>46047.662962963</v>
      </c>
      <c r="N969" s="95" t="s">
        <v>120</v>
      </c>
      <c r="O969" s="96">
        <v>46051.8341087963</v>
      </c>
      <c r="P969" s="96">
        <v>46050.8342592593</v>
      </c>
      <c r="Q969" s="84"/>
      <c r="R969" s="84"/>
      <c r="S969" s="84"/>
      <c r="T969" s="84"/>
      <c r="U969" s="84"/>
      <c r="V969" s="84"/>
      <c r="W969" s="84"/>
      <c r="X969" s="84"/>
      <c r="Y969" s="84"/>
      <c r="Z969" s="84"/>
      <c r="AA969" s="84"/>
      <c r="AB969" s="84"/>
      <c r="AC969" s="84"/>
      <c r="AD969" s="84"/>
      <c r="AE969" s="85"/>
    </row>
    <row r="970" s="63" customFormat="1" ht="14.4" customHeight="1" spans="1:31">
      <c r="A970" s="68">
        <v>969</v>
      </c>
      <c r="B970" s="69" t="s">
        <v>94</v>
      </c>
      <c r="C970" s="97" t="s">
        <v>279</v>
      </c>
      <c r="D970" s="97" t="s">
        <v>254</v>
      </c>
      <c r="E970" s="95" t="s">
        <v>121</v>
      </c>
      <c r="F970" s="96">
        <v>46046.5837731482</v>
      </c>
      <c r="G970" s="96">
        <v>46050.6287731481</v>
      </c>
      <c r="H970" s="86" t="s">
        <v>99</v>
      </c>
      <c r="I970" s="87">
        <v>12000</v>
      </c>
      <c r="J970" s="83" t="s">
        <v>116</v>
      </c>
      <c r="K970" s="89"/>
      <c r="L970" s="90"/>
      <c r="M970" s="82"/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E970" s="85"/>
    </row>
    <row r="971" s="63" customFormat="1" ht="14.4" customHeight="1" spans="1:31">
      <c r="A971" s="68">
        <v>970</v>
      </c>
      <c r="B971" s="69" t="s">
        <v>94</v>
      </c>
      <c r="C971" s="70" t="s">
        <v>279</v>
      </c>
      <c r="D971" s="84" t="s">
        <v>255</v>
      </c>
      <c r="E971" s="88"/>
      <c r="F971" s="84"/>
      <c r="G971" s="84"/>
      <c r="H971" s="86" t="s">
        <v>99</v>
      </c>
      <c r="I971" s="87">
        <v>12000</v>
      </c>
      <c r="J971" s="84"/>
      <c r="K971" s="89"/>
      <c r="L971" s="90"/>
      <c r="M971" s="82"/>
      <c r="N971" s="84"/>
      <c r="O971" s="84"/>
      <c r="P971" s="84"/>
      <c r="Q971" s="84"/>
      <c r="R971" s="84"/>
      <c r="S971" s="84"/>
      <c r="T971" s="84"/>
      <c r="U971" s="84"/>
      <c r="V971" s="84"/>
      <c r="W971" s="84"/>
      <c r="X971" s="84"/>
      <c r="Y971" s="84"/>
      <c r="Z971" s="84"/>
      <c r="AA971" s="84"/>
      <c r="AB971" s="84"/>
      <c r="AC971" s="84"/>
      <c r="AD971" s="84"/>
      <c r="AE971" s="85"/>
    </row>
    <row r="972" s="63" customFormat="1" ht="14.4" customHeight="1" spans="1:31">
      <c r="A972" s="68">
        <v>971</v>
      </c>
      <c r="B972" s="69" t="s">
        <v>94</v>
      </c>
      <c r="C972" s="97" t="s">
        <v>279</v>
      </c>
      <c r="D972" s="97" t="s">
        <v>256</v>
      </c>
      <c r="E972" s="95" t="s">
        <v>121</v>
      </c>
      <c r="F972" s="96">
        <v>46046.5837731482</v>
      </c>
      <c r="G972" s="96">
        <v>46050.632025463</v>
      </c>
      <c r="H972" s="79" t="s">
        <v>97</v>
      </c>
      <c r="I972" s="80">
        <v>16000</v>
      </c>
      <c r="J972" s="83" t="s">
        <v>116</v>
      </c>
      <c r="K972" s="89"/>
      <c r="L972" s="90"/>
      <c r="M972" s="82"/>
      <c r="N972" s="84"/>
      <c r="O972" s="84"/>
      <c r="P972" s="84"/>
      <c r="Q972" s="84"/>
      <c r="R972" s="84"/>
      <c r="S972" s="84"/>
      <c r="T972" s="84"/>
      <c r="U972" s="84"/>
      <c r="V972" s="84"/>
      <c r="W972" s="84"/>
      <c r="X972" s="84"/>
      <c r="Y972" s="84"/>
      <c r="Z972" s="84"/>
      <c r="AA972" s="84"/>
      <c r="AB972" s="84"/>
      <c r="AC972" s="84"/>
      <c r="AD972" s="84"/>
      <c r="AE972" s="85"/>
    </row>
    <row r="973" s="63" customFormat="1" ht="14.4" customHeight="1" spans="1:31">
      <c r="A973" s="68">
        <v>972</v>
      </c>
      <c r="B973" s="69" t="s">
        <v>94</v>
      </c>
      <c r="C973" s="97" t="s">
        <v>279</v>
      </c>
      <c r="D973" s="97" t="s">
        <v>257</v>
      </c>
      <c r="E973" s="95" t="s">
        <v>115</v>
      </c>
      <c r="F973" s="96">
        <v>46056.8821759259</v>
      </c>
      <c r="G973" s="96">
        <v>46055.8823263889</v>
      </c>
      <c r="H973" s="86" t="s">
        <v>99</v>
      </c>
      <c r="I973" s="87">
        <v>12000</v>
      </c>
      <c r="J973" s="83" t="s">
        <v>116</v>
      </c>
      <c r="K973" s="88" t="s">
        <v>117</v>
      </c>
      <c r="L973" s="91">
        <v>45561.6753125</v>
      </c>
      <c r="M973" s="91">
        <v>45610.7963078704</v>
      </c>
      <c r="N973" s="84" t="s">
        <v>138</v>
      </c>
      <c r="O973" s="91">
        <v>45646.6181481481</v>
      </c>
      <c r="P973" s="91">
        <v>45652.6962962963</v>
      </c>
      <c r="Q973" s="95" t="s">
        <v>121</v>
      </c>
      <c r="R973" s="96">
        <v>46043.7363425926</v>
      </c>
      <c r="S973" s="96">
        <v>46047.4706597222</v>
      </c>
      <c r="T973" s="95" t="s">
        <v>120</v>
      </c>
      <c r="U973" s="96">
        <v>46051.8341087963</v>
      </c>
      <c r="V973" s="96">
        <v>46050.8342592593</v>
      </c>
      <c r="W973" s="84"/>
      <c r="X973" s="84"/>
      <c r="Y973" s="84"/>
      <c r="Z973" s="84"/>
      <c r="AA973" s="84"/>
      <c r="AB973" s="84"/>
      <c r="AC973" s="84"/>
      <c r="AD973" s="84"/>
      <c r="AE973" s="85"/>
    </row>
    <row r="974" s="63" customFormat="1" ht="14.4" customHeight="1" spans="1:31">
      <c r="A974" s="68">
        <v>973</v>
      </c>
      <c r="B974" s="69" t="s">
        <v>94</v>
      </c>
      <c r="C974" s="97" t="s">
        <v>279</v>
      </c>
      <c r="D974" s="97" t="s">
        <v>258</v>
      </c>
      <c r="E974" s="95" t="s">
        <v>115</v>
      </c>
      <c r="F974" s="96">
        <v>46058.8822453704</v>
      </c>
      <c r="G974" s="96">
        <v>46057.8823958333</v>
      </c>
      <c r="H974" s="86" t="s">
        <v>99</v>
      </c>
      <c r="I974" s="87">
        <v>12000</v>
      </c>
      <c r="J974" s="83" t="s">
        <v>116</v>
      </c>
      <c r="K974" s="88" t="s">
        <v>117</v>
      </c>
      <c r="L974" s="91">
        <v>45561.6753125</v>
      </c>
      <c r="M974" s="91">
        <v>45610.7963078704</v>
      </c>
      <c r="N974" s="84" t="s">
        <v>138</v>
      </c>
      <c r="O974" s="91">
        <v>45646.6181481481</v>
      </c>
      <c r="P974" s="91">
        <v>45652.6962962963</v>
      </c>
      <c r="Q974" s="95" t="s">
        <v>121</v>
      </c>
      <c r="R974" s="96">
        <v>46043.7363657407</v>
      </c>
      <c r="S974" s="96">
        <v>46047.470474537</v>
      </c>
      <c r="T974" s="95" t="s">
        <v>120</v>
      </c>
      <c r="U974" s="96">
        <v>46051.8341087963</v>
      </c>
      <c r="V974" s="96">
        <v>46050.8342592593</v>
      </c>
      <c r="W974" s="84"/>
      <c r="X974" s="84"/>
      <c r="Y974" s="84"/>
      <c r="Z974" s="84"/>
      <c r="AA974" s="84"/>
      <c r="AB974" s="84"/>
      <c r="AC974" s="84"/>
      <c r="AD974" s="84"/>
      <c r="AE974" s="85"/>
    </row>
    <row r="975" s="63" customFormat="1" ht="14.4" customHeight="1" spans="1:31">
      <c r="A975" s="68">
        <v>974</v>
      </c>
      <c r="B975" s="69" t="s">
        <v>94</v>
      </c>
      <c r="C975" s="97" t="s">
        <v>279</v>
      </c>
      <c r="D975" s="97" t="s">
        <v>259</v>
      </c>
      <c r="E975" s="95" t="s">
        <v>121</v>
      </c>
      <c r="F975" s="96">
        <v>46046.5837731482</v>
      </c>
      <c r="G975" s="96">
        <v>46050.6328819444</v>
      </c>
      <c r="H975" s="86" t="s">
        <v>99</v>
      </c>
      <c r="I975" s="87">
        <v>12000</v>
      </c>
      <c r="J975" s="83" t="s">
        <v>116</v>
      </c>
      <c r="K975" s="88" t="s">
        <v>117</v>
      </c>
      <c r="L975" s="91">
        <v>45561.6753125</v>
      </c>
      <c r="M975" s="91">
        <v>45610.7963078704</v>
      </c>
      <c r="N975" s="84" t="s">
        <v>138</v>
      </c>
      <c r="O975" s="91">
        <v>45646.6181481481</v>
      </c>
      <c r="P975" s="91">
        <v>45652.6962962963</v>
      </c>
      <c r="Q975" s="84"/>
      <c r="R975" s="84"/>
      <c r="S975" s="84"/>
      <c r="T975" s="84"/>
      <c r="U975" s="84"/>
      <c r="V975" s="84"/>
      <c r="W975" s="84"/>
      <c r="X975" s="84"/>
      <c r="Y975" s="84"/>
      <c r="Z975" s="84"/>
      <c r="AA975" s="84"/>
      <c r="AB975" s="84"/>
      <c r="AC975" s="84"/>
      <c r="AD975" s="84"/>
      <c r="AE975" s="85"/>
    </row>
    <row r="976" s="63" customFormat="1" ht="14.4" customHeight="1" spans="1:31">
      <c r="A976" s="68">
        <v>975</v>
      </c>
      <c r="B976" s="69" t="s">
        <v>94</v>
      </c>
      <c r="C976" s="97" t="s">
        <v>279</v>
      </c>
      <c r="D976" s="97" t="s">
        <v>260</v>
      </c>
      <c r="E976" s="95" t="s">
        <v>115</v>
      </c>
      <c r="F976" s="96">
        <v>46056.8821759259</v>
      </c>
      <c r="G976" s="96">
        <v>46055.8823263889</v>
      </c>
      <c r="H976" s="86" t="s">
        <v>99</v>
      </c>
      <c r="I976" s="87">
        <v>12000</v>
      </c>
      <c r="J976" s="83" t="s">
        <v>116</v>
      </c>
      <c r="K976" s="88" t="s">
        <v>117</v>
      </c>
      <c r="L976" s="91">
        <v>45561.6753125</v>
      </c>
      <c r="M976" s="91">
        <v>45610.7963078704</v>
      </c>
      <c r="N976" s="84" t="s">
        <v>138</v>
      </c>
      <c r="O976" s="91">
        <v>45646.6181481481</v>
      </c>
      <c r="P976" s="91">
        <v>45652.6962962963</v>
      </c>
      <c r="Q976" s="95" t="s">
        <v>121</v>
      </c>
      <c r="R976" s="96">
        <v>46043.7363541667</v>
      </c>
      <c r="S976" s="96">
        <v>46047.4702893519</v>
      </c>
      <c r="T976" s="95" t="s">
        <v>120</v>
      </c>
      <c r="U976" s="96">
        <v>46051.8341087963</v>
      </c>
      <c r="V976" s="96">
        <v>46050.8342592593</v>
      </c>
      <c r="W976" s="84"/>
      <c r="X976" s="84"/>
      <c r="Y976" s="84"/>
      <c r="Z976" s="84"/>
      <c r="AA976" s="84"/>
      <c r="AB976" s="84"/>
      <c r="AC976" s="84"/>
      <c r="AD976" s="84"/>
      <c r="AE976" s="85"/>
    </row>
    <row r="977" s="63" customFormat="1" ht="14.4" customHeight="1" spans="1:31">
      <c r="A977" s="68">
        <v>976</v>
      </c>
      <c r="B977" s="69" t="s">
        <v>94</v>
      </c>
      <c r="C977" s="97" t="s">
        <v>279</v>
      </c>
      <c r="D977" s="97" t="s">
        <v>261</v>
      </c>
      <c r="E977" s="95" t="s">
        <v>115</v>
      </c>
      <c r="F977" s="96">
        <v>46056.8821759259</v>
      </c>
      <c r="G977" s="96">
        <v>46055.8823263889</v>
      </c>
      <c r="H977" s="86" t="s">
        <v>99</v>
      </c>
      <c r="I977" s="87">
        <v>12000</v>
      </c>
      <c r="J977" s="83" t="s">
        <v>116</v>
      </c>
      <c r="K977" s="88" t="s">
        <v>117</v>
      </c>
      <c r="L977" s="91">
        <v>45561.6753125</v>
      </c>
      <c r="M977" s="91">
        <v>45610.7963078704</v>
      </c>
      <c r="N977" s="84" t="s">
        <v>138</v>
      </c>
      <c r="O977" s="91">
        <v>45646.6181481481</v>
      </c>
      <c r="P977" s="91">
        <v>45652.6962962963</v>
      </c>
      <c r="Q977" s="95" t="s">
        <v>121</v>
      </c>
      <c r="R977" s="96">
        <v>46043.7363425926</v>
      </c>
      <c r="S977" s="96">
        <v>46047.470150463</v>
      </c>
      <c r="T977" s="95" t="s">
        <v>120</v>
      </c>
      <c r="U977" s="96">
        <v>46051.8341087963</v>
      </c>
      <c r="V977" s="96">
        <v>46050.8342592593</v>
      </c>
      <c r="W977" s="84"/>
      <c r="X977" s="84"/>
      <c r="Y977" s="84"/>
      <c r="Z977" s="84"/>
      <c r="AA977" s="84"/>
      <c r="AB977" s="84"/>
      <c r="AC977" s="84"/>
      <c r="AD977" s="84"/>
      <c r="AE977" s="85"/>
    </row>
    <row r="978" s="63" customFormat="1" ht="14.4" customHeight="1" spans="1:31">
      <c r="A978" s="68">
        <v>977</v>
      </c>
      <c r="B978" s="69" t="s">
        <v>94</v>
      </c>
      <c r="C978" s="97" t="s">
        <v>279</v>
      </c>
      <c r="D978" s="97" t="s">
        <v>262</v>
      </c>
      <c r="E978" s="95" t="s">
        <v>121</v>
      </c>
      <c r="F978" s="96">
        <v>46046.5837731482</v>
      </c>
      <c r="G978" s="96">
        <v>46050.6384259259</v>
      </c>
      <c r="H978" s="86" t="s">
        <v>99</v>
      </c>
      <c r="I978" s="87">
        <v>12000</v>
      </c>
      <c r="J978" s="83" t="s">
        <v>116</v>
      </c>
      <c r="K978" s="88" t="s">
        <v>117</v>
      </c>
      <c r="L978" s="91">
        <v>45561.6753125</v>
      </c>
      <c r="M978" s="91">
        <v>45610.7963078704</v>
      </c>
      <c r="N978" s="84" t="s">
        <v>138</v>
      </c>
      <c r="O978" s="91">
        <v>45646.6181481481</v>
      </c>
      <c r="P978" s="91">
        <v>45652.6962962963</v>
      </c>
      <c r="Q978" s="84"/>
      <c r="R978" s="84"/>
      <c r="S978" s="84"/>
      <c r="T978" s="84"/>
      <c r="U978" s="84"/>
      <c r="V978" s="84"/>
      <c r="W978" s="84"/>
      <c r="X978" s="84"/>
      <c r="Y978" s="84"/>
      <c r="Z978" s="84"/>
      <c r="AA978" s="84"/>
      <c r="AB978" s="84"/>
      <c r="AC978" s="84"/>
      <c r="AD978" s="84"/>
      <c r="AE978" s="85"/>
    </row>
    <row r="979" s="63" customFormat="1" ht="14.4" customHeight="1" spans="1:31">
      <c r="A979" s="68">
        <v>978</v>
      </c>
      <c r="B979" s="69" t="s">
        <v>94</v>
      </c>
      <c r="C979" s="97" t="s">
        <v>279</v>
      </c>
      <c r="D979" s="97" t="s">
        <v>263</v>
      </c>
      <c r="E979" s="84" t="s">
        <v>115</v>
      </c>
      <c r="F979" s="91">
        <v>46090.5071990741</v>
      </c>
      <c r="G979" s="91">
        <v>46088.507337963</v>
      </c>
      <c r="H979" s="86" t="s">
        <v>99</v>
      </c>
      <c r="I979" s="87">
        <v>12000</v>
      </c>
      <c r="J979" s="83" t="s">
        <v>116</v>
      </c>
      <c r="K979" s="88" t="s">
        <v>117</v>
      </c>
      <c r="L979" s="91">
        <v>45561.6753125</v>
      </c>
      <c r="M979" s="91">
        <v>45610.7963078704</v>
      </c>
      <c r="N979" s="84" t="s">
        <v>138</v>
      </c>
      <c r="O979" s="91">
        <v>45646.6181481481</v>
      </c>
      <c r="P979" s="91">
        <v>45652.6962962963</v>
      </c>
      <c r="Q979" s="95" t="s">
        <v>121</v>
      </c>
      <c r="R979" s="96">
        <v>46043.7363657407</v>
      </c>
      <c r="S979" s="96">
        <v>46047.4694560185</v>
      </c>
      <c r="T979" s="95" t="s">
        <v>120</v>
      </c>
      <c r="U979" s="96">
        <v>46051.8341087963</v>
      </c>
      <c r="V979" s="96">
        <v>46050.8342592593</v>
      </c>
      <c r="W979" s="84"/>
      <c r="X979" s="84"/>
      <c r="Y979" s="84"/>
      <c r="Z979" s="84"/>
      <c r="AA979" s="84"/>
      <c r="AB979" s="84"/>
      <c r="AC979" s="84"/>
      <c r="AD979" s="84"/>
      <c r="AE979" s="85"/>
    </row>
    <row r="980" s="63" customFormat="1" ht="14.4" customHeight="1" spans="1:31">
      <c r="A980" s="68">
        <v>979</v>
      </c>
      <c r="B980" s="69" t="s">
        <v>94</v>
      </c>
      <c r="C980" s="97" t="s">
        <v>279</v>
      </c>
      <c r="D980" s="97" t="s">
        <v>264</v>
      </c>
      <c r="E980" s="84" t="s">
        <v>115</v>
      </c>
      <c r="F980" s="91">
        <v>46090.5071990741</v>
      </c>
      <c r="G980" s="91">
        <v>46088.507337963</v>
      </c>
      <c r="H980" s="86" t="s">
        <v>99</v>
      </c>
      <c r="I980" s="87">
        <v>12000</v>
      </c>
      <c r="J980" s="83" t="s">
        <v>116</v>
      </c>
      <c r="K980" s="88" t="s">
        <v>117</v>
      </c>
      <c r="L980" s="91">
        <v>45561.6753125</v>
      </c>
      <c r="M980" s="91">
        <v>45610.7963078704</v>
      </c>
      <c r="N980" s="84" t="s">
        <v>138</v>
      </c>
      <c r="O980" s="91">
        <v>45646.6181481481</v>
      </c>
      <c r="P980" s="91">
        <v>45652.6962962963</v>
      </c>
      <c r="Q980" s="95" t="s">
        <v>121</v>
      </c>
      <c r="R980" s="96">
        <v>46043.7363773148</v>
      </c>
      <c r="S980" s="96">
        <v>46047.4689236111</v>
      </c>
      <c r="T980" s="95" t="s">
        <v>120</v>
      </c>
      <c r="U980" s="96">
        <v>46051.8341087963</v>
      </c>
      <c r="V980" s="96">
        <v>46050.8342592593</v>
      </c>
      <c r="W980" s="84"/>
      <c r="X980" s="84"/>
      <c r="Y980" s="84"/>
      <c r="Z980" s="84"/>
      <c r="AA980" s="84"/>
      <c r="AB980" s="84"/>
      <c r="AC980" s="84"/>
      <c r="AD980" s="84"/>
      <c r="AE980" s="85"/>
    </row>
    <row r="981" s="63" customFormat="1" ht="14.4" customHeight="1" spans="1:31">
      <c r="A981" s="68">
        <v>980</v>
      </c>
      <c r="B981" s="69" t="s">
        <v>94</v>
      </c>
      <c r="C981" s="97" t="s">
        <v>279</v>
      </c>
      <c r="D981" s="97" t="s">
        <v>265</v>
      </c>
      <c r="E981" s="84" t="s">
        <v>115</v>
      </c>
      <c r="F981" s="91">
        <v>46090.5102314815</v>
      </c>
      <c r="G981" s="91">
        <v>46088.5103703704</v>
      </c>
      <c r="H981" s="86" t="s">
        <v>99</v>
      </c>
      <c r="I981" s="87">
        <v>12000</v>
      </c>
      <c r="J981" s="83" t="s">
        <v>116</v>
      </c>
      <c r="K981" s="88" t="s">
        <v>117</v>
      </c>
      <c r="L981" s="91">
        <v>45561.6753125</v>
      </c>
      <c r="M981" s="91">
        <v>45610.7963078704</v>
      </c>
      <c r="N981" s="84" t="s">
        <v>138</v>
      </c>
      <c r="O981" s="91">
        <v>45646.6181481481</v>
      </c>
      <c r="P981" s="91">
        <v>45652.6962962963</v>
      </c>
      <c r="Q981" s="95" t="s">
        <v>121</v>
      </c>
      <c r="R981" s="96">
        <v>46046.5837731482</v>
      </c>
      <c r="S981" s="96">
        <v>46050.6384953704</v>
      </c>
      <c r="T981" s="95" t="s">
        <v>120</v>
      </c>
      <c r="U981" s="96">
        <v>46054.8342361111</v>
      </c>
      <c r="V981" s="96">
        <v>46053.8343981481</v>
      </c>
      <c r="W981" s="84"/>
      <c r="X981" s="84"/>
      <c r="Y981" s="84"/>
      <c r="Z981" s="84"/>
      <c r="AA981" s="84"/>
      <c r="AB981" s="84"/>
      <c r="AC981" s="84"/>
      <c r="AD981" s="84"/>
      <c r="AE981" s="85"/>
    </row>
    <row r="982" s="63" customFormat="1" ht="14.4" customHeight="1" spans="1:31">
      <c r="A982" s="68">
        <v>981</v>
      </c>
      <c r="B982" s="69" t="s">
        <v>94</v>
      </c>
      <c r="C982" s="97" t="s">
        <v>279</v>
      </c>
      <c r="D982" s="97" t="s">
        <v>266</v>
      </c>
      <c r="E982" s="84" t="s">
        <v>115</v>
      </c>
      <c r="F982" s="91">
        <v>46090.5102314815</v>
      </c>
      <c r="G982" s="91">
        <v>46088.5103703704</v>
      </c>
      <c r="H982" s="86" t="s">
        <v>99</v>
      </c>
      <c r="I982" s="87">
        <v>12000</v>
      </c>
      <c r="J982" s="83" t="s">
        <v>116</v>
      </c>
      <c r="K982" s="95" t="s">
        <v>121</v>
      </c>
      <c r="L982" s="96">
        <v>46043.7363425926</v>
      </c>
      <c r="M982" s="96">
        <v>46047.6631134259</v>
      </c>
      <c r="N982" s="95" t="s">
        <v>120</v>
      </c>
      <c r="O982" s="96">
        <v>46051.8341087963</v>
      </c>
      <c r="P982" s="96">
        <v>46050.8342592593</v>
      </c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5"/>
    </row>
    <row r="983" s="63" customFormat="1" ht="14.4" customHeight="1" spans="1:31">
      <c r="A983" s="68">
        <v>982</v>
      </c>
      <c r="B983" s="69" t="s">
        <v>94</v>
      </c>
      <c r="C983" s="97" t="s">
        <v>279</v>
      </c>
      <c r="D983" s="97" t="s">
        <v>267</v>
      </c>
      <c r="E983" s="84" t="s">
        <v>115</v>
      </c>
      <c r="F983" s="91">
        <v>46090.7364236111</v>
      </c>
      <c r="G983" s="91">
        <v>46088.7365625</v>
      </c>
      <c r="H983" s="86" t="s">
        <v>99</v>
      </c>
      <c r="I983" s="87">
        <v>12000</v>
      </c>
      <c r="J983" s="83" t="s">
        <v>116</v>
      </c>
      <c r="K983" s="95" t="s">
        <v>121</v>
      </c>
      <c r="L983" s="96">
        <v>46043.7363541667</v>
      </c>
      <c r="M983" s="96">
        <v>46047.6665856481</v>
      </c>
      <c r="N983" s="95" t="s">
        <v>120</v>
      </c>
      <c r="O983" s="96">
        <v>46051.8341087963</v>
      </c>
      <c r="P983" s="96">
        <v>46050.8342592593</v>
      </c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5"/>
    </row>
    <row r="984" s="63" customFormat="1" ht="14.4" customHeight="1" spans="1:31">
      <c r="A984" s="68">
        <v>983</v>
      </c>
      <c r="B984" s="69" t="s">
        <v>94</v>
      </c>
      <c r="C984" s="97" t="s">
        <v>279</v>
      </c>
      <c r="D984" s="97" t="s">
        <v>268</v>
      </c>
      <c r="E984" s="84" t="s">
        <v>115</v>
      </c>
      <c r="F984" s="91">
        <v>46090.7364467593</v>
      </c>
      <c r="G984" s="91">
        <v>46088.7365856481</v>
      </c>
      <c r="H984" s="86" t="s">
        <v>99</v>
      </c>
      <c r="I984" s="87">
        <v>12000</v>
      </c>
      <c r="J984" s="83" t="s">
        <v>116</v>
      </c>
      <c r="K984" s="95" t="s">
        <v>121</v>
      </c>
      <c r="L984" s="96">
        <v>46046.5837731482</v>
      </c>
      <c r="M984" s="96">
        <v>46050.6385648148</v>
      </c>
      <c r="N984" s="95" t="s">
        <v>120</v>
      </c>
      <c r="O984" s="96">
        <v>46054.8342361111</v>
      </c>
      <c r="P984" s="96">
        <v>46053.8343981481</v>
      </c>
      <c r="Q984" s="84"/>
      <c r="R984" s="84"/>
      <c r="S984" s="84"/>
      <c r="T984" s="84"/>
      <c r="U984" s="84"/>
      <c r="V984" s="84"/>
      <c r="W984" s="84"/>
      <c r="X984" s="84"/>
      <c r="Y984" s="84"/>
      <c r="Z984" s="84"/>
      <c r="AA984" s="84"/>
      <c r="AB984" s="84"/>
      <c r="AC984" s="84"/>
      <c r="AD984" s="84"/>
      <c r="AE984" s="85"/>
    </row>
    <row r="985" s="63" customFormat="1" ht="14.4" customHeight="1" spans="1:31">
      <c r="A985" s="68">
        <v>984</v>
      </c>
      <c r="B985" s="69" t="s">
        <v>94</v>
      </c>
      <c r="C985" s="97" t="s">
        <v>279</v>
      </c>
      <c r="D985" s="97" t="s">
        <v>269</v>
      </c>
      <c r="E985" s="84" t="s">
        <v>115</v>
      </c>
      <c r="F985" s="91">
        <v>46090.7399884259</v>
      </c>
      <c r="G985" s="91">
        <v>46088.7401388889</v>
      </c>
      <c r="H985" s="86" t="s">
        <v>99</v>
      </c>
      <c r="I985" s="87">
        <v>12000</v>
      </c>
      <c r="J985" s="83" t="s">
        <v>116</v>
      </c>
      <c r="K985" s="95" t="s">
        <v>121</v>
      </c>
      <c r="L985" s="96">
        <v>46043.7363425926</v>
      </c>
      <c r="M985" s="96">
        <v>46047.6667476852</v>
      </c>
      <c r="N985" s="95" t="s">
        <v>120</v>
      </c>
      <c r="O985" s="96">
        <v>46051.8341087963</v>
      </c>
      <c r="P985" s="96">
        <v>46050.8342592593</v>
      </c>
      <c r="Q985" s="84"/>
      <c r="R985" s="84"/>
      <c r="S985" s="84"/>
      <c r="T985" s="84"/>
      <c r="U985" s="84"/>
      <c r="V985" s="84"/>
      <c r="W985" s="84"/>
      <c r="X985" s="84"/>
      <c r="Y985" s="84"/>
      <c r="Z985" s="84"/>
      <c r="AA985" s="84"/>
      <c r="AB985" s="84"/>
      <c r="AC985" s="84"/>
      <c r="AD985" s="84"/>
      <c r="AE985" s="85"/>
    </row>
    <row r="986" s="63" customFormat="1" ht="14.4" customHeight="1" spans="1:31">
      <c r="A986" s="68">
        <v>985</v>
      </c>
      <c r="B986" s="69" t="s">
        <v>94</v>
      </c>
      <c r="C986" s="97" t="s">
        <v>279</v>
      </c>
      <c r="D986" s="97" t="s">
        <v>270</v>
      </c>
      <c r="E986" s="84" t="s">
        <v>115</v>
      </c>
      <c r="F986" s="91">
        <v>46090.74</v>
      </c>
      <c r="G986" s="91">
        <v>46088.7401388889</v>
      </c>
      <c r="H986" s="86" t="s">
        <v>99</v>
      </c>
      <c r="I986" s="87">
        <v>12000</v>
      </c>
      <c r="J986" s="83" t="s">
        <v>116</v>
      </c>
      <c r="K986" s="95" t="s">
        <v>121</v>
      </c>
      <c r="L986" s="96">
        <v>46043.7363541667</v>
      </c>
      <c r="M986" s="96">
        <v>46047.6676736111</v>
      </c>
      <c r="N986" s="95" t="s">
        <v>120</v>
      </c>
      <c r="O986" s="96">
        <v>46051.8341087963</v>
      </c>
      <c r="P986" s="96">
        <v>46050.8342592593</v>
      </c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A986" s="84"/>
      <c r="AB986" s="84"/>
      <c r="AC986" s="84"/>
      <c r="AD986" s="84"/>
      <c r="AE986" s="85"/>
    </row>
    <row r="987" s="63" customFormat="1" ht="14.4" customHeight="1" spans="1:31">
      <c r="A987" s="68">
        <v>986</v>
      </c>
      <c r="B987" s="69" t="s">
        <v>94</v>
      </c>
      <c r="C987" s="70" t="s">
        <v>279</v>
      </c>
      <c r="D987" s="84" t="s">
        <v>271</v>
      </c>
      <c r="E987" s="88"/>
      <c r="F987" s="84"/>
      <c r="G987" s="84"/>
      <c r="H987" s="86" t="s">
        <v>99</v>
      </c>
      <c r="I987" s="87">
        <v>12000</v>
      </c>
      <c r="J987" s="84"/>
      <c r="K987" s="89"/>
      <c r="L987" s="90"/>
      <c r="M987" s="82"/>
      <c r="N987" s="84"/>
      <c r="O987" s="84"/>
      <c r="P987" s="84"/>
      <c r="Q987" s="84"/>
      <c r="R987" s="84"/>
      <c r="S987" s="84"/>
      <c r="T987" s="84"/>
      <c r="U987" s="84"/>
      <c r="V987" s="84"/>
      <c r="W987" s="84"/>
      <c r="X987" s="84"/>
      <c r="Y987" s="84"/>
      <c r="Z987" s="84"/>
      <c r="AA987" s="84"/>
      <c r="AB987" s="84"/>
      <c r="AC987" s="84"/>
      <c r="AD987" s="84"/>
      <c r="AE987" s="85"/>
    </row>
    <row r="988" s="63" customFormat="1" ht="14.4" customHeight="1" spans="1:31">
      <c r="A988" s="68">
        <v>987</v>
      </c>
      <c r="B988" s="69" t="s">
        <v>94</v>
      </c>
      <c r="C988" s="70" t="s">
        <v>279</v>
      </c>
      <c r="D988" s="84" t="s">
        <v>272</v>
      </c>
      <c r="E988" s="88"/>
      <c r="F988" s="84"/>
      <c r="G988" s="84"/>
      <c r="H988" s="86" t="s">
        <v>99</v>
      </c>
      <c r="I988" s="87">
        <v>12000</v>
      </c>
      <c r="J988" s="84"/>
      <c r="K988" s="89"/>
      <c r="L988" s="90"/>
      <c r="M988" s="82"/>
      <c r="N988" s="84"/>
      <c r="O988" s="84"/>
      <c r="P988" s="84"/>
      <c r="Q988" s="84"/>
      <c r="R988" s="84"/>
      <c r="S988" s="84"/>
      <c r="T988" s="84"/>
      <c r="U988" s="84"/>
      <c r="V988" s="84"/>
      <c r="W988" s="84"/>
      <c r="X988" s="84"/>
      <c r="Y988" s="84"/>
      <c r="Z988" s="84"/>
      <c r="AA988" s="84"/>
      <c r="AB988" s="84"/>
      <c r="AC988" s="84"/>
      <c r="AD988" s="84"/>
      <c r="AE988" s="85"/>
    </row>
    <row r="989" s="63" customFormat="1" ht="14.4" customHeight="1" spans="1:31">
      <c r="A989" s="68">
        <v>988</v>
      </c>
      <c r="B989" s="69" t="s">
        <v>94</v>
      </c>
      <c r="C989" s="70" t="s">
        <v>279</v>
      </c>
      <c r="D989" s="84" t="s">
        <v>273</v>
      </c>
      <c r="E989" s="88"/>
      <c r="F989" s="84"/>
      <c r="G989" s="84"/>
      <c r="H989" s="86" t="s">
        <v>99</v>
      </c>
      <c r="I989" s="87">
        <v>12000</v>
      </c>
      <c r="J989" s="84"/>
      <c r="K989" s="89"/>
      <c r="L989" s="90"/>
      <c r="M989" s="82"/>
      <c r="N989" s="84"/>
      <c r="O989" s="84"/>
      <c r="P989" s="84"/>
      <c r="Q989" s="84"/>
      <c r="R989" s="84"/>
      <c r="S989" s="84"/>
      <c r="T989" s="84"/>
      <c r="U989" s="84"/>
      <c r="V989" s="84"/>
      <c r="W989" s="84"/>
      <c r="X989" s="84"/>
      <c r="Y989" s="84"/>
      <c r="Z989" s="84"/>
      <c r="AA989" s="84"/>
      <c r="AB989" s="84"/>
      <c r="AC989" s="84"/>
      <c r="AD989" s="84"/>
      <c r="AE989" s="85"/>
    </row>
  </sheetData>
  <autoFilter xmlns:etc="http://www.wps.cn/officeDocument/2017/etCustomData" ref="A1:J989" etc:filterBottomFollowUsedRange="0">
    <extLst/>
  </autoFilter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zoomScale="85" zoomScaleNormal="85" topLeftCell="A13" workbookViewId="0">
      <selection activeCell="Q33" sqref="Q33"/>
    </sheetView>
  </sheetViews>
  <sheetFormatPr defaultColWidth="9" defaultRowHeight="14"/>
  <cols>
    <col min="1" max="3" width="3.66363636363636" customWidth="1"/>
    <col min="4" max="5" width="5.44545454545455" customWidth="1"/>
    <col min="6" max="6" width="4.78181818181818" customWidth="1"/>
    <col min="7" max="7" width="3.66363636363636" customWidth="1"/>
    <col min="8" max="8" width="7.44545454545455" customWidth="1"/>
    <col min="9" max="9" width="5.44545454545455" customWidth="1"/>
    <col min="10" max="11" width="3.66363636363636" customWidth="1"/>
    <col min="12" max="13" width="5.44545454545455" customWidth="1"/>
    <col min="14" max="15" width="3.66363636363636" customWidth="1"/>
    <col min="16" max="17" width="5.44545454545455" customWidth="1"/>
    <col min="18" max="19" width="3.66363636363636" customWidth="1"/>
    <col min="20" max="20" width="5.44545454545455" customWidth="1"/>
    <col min="21" max="21" width="5.10909090909091" customWidth="1"/>
    <col min="22" max="23" width="3.66363636363636" customWidth="1"/>
    <col min="24" max="25" width="5.44545454545455" customWidth="1"/>
    <col min="26" max="27" width="3.66363636363636" customWidth="1"/>
    <col min="28" max="29" width="5.44545454545455" customWidth="1"/>
    <col min="30" max="31" width="3.66363636363636" customWidth="1"/>
    <col min="32" max="33" width="5.44545454545455" customWidth="1"/>
    <col min="34" max="35" width="3.66363636363636" customWidth="1"/>
    <col min="36" max="37" width="5.44545454545455" customWidth="1"/>
    <col min="38" max="39" width="3.66363636363636" customWidth="1"/>
    <col min="40" max="41" width="5.44545454545455" customWidth="1"/>
    <col min="42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1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.05" customHeight="1" spans="2:50">
      <c r="B3" s="11" t="s">
        <v>280</v>
      </c>
      <c r="C3" s="12"/>
      <c r="D3" s="1"/>
      <c r="E3" s="1"/>
      <c r="F3" s="1"/>
      <c r="G3" s="1"/>
      <c r="H3" s="1"/>
      <c r="I3" s="11" t="s">
        <v>281</v>
      </c>
      <c r="J3" s="12"/>
      <c r="K3" s="11" t="s">
        <v>282</v>
      </c>
      <c r="L3" s="12"/>
      <c r="M3" s="1"/>
      <c r="N3" s="1"/>
      <c r="O3" s="1"/>
      <c r="P3" s="11" t="s">
        <v>283</v>
      </c>
      <c r="Q3" s="12"/>
      <c r="R3" s="1"/>
      <c r="S3" s="1"/>
      <c r="T3" s="11" t="s">
        <v>284</v>
      </c>
      <c r="U3" s="12"/>
      <c r="V3" s="1"/>
      <c r="W3" s="1"/>
      <c r="X3" s="1"/>
      <c r="Y3" s="11" t="s">
        <v>285</v>
      </c>
      <c r="Z3" s="12"/>
      <c r="AA3" s="11" t="s">
        <v>286</v>
      </c>
      <c r="AB3" s="12"/>
      <c r="AC3" s="1"/>
      <c r="AD3" s="1"/>
      <c r="AE3" s="1"/>
      <c r="AF3" s="1"/>
      <c r="AG3" s="11" t="s">
        <v>287</v>
      </c>
      <c r="AH3" s="12"/>
      <c r="AI3" s="1"/>
      <c r="AJ3" s="1"/>
      <c r="AK3" s="11" t="s">
        <v>288</v>
      </c>
      <c r="AL3" s="12"/>
      <c r="AM3" s="1"/>
      <c r="AN3" s="1"/>
      <c r="AO3" s="1"/>
      <c r="AP3" s="11" t="s">
        <v>289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290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291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292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293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6"/>
      <c r="C7" s="27"/>
      <c r="D7" s="28" t="s">
        <v>294</v>
      </c>
      <c r="E7" s="28"/>
      <c r="F7" s="27"/>
      <c r="G7" s="27"/>
      <c r="H7" s="28" t="s">
        <v>295</v>
      </c>
      <c r="I7" s="28"/>
      <c r="J7" s="27"/>
      <c r="K7" s="27"/>
      <c r="L7" s="28" t="s">
        <v>296</v>
      </c>
      <c r="M7" s="28"/>
      <c r="N7" s="27"/>
      <c r="O7" s="27"/>
      <c r="P7" s="28" t="s">
        <v>297</v>
      </c>
      <c r="Q7" s="28"/>
      <c r="R7" s="27"/>
      <c r="S7" s="27"/>
      <c r="T7" s="28" t="s">
        <v>298</v>
      </c>
      <c r="U7" s="28"/>
      <c r="V7" s="27"/>
      <c r="W7" s="27"/>
      <c r="X7" s="28" t="s">
        <v>299</v>
      </c>
      <c r="Y7" s="28"/>
      <c r="Z7" s="27"/>
      <c r="AA7" s="27"/>
      <c r="AB7" s="28" t="s">
        <v>300</v>
      </c>
      <c r="AC7" s="28"/>
      <c r="AD7" s="27"/>
      <c r="AE7" s="27"/>
      <c r="AF7" s="28" t="s">
        <v>301</v>
      </c>
      <c r="AG7" s="28"/>
      <c r="AH7" s="27"/>
      <c r="AI7" s="27"/>
      <c r="AJ7" s="28" t="s">
        <v>302</v>
      </c>
      <c r="AK7" s="28"/>
      <c r="AL7" s="27"/>
      <c r="AM7" s="27"/>
      <c r="AN7" s="28" t="s">
        <v>303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304</v>
      </c>
      <c r="E8" s="31" t="s">
        <v>305</v>
      </c>
      <c r="F8" s="4"/>
      <c r="G8" s="4"/>
      <c r="H8" s="31" t="s">
        <v>305</v>
      </c>
      <c r="I8" s="31" t="s">
        <v>304</v>
      </c>
      <c r="J8" s="4"/>
      <c r="K8" s="4"/>
      <c r="L8" s="31" t="s">
        <v>304</v>
      </c>
      <c r="M8" s="31" t="s">
        <v>305</v>
      </c>
      <c r="N8" s="4"/>
      <c r="O8" s="4"/>
      <c r="P8" s="31" t="s">
        <v>305</v>
      </c>
      <c r="Q8" s="31" t="s">
        <v>304</v>
      </c>
      <c r="R8" s="4"/>
      <c r="S8" s="4"/>
      <c r="T8" s="31" t="s">
        <v>304</v>
      </c>
      <c r="U8" s="31" t="s">
        <v>305</v>
      </c>
      <c r="V8" s="4"/>
      <c r="W8" s="4"/>
      <c r="X8" s="31" t="s">
        <v>305</v>
      </c>
      <c r="Y8" s="31" t="s">
        <v>304</v>
      </c>
      <c r="Z8" s="4"/>
      <c r="AA8" s="4"/>
      <c r="AB8" s="31" t="s">
        <v>304</v>
      </c>
      <c r="AC8" s="31" t="s">
        <v>306</v>
      </c>
      <c r="AD8" s="4"/>
      <c r="AE8" s="4"/>
      <c r="AF8" s="31" t="s">
        <v>307</v>
      </c>
      <c r="AG8" s="31" t="s">
        <v>308</v>
      </c>
      <c r="AH8" s="4"/>
      <c r="AI8" s="4"/>
      <c r="AJ8" s="31" t="s">
        <v>304</v>
      </c>
      <c r="AK8" s="31" t="s">
        <v>305</v>
      </c>
      <c r="AL8" s="4"/>
      <c r="AM8" s="4"/>
      <c r="AN8" s="31" t="s">
        <v>305</v>
      </c>
      <c r="AO8" s="31" t="s">
        <v>309</v>
      </c>
      <c r="AP8" s="1"/>
      <c r="AQ8" s="32"/>
      <c r="AU8" s="6"/>
      <c r="AV8" s="6"/>
      <c r="AW8" s="1"/>
    </row>
    <row r="9" spans="2:50">
      <c r="B9" s="24"/>
      <c r="D9" s="38" t="s">
        <v>96</v>
      </c>
      <c r="E9" s="38"/>
      <c r="F9" s="33"/>
      <c r="G9" s="33"/>
      <c r="H9" s="52" t="s">
        <v>114</v>
      </c>
      <c r="I9" s="53"/>
      <c r="L9" s="52" t="s">
        <v>137</v>
      </c>
      <c r="M9" s="53"/>
      <c r="N9" s="33"/>
      <c r="O9" s="33"/>
      <c r="P9" s="52" t="s">
        <v>154</v>
      </c>
      <c r="Q9" s="53"/>
      <c r="T9" s="52" t="s">
        <v>172</v>
      </c>
      <c r="U9" s="53"/>
      <c r="V9" s="33"/>
      <c r="W9" s="33"/>
      <c r="X9" s="52" t="s">
        <v>188</v>
      </c>
      <c r="Y9" s="53"/>
      <c r="AB9" s="52" t="s">
        <v>206</v>
      </c>
      <c r="AC9" s="53"/>
      <c r="AD9" s="33"/>
      <c r="AE9" s="33"/>
      <c r="AF9" s="52" t="s">
        <v>222</v>
      </c>
      <c r="AG9" s="53"/>
      <c r="AJ9" s="52" t="s">
        <v>240</v>
      </c>
      <c r="AK9" s="53"/>
      <c r="AL9" s="33"/>
      <c r="AM9" s="33"/>
      <c r="AN9" s="52" t="s">
        <v>256</v>
      </c>
      <c r="AO9" s="53"/>
      <c r="AP9" s="1"/>
      <c r="AQ9" s="32"/>
      <c r="AU9" s="6"/>
      <c r="AV9" s="6"/>
      <c r="AW9" s="1"/>
    </row>
    <row r="10" spans="2:50">
      <c r="B10" s="24"/>
      <c r="D10" s="38" t="s">
        <v>98</v>
      </c>
      <c r="E10" s="38"/>
      <c r="F10" s="33"/>
      <c r="G10" s="33"/>
      <c r="H10" s="38" t="s">
        <v>118</v>
      </c>
      <c r="I10" s="38"/>
      <c r="L10" s="52" t="s">
        <v>139</v>
      </c>
      <c r="M10" s="53"/>
      <c r="N10" s="33"/>
      <c r="O10" s="33"/>
      <c r="P10" s="52" t="s">
        <v>155</v>
      </c>
      <c r="Q10" s="53"/>
      <c r="T10" s="52" t="s">
        <v>173</v>
      </c>
      <c r="U10" s="53"/>
      <c r="V10" s="33"/>
      <c r="W10" s="33"/>
      <c r="X10" s="52" t="s">
        <v>189</v>
      </c>
      <c r="Y10" s="53"/>
      <c r="AB10" s="52" t="s">
        <v>207</v>
      </c>
      <c r="AC10" s="53"/>
      <c r="AD10" s="33"/>
      <c r="AE10" s="33"/>
      <c r="AF10" s="52" t="s">
        <v>223</v>
      </c>
      <c r="AG10" s="53"/>
      <c r="AJ10" s="52" t="s">
        <v>241</v>
      </c>
      <c r="AK10" s="53"/>
      <c r="AL10" s="33"/>
      <c r="AM10" s="33"/>
      <c r="AN10" s="52" t="s">
        <v>257</v>
      </c>
      <c r="AO10" s="53"/>
      <c r="AP10" s="1"/>
      <c r="AQ10" s="32"/>
      <c r="AR10" s="35"/>
      <c r="AU10" s="6"/>
    </row>
    <row r="11" spans="2:50">
      <c r="B11" s="24"/>
      <c r="D11" s="38" t="s">
        <v>100</v>
      </c>
      <c r="E11" s="38"/>
      <c r="F11" s="33"/>
      <c r="G11" s="33"/>
      <c r="H11" s="52" t="s">
        <v>119</v>
      </c>
      <c r="I11" s="53"/>
      <c r="L11" s="52" t="s">
        <v>140</v>
      </c>
      <c r="M11" s="53"/>
      <c r="N11" s="33"/>
      <c r="O11" s="33"/>
      <c r="P11" s="52" t="s">
        <v>156</v>
      </c>
      <c r="Q11" s="53"/>
      <c r="T11" s="52" t="s">
        <v>174</v>
      </c>
      <c r="U11" s="53"/>
      <c r="V11" s="33"/>
      <c r="W11" s="33"/>
      <c r="X11" s="52" t="s">
        <v>190</v>
      </c>
      <c r="Y11" s="53"/>
      <c r="AB11" s="52" t="s">
        <v>208</v>
      </c>
      <c r="AC11" s="53"/>
      <c r="AD11" s="33"/>
      <c r="AE11" s="33"/>
      <c r="AF11" s="52" t="s">
        <v>224</v>
      </c>
      <c r="AG11" s="53"/>
      <c r="AJ11" s="52" t="s">
        <v>242</v>
      </c>
      <c r="AK11" s="53"/>
      <c r="AL11" s="33"/>
      <c r="AM11" s="33"/>
      <c r="AN11" s="52" t="s">
        <v>258</v>
      </c>
      <c r="AO11" s="53"/>
      <c r="AP11" s="1"/>
      <c r="AQ11" s="32"/>
      <c r="AU11" s="6"/>
    </row>
    <row r="12" spans="2:50">
      <c r="B12" s="24"/>
      <c r="D12" s="38" t="s">
        <v>101</v>
      </c>
      <c r="E12" s="38"/>
      <c r="F12" s="33"/>
      <c r="G12" s="33"/>
      <c r="H12" s="52" t="s">
        <v>122</v>
      </c>
      <c r="I12" s="53"/>
      <c r="L12" s="52" t="s">
        <v>141</v>
      </c>
      <c r="M12" s="53"/>
      <c r="N12" s="33"/>
      <c r="O12" s="33"/>
      <c r="P12" s="52" t="s">
        <v>157</v>
      </c>
      <c r="Q12" s="53"/>
      <c r="T12" s="52" t="s">
        <v>175</v>
      </c>
      <c r="U12" s="53"/>
      <c r="V12" s="33"/>
      <c r="W12" s="33"/>
      <c r="X12" s="52" t="s">
        <v>191</v>
      </c>
      <c r="Y12" s="53"/>
      <c r="AB12" s="52" t="s">
        <v>209</v>
      </c>
      <c r="AC12" s="53"/>
      <c r="AD12" s="33"/>
      <c r="AE12" s="33"/>
      <c r="AF12" s="52" t="s">
        <v>225</v>
      </c>
      <c r="AG12" s="53"/>
      <c r="AJ12" s="52" t="s">
        <v>243</v>
      </c>
      <c r="AK12" s="53"/>
      <c r="AL12" s="33"/>
      <c r="AM12" s="33"/>
      <c r="AN12" s="52" t="s">
        <v>259</v>
      </c>
      <c r="AO12" s="53"/>
      <c r="AP12" s="1"/>
      <c r="AQ12" s="32"/>
      <c r="AU12" s="6"/>
    </row>
    <row r="13" spans="2:50">
      <c r="B13" s="24"/>
      <c r="D13" s="38" t="s">
        <v>102</v>
      </c>
      <c r="E13" s="38"/>
      <c r="F13" s="33"/>
      <c r="G13" s="33"/>
      <c r="H13" s="52" t="s">
        <v>123</v>
      </c>
      <c r="I13" s="53"/>
      <c r="L13" s="52" t="s">
        <v>142</v>
      </c>
      <c r="M13" s="53"/>
      <c r="N13" s="33"/>
      <c r="O13" s="33"/>
      <c r="P13" s="52" t="s">
        <v>158</v>
      </c>
      <c r="Q13" s="53"/>
      <c r="T13" s="52" t="s">
        <v>176</v>
      </c>
      <c r="U13" s="53"/>
      <c r="V13" s="33"/>
      <c r="W13" s="33"/>
      <c r="X13" s="52" t="s">
        <v>192</v>
      </c>
      <c r="Y13" s="53"/>
      <c r="AB13" s="52" t="s">
        <v>210</v>
      </c>
      <c r="AC13" s="53"/>
      <c r="AD13" s="33"/>
      <c r="AE13" s="33"/>
      <c r="AF13" s="52" t="s">
        <v>226</v>
      </c>
      <c r="AG13" s="53"/>
      <c r="AJ13" s="52" t="s">
        <v>244</v>
      </c>
      <c r="AK13" s="53"/>
      <c r="AL13" s="33"/>
      <c r="AM13" s="33"/>
      <c r="AN13" s="52" t="s">
        <v>260</v>
      </c>
      <c r="AO13" s="53"/>
      <c r="AP13" s="1"/>
      <c r="AQ13" s="32"/>
    </row>
    <row r="14" spans="2:50">
      <c r="B14" s="24"/>
      <c r="D14" s="38" t="s">
        <v>103</v>
      </c>
      <c r="E14" s="38"/>
      <c r="F14" s="33"/>
      <c r="G14" s="33"/>
      <c r="H14" s="52" t="s">
        <v>124</v>
      </c>
      <c r="I14" s="53"/>
      <c r="L14" s="52" t="s">
        <v>143</v>
      </c>
      <c r="M14" s="53"/>
      <c r="N14" s="33"/>
      <c r="O14" s="33"/>
      <c r="P14" s="52" t="s">
        <v>159</v>
      </c>
      <c r="Q14" s="53"/>
      <c r="T14" s="52" t="s">
        <v>177</v>
      </c>
      <c r="U14" s="53"/>
      <c r="V14" s="33"/>
      <c r="W14" s="33"/>
      <c r="X14" s="52" t="s">
        <v>193</v>
      </c>
      <c r="Y14" s="53"/>
      <c r="AB14" s="52" t="s">
        <v>211</v>
      </c>
      <c r="AC14" s="53"/>
      <c r="AD14" s="33"/>
      <c r="AE14" s="33"/>
      <c r="AF14" s="52" t="s">
        <v>227</v>
      </c>
      <c r="AG14" s="53"/>
      <c r="AJ14" s="52" t="s">
        <v>245</v>
      </c>
      <c r="AK14" s="53"/>
      <c r="AL14" s="33"/>
      <c r="AM14" s="33"/>
      <c r="AN14" s="52" t="s">
        <v>261</v>
      </c>
      <c r="AO14" s="53"/>
      <c r="AP14" s="1"/>
      <c r="AQ14" s="32"/>
    </row>
    <row r="15" spans="2:50">
      <c r="B15" s="24"/>
      <c r="D15" s="38" t="s">
        <v>104</v>
      </c>
      <c r="E15" s="38"/>
      <c r="F15" s="33"/>
      <c r="G15" s="33"/>
      <c r="H15" s="52" t="s">
        <v>125</v>
      </c>
      <c r="I15" s="53"/>
      <c r="L15" s="52" t="s">
        <v>144</v>
      </c>
      <c r="M15" s="53"/>
      <c r="N15" s="33"/>
      <c r="O15" s="33"/>
      <c r="P15" s="52" t="s">
        <v>160</v>
      </c>
      <c r="Q15" s="53"/>
      <c r="T15" s="52" t="s">
        <v>178</v>
      </c>
      <c r="U15" s="53"/>
      <c r="V15" s="33"/>
      <c r="W15" s="33"/>
      <c r="X15" s="52" t="s">
        <v>194</v>
      </c>
      <c r="Y15" s="53"/>
      <c r="AB15" s="52" t="s">
        <v>212</v>
      </c>
      <c r="AC15" s="53"/>
      <c r="AD15" s="33"/>
      <c r="AE15" s="33"/>
      <c r="AF15" s="52" t="s">
        <v>228</v>
      </c>
      <c r="AG15" s="53"/>
      <c r="AJ15" s="52" t="s">
        <v>246</v>
      </c>
      <c r="AK15" s="53"/>
      <c r="AL15" s="33"/>
      <c r="AM15" s="33"/>
      <c r="AN15" s="52" t="s">
        <v>262</v>
      </c>
      <c r="AO15" s="53"/>
      <c r="AP15" s="1"/>
      <c r="AQ15" s="32"/>
    </row>
    <row r="16" spans="2:50">
      <c r="B16" s="24"/>
      <c r="D16" s="38" t="s">
        <v>105</v>
      </c>
      <c r="E16" s="38"/>
      <c r="F16" s="33"/>
      <c r="G16" s="33"/>
      <c r="H16" s="52" t="s">
        <v>126</v>
      </c>
      <c r="I16" s="53"/>
      <c r="L16" s="52" t="s">
        <v>145</v>
      </c>
      <c r="M16" s="53"/>
      <c r="N16" s="33"/>
      <c r="O16" s="33"/>
      <c r="P16" s="52" t="s">
        <v>161</v>
      </c>
      <c r="Q16" s="53"/>
      <c r="T16" s="52" t="s">
        <v>179</v>
      </c>
      <c r="U16" s="53"/>
      <c r="V16" s="33"/>
      <c r="W16" s="33"/>
      <c r="X16" s="52" t="s">
        <v>195</v>
      </c>
      <c r="Y16" s="53"/>
      <c r="AB16" s="52" t="s">
        <v>213</v>
      </c>
      <c r="AC16" s="53"/>
      <c r="AD16" s="33"/>
      <c r="AE16" s="33"/>
      <c r="AF16" s="52" t="s">
        <v>229</v>
      </c>
      <c r="AG16" s="53"/>
      <c r="AJ16" s="52" t="s">
        <v>247</v>
      </c>
      <c r="AK16" s="53"/>
      <c r="AL16" s="33"/>
      <c r="AM16" s="33"/>
      <c r="AN16" s="52" t="s">
        <v>263</v>
      </c>
      <c r="AO16" s="53"/>
      <c r="AP16" s="1"/>
      <c r="AQ16" s="32"/>
    </row>
    <row r="17" spans="2:43">
      <c r="B17" s="24"/>
      <c r="D17" s="38" t="s">
        <v>106</v>
      </c>
      <c r="E17" s="38"/>
      <c r="F17" s="33"/>
      <c r="G17" s="33"/>
      <c r="H17" s="52" t="s">
        <v>127</v>
      </c>
      <c r="I17" s="53"/>
      <c r="L17" s="52" t="s">
        <v>146</v>
      </c>
      <c r="M17" s="53"/>
      <c r="N17" s="33"/>
      <c r="O17" s="33"/>
      <c r="P17" s="52" t="s">
        <v>162</v>
      </c>
      <c r="Q17" s="53"/>
      <c r="T17" s="52" t="s">
        <v>180</v>
      </c>
      <c r="U17" s="53"/>
      <c r="V17" s="33"/>
      <c r="W17" s="33"/>
      <c r="X17" s="52" t="s">
        <v>196</v>
      </c>
      <c r="Y17" s="53"/>
      <c r="AB17" s="52" t="s">
        <v>214</v>
      </c>
      <c r="AC17" s="53"/>
      <c r="AD17" s="33"/>
      <c r="AE17" s="33"/>
      <c r="AF17" s="52" t="s">
        <v>230</v>
      </c>
      <c r="AG17" s="53"/>
      <c r="AJ17" s="52" t="s">
        <v>248</v>
      </c>
      <c r="AK17" s="53"/>
      <c r="AL17" s="33"/>
      <c r="AM17" s="33"/>
      <c r="AN17" s="52" t="s">
        <v>264</v>
      </c>
      <c r="AO17" s="53"/>
      <c r="AP17" s="1"/>
      <c r="AQ17" s="32"/>
    </row>
    <row r="18" spans="2:43">
      <c r="B18" s="24"/>
      <c r="D18" s="38" t="s">
        <v>107</v>
      </c>
      <c r="E18" s="38"/>
      <c r="F18" s="33"/>
      <c r="G18" s="33"/>
      <c r="H18" s="52" t="s">
        <v>128</v>
      </c>
      <c r="I18" s="53"/>
      <c r="L18" s="52" t="s">
        <v>147</v>
      </c>
      <c r="M18" s="53"/>
      <c r="N18" s="33"/>
      <c r="O18" s="33"/>
      <c r="P18" s="52" t="s">
        <v>163</v>
      </c>
      <c r="Q18" s="53"/>
      <c r="T18" s="52" t="s">
        <v>181</v>
      </c>
      <c r="U18" s="53"/>
      <c r="V18" s="33"/>
      <c r="W18" s="33"/>
      <c r="X18" s="52" t="s">
        <v>197</v>
      </c>
      <c r="Y18" s="53"/>
      <c r="AB18" s="52" t="s">
        <v>215</v>
      </c>
      <c r="AC18" s="53"/>
      <c r="AD18" s="33"/>
      <c r="AE18" s="33"/>
      <c r="AF18" s="52" t="s">
        <v>231</v>
      </c>
      <c r="AG18" s="53"/>
      <c r="AJ18" s="52" t="s">
        <v>249</v>
      </c>
      <c r="AK18" s="53"/>
      <c r="AL18" s="33"/>
      <c r="AM18" s="33"/>
      <c r="AN18" s="52" t="s">
        <v>265</v>
      </c>
      <c r="AO18" s="53"/>
      <c r="AP18" s="1"/>
      <c r="AQ18" s="32"/>
    </row>
    <row r="19" spans="2:43">
      <c r="B19" s="24"/>
      <c r="D19" s="36"/>
      <c r="E19" s="36"/>
      <c r="F19" s="33"/>
      <c r="G19" s="33"/>
      <c r="H19" s="52" t="s">
        <v>129</v>
      </c>
      <c r="I19" s="53"/>
      <c r="L19" s="36"/>
      <c r="M19" s="36"/>
      <c r="N19" s="33"/>
      <c r="O19" s="33"/>
      <c r="P19" s="52" t="s">
        <v>164</v>
      </c>
      <c r="Q19" s="53"/>
      <c r="T19" s="36"/>
      <c r="U19" s="36"/>
      <c r="V19" s="33"/>
      <c r="W19" s="33"/>
      <c r="X19" s="52" t="s">
        <v>198</v>
      </c>
      <c r="Y19" s="53"/>
      <c r="AB19" s="36"/>
      <c r="AC19" s="36"/>
      <c r="AD19" s="33"/>
      <c r="AE19" s="33"/>
      <c r="AF19" s="52" t="s">
        <v>232</v>
      </c>
      <c r="AG19" s="53"/>
      <c r="AJ19" s="36"/>
      <c r="AK19" s="36"/>
      <c r="AL19" s="33"/>
      <c r="AM19" s="33"/>
      <c r="AN19" s="52" t="s">
        <v>266</v>
      </c>
      <c r="AO19" s="53"/>
      <c r="AP19" s="1"/>
      <c r="AQ19" s="32"/>
    </row>
    <row r="20" spans="2:43">
      <c r="B20" s="24"/>
      <c r="D20" s="36"/>
      <c r="E20" s="36"/>
      <c r="F20" s="33"/>
      <c r="G20" s="33"/>
      <c r="H20" s="52" t="s">
        <v>130</v>
      </c>
      <c r="I20" s="53"/>
      <c r="L20" s="36"/>
      <c r="M20" s="36"/>
      <c r="N20" s="33"/>
      <c r="O20" s="33"/>
      <c r="P20" s="52" t="s">
        <v>165</v>
      </c>
      <c r="Q20" s="53"/>
      <c r="T20" s="36"/>
      <c r="U20" s="36"/>
      <c r="V20" s="33"/>
      <c r="W20" s="33"/>
      <c r="X20" s="52" t="s">
        <v>199</v>
      </c>
      <c r="Y20" s="53"/>
      <c r="AB20" s="36"/>
      <c r="AC20" s="36"/>
      <c r="AD20" s="33"/>
      <c r="AE20" s="33"/>
      <c r="AF20" s="52" t="s">
        <v>233</v>
      </c>
      <c r="AG20" s="53"/>
      <c r="AJ20" s="36"/>
      <c r="AK20" s="36"/>
      <c r="AL20" s="33"/>
      <c r="AM20" s="33"/>
      <c r="AN20" s="52" t="s">
        <v>267</v>
      </c>
      <c r="AO20" s="53"/>
      <c r="AP20" s="37"/>
      <c r="AQ20" s="32"/>
    </row>
    <row r="21" spans="2:43">
      <c r="B21" s="24"/>
      <c r="D21" s="38" t="s">
        <v>108</v>
      </c>
      <c r="E21" s="38"/>
      <c r="F21" s="33"/>
      <c r="G21" s="33"/>
      <c r="H21" s="52" t="s">
        <v>131</v>
      </c>
      <c r="I21" s="53"/>
      <c r="L21" s="52" t="s">
        <v>148</v>
      </c>
      <c r="M21" s="53"/>
      <c r="N21" s="33"/>
      <c r="O21" s="33"/>
      <c r="P21" s="52" t="s">
        <v>166</v>
      </c>
      <c r="Q21" s="53"/>
      <c r="T21" s="52" t="s">
        <v>182</v>
      </c>
      <c r="U21" s="53"/>
      <c r="V21" s="33"/>
      <c r="W21" s="33"/>
      <c r="X21" s="52" t="s">
        <v>200</v>
      </c>
      <c r="Y21" s="53"/>
      <c r="AB21" s="52" t="s">
        <v>216</v>
      </c>
      <c r="AC21" s="53"/>
      <c r="AD21" s="33"/>
      <c r="AE21" s="33"/>
      <c r="AF21" s="52" t="s">
        <v>234</v>
      </c>
      <c r="AG21" s="53"/>
      <c r="AJ21" s="52" t="s">
        <v>250</v>
      </c>
      <c r="AK21" s="53"/>
      <c r="AL21" s="33"/>
      <c r="AM21" s="33"/>
      <c r="AN21" s="52" t="s">
        <v>268</v>
      </c>
      <c r="AO21" s="53"/>
      <c r="AP21" s="1"/>
      <c r="AQ21" s="32"/>
    </row>
    <row r="22" spans="2:43">
      <c r="B22" s="24"/>
      <c r="D22" s="38" t="s">
        <v>109</v>
      </c>
      <c r="E22" s="38"/>
      <c r="F22" s="33"/>
      <c r="G22" s="33"/>
      <c r="H22" s="52" t="s">
        <v>132</v>
      </c>
      <c r="I22" s="53"/>
      <c r="L22" s="52" t="s">
        <v>149</v>
      </c>
      <c r="M22" s="53"/>
      <c r="N22" s="33"/>
      <c r="O22" s="33"/>
      <c r="P22" s="52" t="s">
        <v>167</v>
      </c>
      <c r="Q22" s="53"/>
      <c r="T22" s="52" t="s">
        <v>183</v>
      </c>
      <c r="U22" s="53"/>
      <c r="V22" s="33"/>
      <c r="W22" s="33"/>
      <c r="X22" s="52" t="s">
        <v>201</v>
      </c>
      <c r="Y22" s="53"/>
      <c r="AB22" s="52" t="s">
        <v>217</v>
      </c>
      <c r="AC22" s="53"/>
      <c r="AD22" s="33"/>
      <c r="AE22" s="33"/>
      <c r="AF22" s="52" t="s">
        <v>235</v>
      </c>
      <c r="AG22" s="53"/>
      <c r="AJ22" s="52" t="s">
        <v>251</v>
      </c>
      <c r="AK22" s="53"/>
      <c r="AL22" s="33"/>
      <c r="AM22" s="33"/>
      <c r="AN22" s="52" t="s">
        <v>269</v>
      </c>
      <c r="AO22" s="53"/>
      <c r="AP22" s="1"/>
      <c r="AQ22" s="32"/>
    </row>
    <row r="23" spans="2:43">
      <c r="B23" s="24"/>
      <c r="D23" s="38" t="s">
        <v>110</v>
      </c>
      <c r="E23" s="38"/>
      <c r="F23" s="33"/>
      <c r="G23" s="33"/>
      <c r="H23" s="52" t="s">
        <v>133</v>
      </c>
      <c r="I23" s="53"/>
      <c r="L23" s="52" t="s">
        <v>150</v>
      </c>
      <c r="M23" s="53"/>
      <c r="N23" s="33"/>
      <c r="O23" s="33"/>
      <c r="P23" s="52" t="s">
        <v>168</v>
      </c>
      <c r="Q23" s="53"/>
      <c r="T23" s="52" t="s">
        <v>184</v>
      </c>
      <c r="U23" s="53"/>
      <c r="V23" s="33"/>
      <c r="W23" s="33"/>
      <c r="X23" s="52" t="s">
        <v>202</v>
      </c>
      <c r="Y23" s="53"/>
      <c r="AB23" s="52" t="s">
        <v>218</v>
      </c>
      <c r="AC23" s="53"/>
      <c r="AD23" s="33"/>
      <c r="AE23" s="33"/>
      <c r="AF23" s="52" t="s">
        <v>236</v>
      </c>
      <c r="AG23" s="53"/>
      <c r="AJ23" s="52" t="s">
        <v>252</v>
      </c>
      <c r="AK23" s="53"/>
      <c r="AL23" s="33"/>
      <c r="AM23" s="33"/>
      <c r="AN23" s="62" t="s">
        <v>270</v>
      </c>
      <c r="AO23" s="53"/>
      <c r="AP23" s="1"/>
      <c r="AQ23" s="32"/>
    </row>
    <row r="24" spans="2:43">
      <c r="B24" s="24"/>
      <c r="D24" s="38" t="s">
        <v>111</v>
      </c>
      <c r="E24" s="38"/>
      <c r="F24" s="33"/>
      <c r="G24" s="33"/>
      <c r="H24" s="52" t="s">
        <v>134</v>
      </c>
      <c r="I24" s="53"/>
      <c r="L24" s="52" t="s">
        <v>151</v>
      </c>
      <c r="M24" s="53"/>
      <c r="N24" s="33"/>
      <c r="O24" s="33"/>
      <c r="P24" s="52" t="s">
        <v>169</v>
      </c>
      <c r="Q24" s="53"/>
      <c r="T24" s="52" t="s">
        <v>185</v>
      </c>
      <c r="U24" s="53"/>
      <c r="V24" s="33"/>
      <c r="W24" s="33"/>
      <c r="X24" s="52" t="s">
        <v>203</v>
      </c>
      <c r="Y24" s="53"/>
      <c r="AB24" s="52" t="s">
        <v>219</v>
      </c>
      <c r="AC24" s="53"/>
      <c r="AD24" s="33"/>
      <c r="AE24" s="33"/>
      <c r="AF24" s="52" t="s">
        <v>237</v>
      </c>
      <c r="AG24" s="53"/>
      <c r="AJ24" s="52" t="s">
        <v>253</v>
      </c>
      <c r="AK24" s="53"/>
      <c r="AL24" s="33"/>
      <c r="AM24" s="33"/>
      <c r="AN24" s="52" t="s">
        <v>271</v>
      </c>
      <c r="AO24" s="53"/>
      <c r="AP24" s="1"/>
      <c r="AQ24" s="32"/>
    </row>
    <row r="25" spans="2:43">
      <c r="B25" s="24"/>
      <c r="D25" s="38" t="s">
        <v>112</v>
      </c>
      <c r="E25" s="38"/>
      <c r="F25" s="33"/>
      <c r="G25" s="33"/>
      <c r="H25" s="38" t="s">
        <v>135</v>
      </c>
      <c r="I25" s="38"/>
      <c r="L25" s="52" t="s">
        <v>152</v>
      </c>
      <c r="M25" s="53"/>
      <c r="N25" s="33"/>
      <c r="O25" s="33"/>
      <c r="P25" s="52" t="s">
        <v>170</v>
      </c>
      <c r="Q25" s="53"/>
      <c r="T25" s="52" t="s">
        <v>186</v>
      </c>
      <c r="U25" s="53"/>
      <c r="V25" s="33"/>
      <c r="W25" s="33"/>
      <c r="X25" s="38" t="s">
        <v>204</v>
      </c>
      <c r="Y25" s="38"/>
      <c r="AB25" s="52" t="s">
        <v>220</v>
      </c>
      <c r="AC25" s="53"/>
      <c r="AD25" s="33"/>
      <c r="AE25" s="33"/>
      <c r="AF25" s="38" t="s">
        <v>238</v>
      </c>
      <c r="AG25" s="38"/>
      <c r="AJ25" s="62" t="s">
        <v>254</v>
      </c>
      <c r="AK25" s="53"/>
      <c r="AL25" s="33"/>
      <c r="AM25" s="33"/>
      <c r="AN25" s="38" t="s">
        <v>272</v>
      </c>
      <c r="AO25" s="38"/>
      <c r="AP25" s="1"/>
      <c r="AQ25" s="32"/>
    </row>
    <row r="26" spans="2:43">
      <c r="B26" s="24"/>
      <c r="D26" s="38" t="s">
        <v>113</v>
      </c>
      <c r="E26" s="38"/>
      <c r="F26" s="33"/>
      <c r="G26" s="33"/>
      <c r="H26" s="38" t="s">
        <v>136</v>
      </c>
      <c r="I26" s="38"/>
      <c r="L26" s="52" t="s">
        <v>153</v>
      </c>
      <c r="M26" s="53"/>
      <c r="N26" s="33"/>
      <c r="O26" s="33"/>
      <c r="P26" s="38" t="s">
        <v>171</v>
      </c>
      <c r="Q26" s="38"/>
      <c r="T26" s="52" t="s">
        <v>187</v>
      </c>
      <c r="U26" s="53"/>
      <c r="V26" s="33"/>
      <c r="W26" s="33"/>
      <c r="X26" s="38" t="s">
        <v>205</v>
      </c>
      <c r="Y26" s="38"/>
      <c r="AB26" s="52" t="s">
        <v>221</v>
      </c>
      <c r="AC26" s="53"/>
      <c r="AD26" s="33"/>
      <c r="AE26" s="33"/>
      <c r="AF26" s="38" t="s">
        <v>239</v>
      </c>
      <c r="AG26" s="38"/>
      <c r="AJ26" s="52" t="s">
        <v>255</v>
      </c>
      <c r="AK26" s="53"/>
      <c r="AL26" s="33"/>
      <c r="AM26" s="33"/>
      <c r="AN26" s="38" t="s">
        <v>273</v>
      </c>
      <c r="AO26" s="38"/>
      <c r="AP26" s="1"/>
      <c r="AQ26" s="32"/>
    </row>
    <row r="27" spans="2:43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3">
      <c r="B28" s="8"/>
      <c r="C28" s="9"/>
      <c r="D28" s="9"/>
      <c r="E28" s="9"/>
      <c r="F28" s="9"/>
      <c r="G28" s="21" t="s">
        <v>290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291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292</v>
      </c>
      <c r="AN28" s="22"/>
      <c r="AO28" s="9"/>
      <c r="AP28" s="9"/>
      <c r="AQ28" s="10"/>
    </row>
    <row r="29" spans="2:43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4" customHeight="1" spans="2:43">
      <c r="B30" s="11" t="s">
        <v>310</v>
      </c>
      <c r="C30" s="12"/>
      <c r="D30" s="1"/>
      <c r="E30" s="1"/>
      <c r="F30" s="1"/>
      <c r="G30" s="1"/>
      <c r="H30" s="1"/>
      <c r="I30" s="11" t="s">
        <v>311</v>
      </c>
      <c r="J30" s="12"/>
      <c r="K30" s="11" t="s">
        <v>312</v>
      </c>
      <c r="L30" s="12"/>
      <c r="M30" s="1"/>
      <c r="N30" s="1"/>
      <c r="O30" s="1"/>
      <c r="P30" s="11" t="s">
        <v>313</v>
      </c>
      <c r="Q30" s="12"/>
      <c r="R30" s="1"/>
      <c r="S30" s="1"/>
      <c r="T30" s="11" t="s">
        <v>314</v>
      </c>
      <c r="U30" s="12"/>
      <c r="V30" s="1"/>
      <c r="W30" s="1"/>
      <c r="X30" s="1"/>
      <c r="Y30" s="11" t="s">
        <v>315</v>
      </c>
      <c r="Z30" s="12"/>
      <c r="AA30" s="11" t="s">
        <v>316</v>
      </c>
      <c r="AB30" s="12"/>
      <c r="AC30" s="1"/>
      <c r="AD30" s="1"/>
      <c r="AE30" s="1"/>
      <c r="AF30" s="1"/>
      <c r="AG30" s="11" t="s">
        <v>317</v>
      </c>
      <c r="AH30" s="12"/>
      <c r="AI30" s="1"/>
      <c r="AJ30" s="1"/>
      <c r="AK30" s="11" t="s">
        <v>318</v>
      </c>
      <c r="AL30" s="12"/>
      <c r="AM30" s="1"/>
      <c r="AN30" s="1"/>
      <c r="AO30" s="1"/>
      <c r="AP30" s="11" t="s">
        <v>319</v>
      </c>
      <c r="AQ30" s="12"/>
    </row>
    <row r="31" spans="2:43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320</v>
      </c>
      <c r="C33" s="39"/>
      <c r="D33" s="39"/>
      <c r="E33" s="39"/>
      <c r="F33" s="39"/>
      <c r="G33" s="40"/>
      <c r="H33" s="51" t="e">
        <f>getcolorcount($D$9:$AO$26,G33)</f>
        <v>#NAME?</v>
      </c>
    </row>
    <row r="34" spans="2:11">
      <c r="B34" s="39"/>
      <c r="C34" s="39"/>
      <c r="D34" s="39"/>
      <c r="E34" s="39"/>
      <c r="F34" s="39"/>
      <c r="G34" s="42"/>
      <c r="H34" s="51" t="e">
        <f>getcolorcount($D$9:$AO$26,G34)</f>
        <v>#NAME?</v>
      </c>
    </row>
    <row r="35" spans="2:11">
      <c r="B35" s="39"/>
      <c r="C35" s="39"/>
      <c r="D35" s="39"/>
      <c r="E35" s="39"/>
      <c r="F35" s="39"/>
      <c r="G35" s="43"/>
      <c r="H35" s="51" t="e">
        <f>getcolorcount($D$9:$AO$26,G35)</f>
        <v>#NAME?</v>
      </c>
    </row>
    <row r="36" spans="2:11">
      <c r="B36" s="39"/>
      <c r="C36" s="39"/>
      <c r="D36" s="39"/>
      <c r="E36" s="39"/>
      <c r="F36" s="39"/>
      <c r="G36" s="44"/>
      <c r="H36" s="51" t="e">
        <f>getcolorcount($D$9:$AO$26,G36)</f>
        <v>#NAME?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5"/>
      <c r="K37" s="45"/>
    </row>
    <row r="38" spans="2:11">
      <c r="B38" s="48" t="s">
        <v>321</v>
      </c>
      <c r="C38" s="48"/>
      <c r="D38" s="48"/>
      <c r="E38" s="48"/>
      <c r="F38" s="48">
        <v>170</v>
      </c>
      <c r="G38" s="1"/>
      <c r="H38" s="1"/>
    </row>
    <row r="39" spans="2:11">
      <c r="B39" s="48" t="s">
        <v>322</v>
      </c>
      <c r="C39" s="48"/>
      <c r="D39" s="48"/>
      <c r="E39" s="48"/>
      <c r="F39" s="48" t="e">
        <f>H36/2</f>
        <v>#NAME?</v>
      </c>
      <c r="G39" s="49"/>
      <c r="H39" s="1"/>
    </row>
    <row r="40" spans="2:11">
      <c r="B40" s="48" t="s">
        <v>323</v>
      </c>
      <c r="C40" s="48"/>
      <c r="D40" s="48"/>
      <c r="E40" s="48"/>
      <c r="F40" s="48" t="e">
        <f>F38-F39</f>
        <v>#NAME?</v>
      </c>
      <c r="G40" s="43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CI41"/>
  <sheetViews>
    <sheetView showGridLines="0" zoomScale="70" zoomScaleNormal="70" topLeftCell="A10" workbookViewId="0">
      <selection activeCell="J39" sqref="J39"/>
    </sheetView>
  </sheetViews>
  <sheetFormatPr defaultColWidth="9" defaultRowHeight="14"/>
  <cols>
    <col min="1" max="3" width="3.66363636363636" customWidth="1"/>
    <col min="4" max="5" width="5.44545454545455" customWidth="1"/>
    <col min="6" max="6" width="7.44545454545455" customWidth="1"/>
    <col min="7" max="7" width="3.66363636363636" customWidth="1"/>
    <col min="8" max="8" width="7.44545454545455" customWidth="1"/>
    <col min="9" max="9" width="5.44545454545455" customWidth="1"/>
    <col min="10" max="11" width="3.66363636363636" customWidth="1"/>
    <col min="12" max="13" width="5.44545454545455" customWidth="1"/>
    <col min="14" max="15" width="3.66363636363636" customWidth="1"/>
    <col min="16" max="17" width="5.44545454545455" customWidth="1"/>
    <col min="18" max="19" width="3.66363636363636" customWidth="1"/>
    <col min="20" max="20" width="4.44545454545455" customWidth="1"/>
    <col min="21" max="21" width="5" customWidth="1"/>
    <col min="22" max="23" width="3.66363636363636" customWidth="1"/>
    <col min="24" max="25" width="5.44545454545455" customWidth="1"/>
    <col min="26" max="27" width="3.66363636363636" customWidth="1"/>
    <col min="28" max="29" width="5.44545454545455" customWidth="1"/>
    <col min="30" max="31" width="3.66363636363636" customWidth="1"/>
    <col min="32" max="33" width="5.44545454545455" customWidth="1"/>
    <col min="34" max="35" width="3.66363636363636" customWidth="1"/>
    <col min="36" max="37" width="5.44545454545455" customWidth="1"/>
    <col min="38" max="39" width="3.66363636363636" customWidth="1"/>
    <col min="40" max="41" width="5.44545454545455" customWidth="1"/>
    <col min="42" max="43" width="3.66363636363636" customWidth="1"/>
    <col min="44" max="44" width="3.66363636363636" style="2" customWidth="1"/>
    <col min="45" max="45" width="16.1090909090909" style="2" customWidth="1"/>
    <col min="46" max="46" width="5.44545454545455" customWidth="1"/>
    <col min="47" max="47" width="2.66363636363636" customWidth="1"/>
    <col min="48" max="49" width="4.33636363636364" customWidth="1"/>
    <col min="50" max="50" width="7.10909090909091" customWidth="1"/>
    <col min="51" max="51" width="5.55454545454545" customWidth="1"/>
    <col min="52" max="52" width="5.33636363636364" customWidth="1"/>
    <col min="53" max="53" width="4.33636363636364" customWidth="1"/>
    <col min="54" max="54" width="4.10909090909091" customWidth="1"/>
    <col min="55" max="55" width="3.55454545454545" customWidth="1"/>
    <col min="56" max="57" width="4.33636363636364" customWidth="1"/>
    <col min="58" max="58" width="7.33636363636364" customWidth="1"/>
    <col min="59" max="59" width="7.10909090909091" customWidth="1"/>
    <col min="60" max="61" width="4.33636363636364" customWidth="1"/>
    <col min="62" max="62" width="6" customWidth="1"/>
    <col min="63" max="63" width="4.66363636363636" customWidth="1"/>
    <col min="64" max="64" width="4.33636363636364" customWidth="1"/>
    <col min="65" max="65" width="15.1090909090909" customWidth="1"/>
    <col min="66" max="66" width="6.66363636363636" customWidth="1"/>
    <col min="67" max="67" width="7.10909090909091" customWidth="1"/>
    <col min="68" max="69" width="4.33636363636364" customWidth="1"/>
    <col min="70" max="70" width="6.66363636363636" customWidth="1"/>
    <col min="71" max="71" width="5.33636363636364" customWidth="1"/>
    <col min="72" max="73" width="4.33636363636364" customWidth="1"/>
    <col min="74" max="74" width="7.10909090909091" customWidth="1"/>
    <col min="75" max="75" width="6.66363636363636" customWidth="1"/>
    <col min="76" max="77" width="4.33636363636364" customWidth="1"/>
    <col min="78" max="78" width="6.10909090909091" customWidth="1"/>
    <col min="79" max="79" width="3.89090909090909" customWidth="1"/>
    <col min="80" max="81" width="4.33636363636364" customWidth="1"/>
    <col min="82" max="82" width="6.10909090909091" customWidth="1"/>
    <col min="83" max="83" width="5.55454545454545" customWidth="1"/>
    <col min="84" max="85" width="4.33636363636364" customWidth="1"/>
    <col min="86" max="86" width="4.78181818181818" customWidth="1"/>
    <col min="87" max="87" width="6.44545454545455" customWidth="1"/>
  </cols>
  <sheetData>
    <row r="1" spans="2:87">
      <c r="AS1" s="5"/>
    </row>
    <row r="2" ht="14.1" customHeight="1" spans="2:87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T2" s="8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10"/>
    </row>
    <row r="3" ht="25.05" customHeight="1" spans="2:87">
      <c r="B3" s="11" t="s">
        <v>324</v>
      </c>
      <c r="C3" s="12"/>
      <c r="D3" s="1"/>
      <c r="E3" s="1"/>
      <c r="F3" s="1"/>
      <c r="G3" s="1"/>
      <c r="H3" s="1"/>
      <c r="I3" s="11" t="s">
        <v>325</v>
      </c>
      <c r="J3" s="12"/>
      <c r="K3" s="11" t="s">
        <v>326</v>
      </c>
      <c r="L3" s="12"/>
      <c r="M3" s="1"/>
      <c r="N3" s="1"/>
      <c r="O3" s="1"/>
      <c r="P3" s="11" t="s">
        <v>327</v>
      </c>
      <c r="Q3" s="12"/>
      <c r="R3" s="1"/>
      <c r="S3" s="1"/>
      <c r="T3" s="11" t="s">
        <v>328</v>
      </c>
      <c r="U3" s="12"/>
      <c r="V3" s="1"/>
      <c r="W3" s="1"/>
      <c r="X3" s="1"/>
      <c r="Y3" s="11" t="s">
        <v>329</v>
      </c>
      <c r="Z3" s="12"/>
      <c r="AA3" s="11" t="s">
        <v>330</v>
      </c>
      <c r="AB3" s="12"/>
      <c r="AC3" s="1"/>
      <c r="AD3" s="1"/>
      <c r="AE3" s="1"/>
      <c r="AF3" s="1"/>
      <c r="AG3" s="11" t="s">
        <v>331</v>
      </c>
      <c r="AH3" s="12"/>
      <c r="AI3" s="1"/>
      <c r="AJ3" s="1"/>
      <c r="AK3" s="11" t="s">
        <v>332</v>
      </c>
      <c r="AL3" s="12"/>
      <c r="AM3" s="1"/>
      <c r="AN3" s="1"/>
      <c r="AO3" s="1"/>
      <c r="AP3" s="11" t="s">
        <v>333</v>
      </c>
      <c r="AQ3" s="12"/>
      <c r="AR3" s="13"/>
      <c r="AS3" s="5"/>
      <c r="AT3" s="11" t="s">
        <v>280</v>
      </c>
      <c r="AU3" s="12"/>
      <c r="AV3" s="1"/>
      <c r="AW3" s="1"/>
      <c r="AX3" s="1"/>
      <c r="AY3" s="1"/>
      <c r="AZ3" s="1"/>
      <c r="BA3" s="11" t="s">
        <v>281</v>
      </c>
      <c r="BB3" s="12"/>
      <c r="BC3" s="11" t="s">
        <v>282</v>
      </c>
      <c r="BD3" s="12"/>
      <c r="BE3" s="1"/>
      <c r="BF3" s="1"/>
      <c r="BG3" s="1"/>
      <c r="BH3" s="11" t="s">
        <v>283</v>
      </c>
      <c r="BI3" s="12"/>
      <c r="BJ3" s="1"/>
      <c r="BK3" s="1"/>
      <c r="BL3" s="11" t="s">
        <v>284</v>
      </c>
      <c r="BM3" s="12"/>
      <c r="BN3" s="1"/>
      <c r="BO3" s="1"/>
      <c r="BP3" s="1"/>
      <c r="BQ3" s="11" t="s">
        <v>285</v>
      </c>
      <c r="BR3" s="12"/>
      <c r="BS3" s="11" t="s">
        <v>286</v>
      </c>
      <c r="BT3" s="12"/>
      <c r="BU3" s="1"/>
      <c r="BV3" s="1"/>
      <c r="BW3" s="1"/>
      <c r="BX3" s="1"/>
      <c r="BY3" s="11" t="s">
        <v>287</v>
      </c>
      <c r="BZ3" s="12"/>
      <c r="CA3" s="1"/>
      <c r="CB3" s="1"/>
      <c r="CC3" s="11" t="s">
        <v>288</v>
      </c>
      <c r="CD3" s="12"/>
      <c r="CE3" s="1"/>
      <c r="CF3" s="1"/>
      <c r="CG3" s="1"/>
      <c r="CH3" s="11" t="s">
        <v>289</v>
      </c>
      <c r="CI3" s="12"/>
    </row>
    <row r="4" s="1" customFormat="1" ht="25.05" customHeight="1" spans="2:87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14"/>
      <c r="AU4" s="15"/>
      <c r="BA4" s="16"/>
      <c r="BB4" s="15"/>
      <c r="BC4" s="16"/>
      <c r="BD4" s="15"/>
      <c r="BH4" s="16"/>
      <c r="BI4" s="15"/>
      <c r="BL4" s="16"/>
      <c r="BM4" s="15"/>
      <c r="BQ4" s="16"/>
      <c r="BR4" s="15"/>
      <c r="BS4" s="16"/>
      <c r="BT4" s="15"/>
      <c r="BY4" s="16"/>
      <c r="BZ4" s="15"/>
      <c r="CC4" s="16"/>
      <c r="CD4" s="15"/>
      <c r="CH4" s="16"/>
      <c r="CI4" s="17"/>
    </row>
    <row r="5" spans="2:87">
      <c r="B5" s="19"/>
      <c r="C5" s="20"/>
      <c r="D5" s="1"/>
      <c r="E5" s="1"/>
      <c r="F5" s="20"/>
      <c r="G5" s="20"/>
      <c r="H5" s="21" t="s">
        <v>290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291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292</v>
      </c>
      <c r="AN5" s="22"/>
      <c r="AO5" s="20"/>
      <c r="AP5" s="20"/>
      <c r="AQ5" s="23"/>
      <c r="AS5" s="5"/>
      <c r="AT5" s="19"/>
      <c r="AU5" s="20"/>
      <c r="AV5" s="1"/>
      <c r="AW5" s="1"/>
      <c r="AX5" s="20"/>
      <c r="AY5" s="20"/>
      <c r="AZ5" s="21" t="s">
        <v>290</v>
      </c>
      <c r="BA5" s="22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1" t="s">
        <v>291</v>
      </c>
      <c r="BO5" s="22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1" t="s">
        <v>292</v>
      </c>
      <c r="CF5" s="22"/>
      <c r="CG5" s="20"/>
      <c r="CH5" s="20"/>
      <c r="CI5" s="23"/>
    </row>
    <row r="6" spans="2:87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334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T6" s="24"/>
      <c r="AU6" s="1"/>
      <c r="AV6" s="9"/>
      <c r="AW6" s="9"/>
      <c r="AX6" s="1"/>
      <c r="AY6" s="1"/>
      <c r="AZ6" s="9"/>
      <c r="BA6" s="9"/>
      <c r="BB6" s="1"/>
      <c r="BC6" s="1"/>
      <c r="BD6" s="9"/>
      <c r="BE6" s="9"/>
      <c r="BF6" s="1"/>
      <c r="BG6" s="1"/>
      <c r="BH6" s="9"/>
      <c r="BI6" s="9"/>
      <c r="BJ6" s="1"/>
      <c r="BK6" s="1"/>
      <c r="BL6" s="9"/>
      <c r="BM6" s="9" t="s">
        <v>293</v>
      </c>
      <c r="BN6" s="6"/>
      <c r="BO6" s="6"/>
      <c r="BP6" s="9"/>
      <c r="BQ6" s="9"/>
      <c r="BR6" s="1"/>
      <c r="BS6" s="1"/>
      <c r="BT6" s="9"/>
      <c r="BU6" s="9"/>
      <c r="BV6" s="1"/>
      <c r="BW6" s="1"/>
      <c r="BX6" s="9"/>
      <c r="BY6" s="9"/>
      <c r="BZ6" s="1"/>
      <c r="CA6" s="1"/>
      <c r="CB6" s="9"/>
      <c r="CC6" s="9"/>
      <c r="CD6" s="1"/>
      <c r="CE6" s="6"/>
      <c r="CF6" s="9"/>
      <c r="CG6" s="9"/>
      <c r="CH6" s="9"/>
      <c r="CI6" s="10"/>
    </row>
    <row r="7" spans="2:87">
      <c r="B7" s="26"/>
      <c r="C7" s="27"/>
      <c r="D7" s="28" t="s">
        <v>303</v>
      </c>
      <c r="E7" s="28"/>
      <c r="F7" s="27"/>
      <c r="G7" s="27"/>
      <c r="H7" s="28" t="s">
        <v>302</v>
      </c>
      <c r="I7" s="28"/>
      <c r="J7" s="27"/>
      <c r="K7" s="27"/>
      <c r="L7" s="28" t="s">
        <v>301</v>
      </c>
      <c r="M7" s="28"/>
      <c r="N7" s="27"/>
      <c r="O7" s="27"/>
      <c r="P7" s="28" t="s">
        <v>300</v>
      </c>
      <c r="Q7" s="28"/>
      <c r="R7" s="27"/>
      <c r="S7" s="27"/>
      <c r="T7" s="28" t="s">
        <v>299</v>
      </c>
      <c r="U7" s="28"/>
      <c r="V7" s="27"/>
      <c r="W7" s="27"/>
      <c r="X7" s="28" t="s">
        <v>298</v>
      </c>
      <c r="Y7" s="28"/>
      <c r="Z7" s="27"/>
      <c r="AA7" s="27"/>
      <c r="AB7" s="28" t="s">
        <v>297</v>
      </c>
      <c r="AC7" s="28"/>
      <c r="AD7" s="27"/>
      <c r="AE7" s="27"/>
      <c r="AF7" s="28" t="s">
        <v>296</v>
      </c>
      <c r="AG7" s="28"/>
      <c r="AH7" s="27"/>
      <c r="AI7" s="27"/>
      <c r="AJ7" s="28" t="s">
        <v>295</v>
      </c>
      <c r="AK7" s="28"/>
      <c r="AL7" s="27"/>
      <c r="AM7" s="27"/>
      <c r="AN7" s="28" t="s">
        <v>294</v>
      </c>
      <c r="AO7" s="28"/>
      <c r="AP7" s="27"/>
      <c r="AQ7" s="29"/>
      <c r="AR7" s="30"/>
      <c r="AT7" s="26"/>
      <c r="AU7" s="27"/>
      <c r="AV7" s="28" t="s">
        <v>294</v>
      </c>
      <c r="AW7" s="28"/>
      <c r="AX7" s="27"/>
      <c r="AY7" s="27"/>
      <c r="AZ7" s="28" t="s">
        <v>295</v>
      </c>
      <c r="BA7" s="28"/>
      <c r="BB7" s="27"/>
      <c r="BC7" s="27"/>
      <c r="BD7" s="28" t="s">
        <v>296</v>
      </c>
      <c r="BE7" s="28"/>
      <c r="BF7" s="27"/>
      <c r="BG7" s="27"/>
      <c r="BH7" s="28" t="s">
        <v>297</v>
      </c>
      <c r="BI7" s="28"/>
      <c r="BJ7" s="27"/>
      <c r="BK7" s="27"/>
      <c r="BL7" s="28" t="s">
        <v>298</v>
      </c>
      <c r="BM7" s="28"/>
      <c r="BN7" s="27"/>
      <c r="BO7" s="27"/>
      <c r="BP7" s="28" t="s">
        <v>299</v>
      </c>
      <c r="BQ7" s="28"/>
      <c r="BR7" s="27"/>
      <c r="BS7" s="27"/>
      <c r="BT7" s="28" t="s">
        <v>300</v>
      </c>
      <c r="BU7" s="28"/>
      <c r="BV7" s="27"/>
      <c r="BW7" s="27"/>
      <c r="BX7" s="28" t="s">
        <v>301</v>
      </c>
      <c r="BY7" s="28"/>
      <c r="BZ7" s="27"/>
      <c r="CA7" s="27"/>
      <c r="CB7" s="28" t="s">
        <v>302</v>
      </c>
      <c r="CC7" s="28"/>
      <c r="CD7" s="27"/>
      <c r="CE7" s="27"/>
      <c r="CF7" s="28" t="s">
        <v>303</v>
      </c>
      <c r="CG7" s="28"/>
      <c r="CH7" s="27"/>
      <c r="CI7" s="29"/>
    </row>
    <row r="8" ht="14.25" customHeight="1" spans="2:87">
      <c r="B8" s="24"/>
      <c r="D8" s="31" t="s">
        <v>304</v>
      </c>
      <c r="E8" s="31" t="s">
        <v>305</v>
      </c>
      <c r="F8" s="4"/>
      <c r="G8" s="4"/>
      <c r="H8" s="31" t="s">
        <v>305</v>
      </c>
      <c r="I8" s="31" t="s">
        <v>304</v>
      </c>
      <c r="J8" s="4"/>
      <c r="K8" s="4"/>
      <c r="L8" s="31" t="s">
        <v>304</v>
      </c>
      <c r="M8" s="31" t="s">
        <v>305</v>
      </c>
      <c r="N8" s="4"/>
      <c r="O8" s="4"/>
      <c r="P8" s="31" t="s">
        <v>305</v>
      </c>
      <c r="Q8" s="31" t="s">
        <v>304</v>
      </c>
      <c r="R8" s="4"/>
      <c r="S8" s="4"/>
      <c r="T8" s="31" t="s">
        <v>304</v>
      </c>
      <c r="U8" s="31" t="s">
        <v>305</v>
      </c>
      <c r="V8" s="4"/>
      <c r="W8" s="4"/>
      <c r="X8" s="31" t="s">
        <v>305</v>
      </c>
      <c r="Y8" s="31" t="s">
        <v>304</v>
      </c>
      <c r="Z8" s="4"/>
      <c r="AA8" s="4"/>
      <c r="AB8" s="31" t="s">
        <v>304</v>
      </c>
      <c r="AC8" s="31" t="s">
        <v>305</v>
      </c>
      <c r="AD8" s="4"/>
      <c r="AE8" s="4"/>
      <c r="AF8" s="31" t="s">
        <v>305</v>
      </c>
      <c r="AG8" s="31" t="s">
        <v>304</v>
      </c>
      <c r="AH8" s="4"/>
      <c r="AI8" s="4"/>
      <c r="AJ8" s="31" t="s">
        <v>304</v>
      </c>
      <c r="AK8" s="31" t="s">
        <v>305</v>
      </c>
      <c r="AL8" s="4"/>
      <c r="AM8" s="4"/>
      <c r="AN8" s="31" t="s">
        <v>305</v>
      </c>
      <c r="AO8" s="31" t="s">
        <v>304</v>
      </c>
      <c r="AP8" s="1"/>
      <c r="AQ8" s="32"/>
      <c r="AT8" s="24"/>
      <c r="AV8" s="31" t="s">
        <v>304</v>
      </c>
      <c r="AW8" s="31" t="s">
        <v>305</v>
      </c>
      <c r="AX8" s="4"/>
      <c r="AY8" s="4"/>
      <c r="AZ8" s="31" t="s">
        <v>305</v>
      </c>
      <c r="BA8" s="31" t="s">
        <v>304</v>
      </c>
      <c r="BB8" s="4"/>
      <c r="BC8" s="4"/>
      <c r="BD8" s="31" t="s">
        <v>304</v>
      </c>
      <c r="BE8" s="31" t="s">
        <v>305</v>
      </c>
      <c r="BF8" s="4"/>
      <c r="BG8" s="4"/>
      <c r="BH8" s="31" t="s">
        <v>305</v>
      </c>
      <c r="BI8" s="31" t="s">
        <v>304</v>
      </c>
      <c r="BJ8" s="4"/>
      <c r="BK8" s="4"/>
      <c r="BL8" s="31" t="s">
        <v>304</v>
      </c>
      <c r="BM8" s="31" t="s">
        <v>305</v>
      </c>
      <c r="BN8" s="4"/>
      <c r="BO8" s="4"/>
      <c r="BP8" s="31" t="s">
        <v>305</v>
      </c>
      <c r="BQ8" s="31" t="s">
        <v>304</v>
      </c>
      <c r="BR8" s="4"/>
      <c r="BS8" s="4"/>
      <c r="BT8" s="31" t="s">
        <v>304</v>
      </c>
      <c r="BU8" s="31" t="s">
        <v>306</v>
      </c>
      <c r="BV8" s="4"/>
      <c r="BW8" s="4"/>
      <c r="BX8" s="31" t="s">
        <v>307</v>
      </c>
      <c r="BY8" s="31" t="s">
        <v>308</v>
      </c>
      <c r="BZ8" s="4"/>
      <c r="CA8" s="4"/>
      <c r="CB8" s="31" t="s">
        <v>304</v>
      </c>
      <c r="CC8" s="31" t="s">
        <v>305</v>
      </c>
      <c r="CD8" s="4"/>
      <c r="CE8" s="4"/>
      <c r="CF8" s="31" t="s">
        <v>305</v>
      </c>
      <c r="CG8" s="31" t="s">
        <v>309</v>
      </c>
      <c r="CH8" s="1"/>
      <c r="CI8" s="32"/>
    </row>
    <row r="9" spans="2:87">
      <c r="B9" s="24"/>
      <c r="D9" s="52" t="s">
        <v>256</v>
      </c>
      <c r="E9" s="53"/>
      <c r="F9" s="33"/>
      <c r="G9" s="33"/>
      <c r="H9" s="52" t="s">
        <v>240</v>
      </c>
      <c r="I9" s="53"/>
      <c r="L9" s="52" t="s">
        <v>222</v>
      </c>
      <c r="M9" s="53"/>
      <c r="N9" s="33"/>
      <c r="O9" s="33"/>
      <c r="P9" s="52" t="s">
        <v>206</v>
      </c>
      <c r="Q9" s="53"/>
      <c r="T9" s="52" t="s">
        <v>188</v>
      </c>
      <c r="U9" s="53"/>
      <c r="V9" s="33"/>
      <c r="W9" s="33"/>
      <c r="X9" s="52" t="s">
        <v>172</v>
      </c>
      <c r="Y9" s="53"/>
      <c r="AB9" s="52" t="s">
        <v>154</v>
      </c>
      <c r="AC9" s="53"/>
      <c r="AD9" s="33"/>
      <c r="AE9" s="33"/>
      <c r="AF9" s="52" t="s">
        <v>137</v>
      </c>
      <c r="AG9" s="53"/>
      <c r="AJ9" s="52" t="s">
        <v>114</v>
      </c>
      <c r="AK9" s="53"/>
      <c r="AL9" s="33"/>
      <c r="AM9" s="33"/>
      <c r="AN9" s="52" t="s">
        <v>96</v>
      </c>
      <c r="AO9" s="53"/>
      <c r="AP9" s="1"/>
      <c r="AQ9" s="32"/>
      <c r="AT9" s="24"/>
      <c r="AV9" s="38" t="s">
        <v>96</v>
      </c>
      <c r="AW9" s="38"/>
      <c r="AX9" s="33"/>
      <c r="AY9" s="33"/>
      <c r="AZ9" s="52" t="s">
        <v>114</v>
      </c>
      <c r="BA9" s="53"/>
      <c r="BD9" s="52" t="s">
        <v>137</v>
      </c>
      <c r="BE9" s="53"/>
      <c r="BF9" s="33"/>
      <c r="BG9" s="33"/>
      <c r="BH9" s="52" t="s">
        <v>154</v>
      </c>
      <c r="BI9" s="53"/>
      <c r="BL9" s="52" t="s">
        <v>172</v>
      </c>
      <c r="BM9" s="53"/>
      <c r="BN9" s="33"/>
      <c r="BO9" s="33"/>
      <c r="BP9" s="52" t="s">
        <v>188</v>
      </c>
      <c r="BQ9" s="53"/>
      <c r="BT9" s="52" t="s">
        <v>206</v>
      </c>
      <c r="BU9" s="53"/>
      <c r="BV9" s="33"/>
      <c r="BW9" s="33"/>
      <c r="BX9" s="52" t="s">
        <v>222</v>
      </c>
      <c r="BY9" s="53"/>
      <c r="CB9" s="52" t="s">
        <v>240</v>
      </c>
      <c r="CC9" s="53"/>
      <c r="CD9" s="33"/>
      <c r="CE9" s="33"/>
      <c r="CF9" s="52" t="s">
        <v>256</v>
      </c>
      <c r="CG9" s="53"/>
      <c r="CH9" s="1"/>
      <c r="CI9" s="32"/>
    </row>
    <row r="10" spans="2:87">
      <c r="B10" s="24"/>
      <c r="D10" s="52" t="s">
        <v>257</v>
      </c>
      <c r="E10" s="53"/>
      <c r="F10" s="33"/>
      <c r="G10" s="33"/>
      <c r="H10" s="52" t="s">
        <v>241</v>
      </c>
      <c r="I10" s="53"/>
      <c r="L10" s="52" t="s">
        <v>223</v>
      </c>
      <c r="M10" s="53"/>
      <c r="N10" s="33"/>
      <c r="O10" s="33"/>
      <c r="P10" s="52" t="s">
        <v>207</v>
      </c>
      <c r="Q10" s="53"/>
      <c r="T10" s="52" t="s">
        <v>189</v>
      </c>
      <c r="U10" s="53"/>
      <c r="V10" s="33"/>
      <c r="W10" s="33"/>
      <c r="X10" s="52" t="s">
        <v>173</v>
      </c>
      <c r="Y10" s="53"/>
      <c r="AB10" s="52" t="s">
        <v>155</v>
      </c>
      <c r="AC10" s="53"/>
      <c r="AD10" s="33"/>
      <c r="AE10" s="33"/>
      <c r="AF10" s="52" t="s">
        <v>139</v>
      </c>
      <c r="AG10" s="53"/>
      <c r="AJ10" s="52" t="s">
        <v>118</v>
      </c>
      <c r="AK10" s="53"/>
      <c r="AL10" s="33"/>
      <c r="AM10" s="33"/>
      <c r="AN10" s="52" t="s">
        <v>98</v>
      </c>
      <c r="AO10" s="53"/>
      <c r="AP10" s="1"/>
      <c r="AQ10" s="32"/>
      <c r="AR10" s="35"/>
      <c r="AT10" s="24"/>
      <c r="AV10" s="38" t="s">
        <v>98</v>
      </c>
      <c r="AW10" s="38"/>
      <c r="AX10" s="33"/>
      <c r="AY10" s="33"/>
      <c r="AZ10" s="38" t="s">
        <v>118</v>
      </c>
      <c r="BA10" s="38"/>
      <c r="BD10" s="52" t="s">
        <v>139</v>
      </c>
      <c r="BE10" s="53"/>
      <c r="BF10" s="33"/>
      <c r="BG10" s="33"/>
      <c r="BH10" s="52" t="s">
        <v>155</v>
      </c>
      <c r="BI10" s="53"/>
      <c r="BL10" s="52" t="s">
        <v>173</v>
      </c>
      <c r="BM10" s="53"/>
      <c r="BN10" s="33"/>
      <c r="BO10" s="33"/>
      <c r="BP10" s="52" t="s">
        <v>189</v>
      </c>
      <c r="BQ10" s="53"/>
      <c r="BT10" s="52" t="s">
        <v>207</v>
      </c>
      <c r="BU10" s="53"/>
      <c r="BV10" s="33"/>
      <c r="BW10" s="33"/>
      <c r="BX10" s="52" t="s">
        <v>223</v>
      </c>
      <c r="BY10" s="53"/>
      <c r="CB10" s="52" t="s">
        <v>241</v>
      </c>
      <c r="CC10" s="53"/>
      <c r="CD10" s="33"/>
      <c r="CE10" s="33"/>
      <c r="CF10" s="52" t="s">
        <v>257</v>
      </c>
      <c r="CG10" s="53"/>
      <c r="CH10" s="1"/>
      <c r="CI10" s="32"/>
    </row>
    <row r="11" spans="2:87">
      <c r="B11" s="24"/>
      <c r="D11" s="52" t="s">
        <v>258</v>
      </c>
      <c r="E11" s="53"/>
      <c r="F11" s="33"/>
      <c r="G11" s="33"/>
      <c r="H11" s="52" t="s">
        <v>242</v>
      </c>
      <c r="I11" s="53"/>
      <c r="L11" s="52" t="s">
        <v>224</v>
      </c>
      <c r="M11" s="53"/>
      <c r="N11" s="33"/>
      <c r="O11" s="33"/>
      <c r="P11" s="52" t="s">
        <v>208</v>
      </c>
      <c r="Q11" s="53"/>
      <c r="T11" s="52" t="s">
        <v>190</v>
      </c>
      <c r="U11" s="53"/>
      <c r="V11" s="33"/>
      <c r="W11" s="33"/>
      <c r="X11" s="52" t="s">
        <v>174</v>
      </c>
      <c r="Y11" s="53"/>
      <c r="AB11" s="52" t="s">
        <v>156</v>
      </c>
      <c r="AC11" s="53"/>
      <c r="AD11" s="33"/>
      <c r="AE11" s="33"/>
      <c r="AF11" s="52" t="s">
        <v>140</v>
      </c>
      <c r="AG11" s="53"/>
      <c r="AJ11" s="52" t="s">
        <v>119</v>
      </c>
      <c r="AK11" s="53"/>
      <c r="AL11" s="33"/>
      <c r="AM11" s="33"/>
      <c r="AN11" s="52" t="s">
        <v>100</v>
      </c>
      <c r="AO11" s="53"/>
      <c r="AP11" s="1"/>
      <c r="AQ11" s="32"/>
      <c r="AT11" s="24"/>
      <c r="AV11" s="38" t="s">
        <v>100</v>
      </c>
      <c r="AW11" s="38"/>
      <c r="AX11" s="33"/>
      <c r="AY11" s="33"/>
      <c r="AZ11" s="38" t="s">
        <v>119</v>
      </c>
      <c r="BA11" s="38"/>
      <c r="BD11" s="52" t="s">
        <v>140</v>
      </c>
      <c r="BE11" s="53"/>
      <c r="BF11" s="33"/>
      <c r="BG11" s="33"/>
      <c r="BH11" s="52" t="s">
        <v>156</v>
      </c>
      <c r="BI11" s="53"/>
      <c r="BL11" s="52" t="s">
        <v>174</v>
      </c>
      <c r="BM11" s="53"/>
      <c r="BN11" s="33"/>
      <c r="BO11" s="33"/>
      <c r="BP11" s="52" t="s">
        <v>190</v>
      </c>
      <c r="BQ11" s="53"/>
      <c r="BT11" s="52" t="s">
        <v>208</v>
      </c>
      <c r="BU11" s="53"/>
      <c r="BV11" s="33"/>
      <c r="BW11" s="33"/>
      <c r="BX11" s="52" t="s">
        <v>224</v>
      </c>
      <c r="BY11" s="53"/>
      <c r="CB11" s="52" t="s">
        <v>242</v>
      </c>
      <c r="CC11" s="53"/>
      <c r="CD11" s="33"/>
      <c r="CE11" s="33"/>
      <c r="CF11" s="52" t="s">
        <v>258</v>
      </c>
      <c r="CG11" s="53"/>
      <c r="CH11" s="1"/>
      <c r="CI11" s="32"/>
    </row>
    <row r="12" spans="2:87">
      <c r="B12" s="24"/>
      <c r="D12" s="52" t="s">
        <v>259</v>
      </c>
      <c r="E12" s="53"/>
      <c r="F12" s="33"/>
      <c r="G12" s="33"/>
      <c r="H12" s="52" t="s">
        <v>243</v>
      </c>
      <c r="I12" s="53"/>
      <c r="L12" s="52" t="s">
        <v>225</v>
      </c>
      <c r="M12" s="53"/>
      <c r="N12" s="33"/>
      <c r="O12" s="33"/>
      <c r="P12" s="52" t="s">
        <v>209</v>
      </c>
      <c r="Q12" s="53"/>
      <c r="T12" s="52" t="s">
        <v>191</v>
      </c>
      <c r="U12" s="53"/>
      <c r="V12" s="33"/>
      <c r="W12" s="33"/>
      <c r="X12" s="52" t="s">
        <v>175</v>
      </c>
      <c r="Y12" s="53"/>
      <c r="AB12" s="52" t="s">
        <v>157</v>
      </c>
      <c r="AC12" s="53"/>
      <c r="AD12" s="33"/>
      <c r="AE12" s="33"/>
      <c r="AF12" s="52" t="s">
        <v>141</v>
      </c>
      <c r="AG12" s="53"/>
      <c r="AJ12" s="52" t="s">
        <v>122</v>
      </c>
      <c r="AK12" s="53"/>
      <c r="AL12" s="33"/>
      <c r="AM12" s="33"/>
      <c r="AN12" s="52" t="s">
        <v>101</v>
      </c>
      <c r="AO12" s="53"/>
      <c r="AP12" s="1"/>
      <c r="AQ12" s="32"/>
      <c r="AT12" s="24"/>
      <c r="AV12" s="38" t="s">
        <v>101</v>
      </c>
      <c r="AW12" s="38"/>
      <c r="AX12" s="33"/>
      <c r="AY12" s="33"/>
      <c r="AZ12" s="38" t="s">
        <v>122</v>
      </c>
      <c r="BA12" s="38"/>
      <c r="BD12" s="52" t="s">
        <v>141</v>
      </c>
      <c r="BE12" s="53"/>
      <c r="BF12" s="33"/>
      <c r="BG12" s="33"/>
      <c r="BH12" s="52" t="s">
        <v>157</v>
      </c>
      <c r="BI12" s="53"/>
      <c r="BL12" s="52" t="s">
        <v>175</v>
      </c>
      <c r="BM12" s="53"/>
      <c r="BN12" s="33"/>
      <c r="BO12" s="33"/>
      <c r="BP12" s="52" t="s">
        <v>191</v>
      </c>
      <c r="BQ12" s="53"/>
      <c r="BT12" s="52" t="s">
        <v>209</v>
      </c>
      <c r="BU12" s="53"/>
      <c r="BV12" s="33"/>
      <c r="BW12" s="33"/>
      <c r="BX12" s="52" t="s">
        <v>225</v>
      </c>
      <c r="BY12" s="53"/>
      <c r="CB12" s="52" t="s">
        <v>243</v>
      </c>
      <c r="CC12" s="53"/>
      <c r="CD12" s="33"/>
      <c r="CE12" s="33"/>
      <c r="CF12" s="52" t="s">
        <v>259</v>
      </c>
      <c r="CG12" s="53"/>
      <c r="CH12" s="1"/>
      <c r="CI12" s="32"/>
    </row>
    <row r="13" spans="2:87">
      <c r="B13" s="24"/>
      <c r="D13" s="52" t="s">
        <v>260</v>
      </c>
      <c r="E13" s="53"/>
      <c r="F13" s="33"/>
      <c r="G13" s="33"/>
      <c r="H13" s="52" t="s">
        <v>244</v>
      </c>
      <c r="I13" s="53"/>
      <c r="L13" s="52" t="s">
        <v>226</v>
      </c>
      <c r="M13" s="53"/>
      <c r="N13" s="33"/>
      <c r="O13" s="33"/>
      <c r="P13" s="52" t="s">
        <v>210</v>
      </c>
      <c r="Q13" s="53"/>
      <c r="T13" s="52" t="s">
        <v>192</v>
      </c>
      <c r="U13" s="53"/>
      <c r="V13" s="33"/>
      <c r="W13" s="33"/>
      <c r="X13" s="52" t="s">
        <v>176</v>
      </c>
      <c r="Y13" s="53"/>
      <c r="AB13" s="52" t="s">
        <v>158</v>
      </c>
      <c r="AC13" s="53"/>
      <c r="AD13" s="33"/>
      <c r="AE13" s="33"/>
      <c r="AF13" s="52" t="s">
        <v>142</v>
      </c>
      <c r="AG13" s="53"/>
      <c r="AJ13" s="52" t="s">
        <v>123</v>
      </c>
      <c r="AK13" s="53"/>
      <c r="AL13" s="33"/>
      <c r="AM13" s="33"/>
      <c r="AN13" s="52" t="s">
        <v>102</v>
      </c>
      <c r="AO13" s="53"/>
      <c r="AP13" s="1"/>
      <c r="AQ13" s="32"/>
      <c r="AT13" s="24"/>
      <c r="AV13" s="38" t="s">
        <v>102</v>
      </c>
      <c r="AW13" s="38"/>
      <c r="AX13" s="33"/>
      <c r="AY13" s="33"/>
      <c r="AZ13" s="38" t="s">
        <v>123</v>
      </c>
      <c r="BA13" s="38"/>
      <c r="BD13" s="52" t="s">
        <v>142</v>
      </c>
      <c r="BE13" s="53"/>
      <c r="BF13" s="33"/>
      <c r="BG13" s="33"/>
      <c r="BH13" s="52" t="s">
        <v>158</v>
      </c>
      <c r="BI13" s="53"/>
      <c r="BL13" s="52" t="s">
        <v>176</v>
      </c>
      <c r="BM13" s="53"/>
      <c r="BN13" s="33"/>
      <c r="BO13" s="33"/>
      <c r="BP13" s="52" t="s">
        <v>192</v>
      </c>
      <c r="BQ13" s="53"/>
      <c r="BT13" s="52" t="s">
        <v>210</v>
      </c>
      <c r="BU13" s="53"/>
      <c r="BV13" s="33"/>
      <c r="BW13" s="33"/>
      <c r="BX13" s="52" t="s">
        <v>226</v>
      </c>
      <c r="BY13" s="53"/>
      <c r="CB13" s="52" t="s">
        <v>244</v>
      </c>
      <c r="CC13" s="53"/>
      <c r="CD13" s="33"/>
      <c r="CE13" s="33"/>
      <c r="CF13" s="52" t="s">
        <v>260</v>
      </c>
      <c r="CG13" s="53"/>
      <c r="CH13" s="1"/>
      <c r="CI13" s="32"/>
    </row>
    <row r="14" spans="2:87">
      <c r="B14" s="24"/>
      <c r="D14" s="52" t="s">
        <v>261</v>
      </c>
      <c r="E14" s="53"/>
      <c r="F14" s="33"/>
      <c r="G14" s="33"/>
      <c r="H14" s="52" t="s">
        <v>245</v>
      </c>
      <c r="I14" s="53"/>
      <c r="L14" s="52" t="s">
        <v>227</v>
      </c>
      <c r="M14" s="53"/>
      <c r="N14" s="33"/>
      <c r="O14" s="33"/>
      <c r="P14" s="52" t="s">
        <v>211</v>
      </c>
      <c r="Q14" s="53"/>
      <c r="T14" s="52" t="s">
        <v>193</v>
      </c>
      <c r="U14" s="53"/>
      <c r="V14" s="33"/>
      <c r="W14" s="33"/>
      <c r="X14" s="52" t="s">
        <v>177</v>
      </c>
      <c r="Y14" s="53"/>
      <c r="AB14" s="52" t="s">
        <v>159</v>
      </c>
      <c r="AC14" s="53"/>
      <c r="AD14" s="33"/>
      <c r="AE14" s="33"/>
      <c r="AF14" s="52" t="s">
        <v>143</v>
      </c>
      <c r="AG14" s="53"/>
      <c r="AJ14" s="52" t="s">
        <v>124</v>
      </c>
      <c r="AK14" s="53"/>
      <c r="AL14" s="33"/>
      <c r="AM14" s="33"/>
      <c r="AN14" s="52" t="s">
        <v>103</v>
      </c>
      <c r="AO14" s="53"/>
      <c r="AP14" s="1"/>
      <c r="AQ14" s="32"/>
      <c r="AT14" s="24"/>
      <c r="AV14" s="38" t="s">
        <v>103</v>
      </c>
      <c r="AW14" s="38"/>
      <c r="AX14" s="33"/>
      <c r="AY14" s="33"/>
      <c r="AZ14" s="38" t="s">
        <v>124</v>
      </c>
      <c r="BA14" s="38"/>
      <c r="BD14" s="52" t="s">
        <v>143</v>
      </c>
      <c r="BE14" s="53"/>
      <c r="BF14" s="33"/>
      <c r="BG14" s="33"/>
      <c r="BH14" s="52" t="s">
        <v>159</v>
      </c>
      <c r="BI14" s="53"/>
      <c r="BL14" s="52" t="s">
        <v>177</v>
      </c>
      <c r="BM14" s="53"/>
      <c r="BN14" s="33"/>
      <c r="BO14" s="33"/>
      <c r="BP14" s="52" t="s">
        <v>193</v>
      </c>
      <c r="BQ14" s="53"/>
      <c r="BT14" s="52" t="s">
        <v>211</v>
      </c>
      <c r="BU14" s="53"/>
      <c r="BV14" s="33"/>
      <c r="BW14" s="33"/>
      <c r="BX14" s="52" t="s">
        <v>227</v>
      </c>
      <c r="BY14" s="53"/>
      <c r="CB14" s="52" t="s">
        <v>245</v>
      </c>
      <c r="CC14" s="53"/>
      <c r="CD14" s="33"/>
      <c r="CE14" s="33"/>
      <c r="CF14" s="52" t="s">
        <v>261</v>
      </c>
      <c r="CG14" s="53"/>
      <c r="CH14" s="1"/>
      <c r="CI14" s="32"/>
    </row>
    <row r="15" spans="2:87">
      <c r="B15" s="24"/>
      <c r="D15" s="52" t="s">
        <v>262</v>
      </c>
      <c r="E15" s="53"/>
      <c r="F15" s="33"/>
      <c r="G15" s="33"/>
      <c r="H15" s="52" t="s">
        <v>246</v>
      </c>
      <c r="I15" s="53"/>
      <c r="L15" s="52" t="s">
        <v>228</v>
      </c>
      <c r="M15" s="53"/>
      <c r="N15" s="33"/>
      <c r="O15" s="33"/>
      <c r="P15" s="52" t="s">
        <v>212</v>
      </c>
      <c r="Q15" s="53"/>
      <c r="T15" s="52" t="s">
        <v>194</v>
      </c>
      <c r="U15" s="53"/>
      <c r="V15" s="33"/>
      <c r="W15" s="33"/>
      <c r="X15" s="52" t="s">
        <v>178</v>
      </c>
      <c r="Y15" s="53"/>
      <c r="AB15" s="52" t="s">
        <v>160</v>
      </c>
      <c r="AC15" s="53"/>
      <c r="AD15" s="33"/>
      <c r="AE15" s="33"/>
      <c r="AF15" s="52" t="s">
        <v>144</v>
      </c>
      <c r="AG15" s="53"/>
      <c r="AJ15" s="52" t="s">
        <v>125</v>
      </c>
      <c r="AK15" s="53"/>
      <c r="AL15" s="33"/>
      <c r="AM15" s="33"/>
      <c r="AN15" s="52" t="s">
        <v>104</v>
      </c>
      <c r="AO15" s="53"/>
      <c r="AP15" s="1"/>
      <c r="AQ15" s="32"/>
      <c r="AT15" s="24"/>
      <c r="AV15" s="38" t="s">
        <v>104</v>
      </c>
      <c r="AW15" s="38"/>
      <c r="AX15" s="33"/>
      <c r="AY15" s="33"/>
      <c r="AZ15" s="38" t="s">
        <v>125</v>
      </c>
      <c r="BA15" s="38"/>
      <c r="BD15" s="52" t="s">
        <v>144</v>
      </c>
      <c r="BE15" s="53"/>
      <c r="BF15" s="33"/>
      <c r="BG15" s="33"/>
      <c r="BH15" s="52" t="s">
        <v>160</v>
      </c>
      <c r="BI15" s="53"/>
      <c r="BL15" s="52" t="s">
        <v>178</v>
      </c>
      <c r="BM15" s="53"/>
      <c r="BN15" s="33"/>
      <c r="BO15" s="33"/>
      <c r="BP15" s="52" t="s">
        <v>194</v>
      </c>
      <c r="BQ15" s="53"/>
      <c r="BT15" s="52" t="s">
        <v>212</v>
      </c>
      <c r="BU15" s="53"/>
      <c r="BV15" s="33"/>
      <c r="BW15" s="33"/>
      <c r="BX15" s="52" t="s">
        <v>228</v>
      </c>
      <c r="BY15" s="53"/>
      <c r="CB15" s="52" t="s">
        <v>246</v>
      </c>
      <c r="CC15" s="53"/>
      <c r="CD15" s="33"/>
      <c r="CE15" s="33"/>
      <c r="CF15" s="52" t="s">
        <v>262</v>
      </c>
      <c r="CG15" s="53"/>
      <c r="CH15" s="1"/>
      <c r="CI15" s="32"/>
    </row>
    <row r="16" spans="2:87">
      <c r="B16" s="24"/>
      <c r="D16" s="52" t="s">
        <v>263</v>
      </c>
      <c r="E16" s="53"/>
      <c r="F16" s="33"/>
      <c r="G16" s="33"/>
      <c r="H16" s="52" t="s">
        <v>247</v>
      </c>
      <c r="I16" s="53"/>
      <c r="L16" s="52" t="s">
        <v>229</v>
      </c>
      <c r="M16" s="53"/>
      <c r="N16" s="33"/>
      <c r="O16" s="33"/>
      <c r="P16" s="52" t="s">
        <v>213</v>
      </c>
      <c r="Q16" s="53"/>
      <c r="T16" s="52" t="s">
        <v>195</v>
      </c>
      <c r="U16" s="53"/>
      <c r="V16" s="33"/>
      <c r="W16" s="33"/>
      <c r="X16" s="52" t="s">
        <v>179</v>
      </c>
      <c r="Y16" s="53"/>
      <c r="AB16" s="52" t="s">
        <v>161</v>
      </c>
      <c r="AC16" s="53"/>
      <c r="AD16" s="33"/>
      <c r="AE16" s="33"/>
      <c r="AF16" s="52" t="s">
        <v>145</v>
      </c>
      <c r="AG16" s="53"/>
      <c r="AJ16" s="52" t="s">
        <v>126</v>
      </c>
      <c r="AK16" s="53"/>
      <c r="AL16" s="33"/>
      <c r="AM16" s="33"/>
      <c r="AN16" s="52" t="s">
        <v>105</v>
      </c>
      <c r="AO16" s="53"/>
      <c r="AP16" s="1"/>
      <c r="AQ16" s="32"/>
      <c r="AT16" s="24"/>
      <c r="AV16" s="38" t="s">
        <v>105</v>
      </c>
      <c r="AW16" s="38"/>
      <c r="AX16" s="33"/>
      <c r="AY16" s="33"/>
      <c r="AZ16" s="38" t="s">
        <v>126</v>
      </c>
      <c r="BA16" s="38"/>
      <c r="BD16" s="52" t="s">
        <v>145</v>
      </c>
      <c r="BE16" s="53"/>
      <c r="BF16" s="33"/>
      <c r="BG16" s="33"/>
      <c r="BH16" s="52" t="s">
        <v>161</v>
      </c>
      <c r="BI16" s="53"/>
      <c r="BL16" s="52" t="s">
        <v>179</v>
      </c>
      <c r="BM16" s="53"/>
      <c r="BN16" s="33"/>
      <c r="BO16" s="33"/>
      <c r="BP16" s="52" t="s">
        <v>195</v>
      </c>
      <c r="BQ16" s="53"/>
      <c r="BT16" s="52" t="s">
        <v>213</v>
      </c>
      <c r="BU16" s="53"/>
      <c r="BV16" s="33"/>
      <c r="BW16" s="33"/>
      <c r="BX16" s="52" t="s">
        <v>229</v>
      </c>
      <c r="BY16" s="53"/>
      <c r="CB16" s="52" t="s">
        <v>247</v>
      </c>
      <c r="CC16" s="53"/>
      <c r="CD16" s="33"/>
      <c r="CE16" s="33"/>
      <c r="CF16" s="52" t="s">
        <v>263</v>
      </c>
      <c r="CG16" s="53"/>
      <c r="CH16" s="1"/>
      <c r="CI16" s="32"/>
    </row>
    <row r="17" spans="2:87">
      <c r="B17" s="24"/>
      <c r="D17" s="52" t="s">
        <v>264</v>
      </c>
      <c r="E17" s="53"/>
      <c r="F17" s="33"/>
      <c r="G17" s="33"/>
      <c r="H17" s="52" t="s">
        <v>248</v>
      </c>
      <c r="I17" s="53"/>
      <c r="L17" s="52" t="s">
        <v>230</v>
      </c>
      <c r="M17" s="53"/>
      <c r="N17" s="33"/>
      <c r="O17" s="33"/>
      <c r="P17" s="52" t="s">
        <v>214</v>
      </c>
      <c r="Q17" s="53"/>
      <c r="T17" s="52" t="s">
        <v>196</v>
      </c>
      <c r="U17" s="53"/>
      <c r="V17" s="33"/>
      <c r="W17" s="33"/>
      <c r="X17" s="52" t="s">
        <v>180</v>
      </c>
      <c r="Y17" s="53"/>
      <c r="AB17" s="52" t="s">
        <v>162</v>
      </c>
      <c r="AC17" s="53"/>
      <c r="AD17" s="33"/>
      <c r="AE17" s="33"/>
      <c r="AF17" s="52" t="s">
        <v>146</v>
      </c>
      <c r="AG17" s="53"/>
      <c r="AJ17" s="52" t="s">
        <v>127</v>
      </c>
      <c r="AK17" s="53"/>
      <c r="AL17" s="33"/>
      <c r="AM17" s="33"/>
      <c r="AN17" s="52" t="s">
        <v>106</v>
      </c>
      <c r="AO17" s="53"/>
      <c r="AP17" s="1"/>
      <c r="AQ17" s="32"/>
      <c r="AT17" s="24"/>
      <c r="AV17" s="38" t="s">
        <v>106</v>
      </c>
      <c r="AW17" s="38"/>
      <c r="AX17" s="33"/>
      <c r="AY17" s="33"/>
      <c r="AZ17" s="38" t="s">
        <v>127</v>
      </c>
      <c r="BA17" s="38"/>
      <c r="BD17" s="52" t="s">
        <v>146</v>
      </c>
      <c r="BE17" s="53"/>
      <c r="BF17" s="33"/>
      <c r="BG17" s="33"/>
      <c r="BH17" s="52" t="s">
        <v>162</v>
      </c>
      <c r="BI17" s="53"/>
      <c r="BL17" s="52" t="s">
        <v>180</v>
      </c>
      <c r="BM17" s="53"/>
      <c r="BN17" s="33"/>
      <c r="BO17" s="33"/>
      <c r="BP17" s="52" t="s">
        <v>196</v>
      </c>
      <c r="BQ17" s="53"/>
      <c r="BT17" s="52" t="s">
        <v>214</v>
      </c>
      <c r="BU17" s="53"/>
      <c r="BV17" s="33"/>
      <c r="BW17" s="33"/>
      <c r="BX17" s="52" t="s">
        <v>230</v>
      </c>
      <c r="BY17" s="53"/>
      <c r="CB17" s="52" t="s">
        <v>248</v>
      </c>
      <c r="CC17" s="53"/>
      <c r="CD17" s="33"/>
      <c r="CE17" s="33"/>
      <c r="CF17" s="52" t="s">
        <v>264</v>
      </c>
      <c r="CG17" s="53"/>
      <c r="CH17" s="1"/>
      <c r="CI17" s="32"/>
    </row>
    <row r="18" spans="2:87">
      <c r="B18" s="24"/>
      <c r="D18" s="52" t="s">
        <v>265</v>
      </c>
      <c r="E18" s="53"/>
      <c r="F18" s="33"/>
      <c r="G18" s="33"/>
      <c r="H18" s="52" t="s">
        <v>249</v>
      </c>
      <c r="I18" s="53"/>
      <c r="L18" s="52" t="s">
        <v>231</v>
      </c>
      <c r="M18" s="53"/>
      <c r="N18" s="33"/>
      <c r="O18" s="33"/>
      <c r="P18" s="52" t="s">
        <v>215</v>
      </c>
      <c r="Q18" s="53"/>
      <c r="T18" s="52" t="s">
        <v>197</v>
      </c>
      <c r="U18" s="53"/>
      <c r="V18" s="33"/>
      <c r="W18" s="33"/>
      <c r="X18" s="52" t="s">
        <v>181</v>
      </c>
      <c r="Y18" s="53"/>
      <c r="AB18" s="52" t="s">
        <v>163</v>
      </c>
      <c r="AC18" s="53"/>
      <c r="AD18" s="33"/>
      <c r="AE18" s="33"/>
      <c r="AF18" s="52" t="s">
        <v>147</v>
      </c>
      <c r="AG18" s="53"/>
      <c r="AJ18" s="52" t="s">
        <v>128</v>
      </c>
      <c r="AK18" s="53"/>
      <c r="AL18" s="33"/>
      <c r="AM18" s="33"/>
      <c r="AN18" s="52" t="s">
        <v>107</v>
      </c>
      <c r="AO18" s="53"/>
      <c r="AP18" s="1"/>
      <c r="AQ18" s="32"/>
      <c r="AT18" s="24"/>
      <c r="AV18" s="38" t="s">
        <v>107</v>
      </c>
      <c r="AW18" s="38"/>
      <c r="AX18" s="33"/>
      <c r="AY18" s="33"/>
      <c r="AZ18" s="38" t="s">
        <v>128</v>
      </c>
      <c r="BA18" s="38"/>
      <c r="BD18" s="52" t="s">
        <v>147</v>
      </c>
      <c r="BE18" s="53"/>
      <c r="BF18" s="33"/>
      <c r="BG18" s="33"/>
      <c r="BH18" s="52" t="s">
        <v>163</v>
      </c>
      <c r="BI18" s="53"/>
      <c r="BL18" s="52" t="s">
        <v>181</v>
      </c>
      <c r="BM18" s="53"/>
      <c r="BN18" s="33"/>
      <c r="BO18" s="33"/>
      <c r="BP18" s="52" t="s">
        <v>197</v>
      </c>
      <c r="BQ18" s="53"/>
      <c r="BT18" s="52" t="s">
        <v>215</v>
      </c>
      <c r="BU18" s="53"/>
      <c r="BV18" s="33"/>
      <c r="BW18" s="33"/>
      <c r="BX18" s="52" t="s">
        <v>231</v>
      </c>
      <c r="BY18" s="53"/>
      <c r="CB18" s="52" t="s">
        <v>249</v>
      </c>
      <c r="CC18" s="53"/>
      <c r="CD18" s="33"/>
      <c r="CE18" s="33"/>
      <c r="CF18" s="52" t="s">
        <v>265</v>
      </c>
      <c r="CG18" s="53"/>
      <c r="CH18" s="1"/>
      <c r="CI18" s="32"/>
    </row>
    <row r="19" spans="2:87">
      <c r="B19" s="24"/>
      <c r="D19" s="52" t="s">
        <v>266</v>
      </c>
      <c r="E19" s="53"/>
      <c r="F19" s="33"/>
      <c r="G19" s="33"/>
      <c r="H19" s="36"/>
      <c r="I19" s="36"/>
      <c r="L19" s="52" t="s">
        <v>232</v>
      </c>
      <c r="M19" s="53"/>
      <c r="N19" s="33"/>
      <c r="O19" s="33"/>
      <c r="P19" s="36"/>
      <c r="Q19" s="36"/>
      <c r="T19" s="52" t="s">
        <v>198</v>
      </c>
      <c r="U19" s="53"/>
      <c r="V19" s="33"/>
      <c r="W19" s="33"/>
      <c r="X19" s="36"/>
      <c r="Y19" s="36"/>
      <c r="AB19" s="52" t="s">
        <v>164</v>
      </c>
      <c r="AC19" s="53"/>
      <c r="AD19" s="33"/>
      <c r="AE19" s="33"/>
      <c r="AF19" s="36"/>
      <c r="AG19" s="36"/>
      <c r="AJ19" s="52" t="s">
        <v>129</v>
      </c>
      <c r="AK19" s="53"/>
      <c r="AL19" s="33"/>
      <c r="AM19" s="33"/>
      <c r="AN19" s="36"/>
      <c r="AO19" s="36"/>
      <c r="AP19" s="1"/>
      <c r="AQ19" s="32"/>
      <c r="AT19" s="24"/>
      <c r="AV19" s="36"/>
      <c r="AW19" s="36"/>
      <c r="AX19" s="33"/>
      <c r="AY19" s="33"/>
      <c r="AZ19" s="38" t="s">
        <v>129</v>
      </c>
      <c r="BA19" s="38"/>
      <c r="BD19" s="36"/>
      <c r="BE19" s="36"/>
      <c r="BF19" s="33"/>
      <c r="BG19" s="33"/>
      <c r="BH19" s="52" t="s">
        <v>164</v>
      </c>
      <c r="BI19" s="53"/>
      <c r="BL19" s="36"/>
      <c r="BM19" s="36"/>
      <c r="BN19" s="33"/>
      <c r="BO19" s="33"/>
      <c r="BP19" s="38" t="s">
        <v>198</v>
      </c>
      <c r="BQ19" s="38"/>
      <c r="BT19" s="36"/>
      <c r="BU19" s="36"/>
      <c r="BV19" s="33"/>
      <c r="BW19" s="33"/>
      <c r="BX19" s="38" t="s">
        <v>232</v>
      </c>
      <c r="BY19" s="38"/>
      <c r="CB19" s="36"/>
      <c r="CC19" s="36"/>
      <c r="CD19" s="33"/>
      <c r="CE19" s="33"/>
      <c r="CF19" s="38" t="s">
        <v>266</v>
      </c>
      <c r="CG19" s="38"/>
      <c r="CH19" s="1"/>
      <c r="CI19" s="32"/>
    </row>
    <row r="20" spans="2:87">
      <c r="B20" s="24"/>
      <c r="D20" s="52" t="s">
        <v>267</v>
      </c>
      <c r="E20" s="53"/>
      <c r="F20" s="33"/>
      <c r="G20" s="33"/>
      <c r="H20" s="36"/>
      <c r="I20" s="36"/>
      <c r="L20" s="52" t="s">
        <v>233</v>
      </c>
      <c r="M20" s="53"/>
      <c r="N20" s="33"/>
      <c r="O20" s="33"/>
      <c r="P20" s="36"/>
      <c r="Q20" s="36"/>
      <c r="T20" s="52" t="s">
        <v>199</v>
      </c>
      <c r="U20" s="53"/>
      <c r="V20" s="33"/>
      <c r="W20" s="33"/>
      <c r="X20" s="36"/>
      <c r="Y20" s="36"/>
      <c r="AB20" s="52" t="s">
        <v>165</v>
      </c>
      <c r="AC20" s="53"/>
      <c r="AD20" s="33"/>
      <c r="AE20" s="33"/>
      <c r="AF20" s="36"/>
      <c r="AG20" s="36"/>
      <c r="AJ20" s="38" t="s">
        <v>130</v>
      </c>
      <c r="AK20" s="38"/>
      <c r="AL20" s="33"/>
      <c r="AM20" s="33"/>
      <c r="AN20" s="36"/>
      <c r="AO20" s="36"/>
      <c r="AP20" s="37"/>
      <c r="AQ20" s="32"/>
      <c r="AT20" s="24"/>
      <c r="AV20" s="36"/>
      <c r="AW20" s="36"/>
      <c r="AX20" s="33"/>
      <c r="AY20" s="33"/>
      <c r="AZ20" s="38" t="s">
        <v>130</v>
      </c>
      <c r="BA20" s="38"/>
      <c r="BD20" s="36"/>
      <c r="BE20" s="36"/>
      <c r="BF20" s="33"/>
      <c r="BG20" s="33"/>
      <c r="BH20" s="38" t="s">
        <v>165</v>
      </c>
      <c r="BI20" s="38"/>
      <c r="BL20" s="36"/>
      <c r="BM20" s="36"/>
      <c r="BN20" s="33"/>
      <c r="BO20" s="33"/>
      <c r="BP20" s="38" t="s">
        <v>199</v>
      </c>
      <c r="BQ20" s="38"/>
      <c r="BT20" s="36"/>
      <c r="BU20" s="36"/>
      <c r="BV20" s="33"/>
      <c r="BW20" s="33"/>
      <c r="BX20" s="38" t="s">
        <v>233</v>
      </c>
      <c r="BY20" s="38"/>
      <c r="CB20" s="36"/>
      <c r="CC20" s="36"/>
      <c r="CD20" s="33"/>
      <c r="CE20" s="33"/>
      <c r="CF20" s="38" t="s">
        <v>267</v>
      </c>
      <c r="CG20" s="38"/>
      <c r="CH20" s="37"/>
      <c r="CI20" s="32"/>
    </row>
    <row r="21" spans="2:87">
      <c r="B21" s="24"/>
      <c r="D21" s="52" t="s">
        <v>268</v>
      </c>
      <c r="E21" s="53"/>
      <c r="F21" s="33"/>
      <c r="G21" s="33"/>
      <c r="H21" s="52" t="s">
        <v>250</v>
      </c>
      <c r="I21" s="53"/>
      <c r="L21" s="52" t="s">
        <v>234</v>
      </c>
      <c r="M21" s="53"/>
      <c r="N21" s="33"/>
      <c r="O21" s="33"/>
      <c r="P21" s="52" t="s">
        <v>216</v>
      </c>
      <c r="Q21" s="53"/>
      <c r="T21" s="52" t="s">
        <v>200</v>
      </c>
      <c r="U21" s="53"/>
      <c r="V21" s="33"/>
      <c r="W21" s="33"/>
      <c r="X21" s="52" t="s">
        <v>182</v>
      </c>
      <c r="Y21" s="53"/>
      <c r="AB21" s="52" t="s">
        <v>166</v>
      </c>
      <c r="AC21" s="53"/>
      <c r="AD21" s="33"/>
      <c r="AE21" s="33"/>
      <c r="AF21" s="38" t="s">
        <v>148</v>
      </c>
      <c r="AG21" s="38"/>
      <c r="AJ21" s="38" t="s">
        <v>131</v>
      </c>
      <c r="AK21" s="38"/>
      <c r="AL21" s="33"/>
      <c r="AM21" s="33"/>
      <c r="AN21" s="38" t="s">
        <v>108</v>
      </c>
      <c r="AO21" s="38"/>
      <c r="AP21" s="1"/>
      <c r="AQ21" s="32"/>
      <c r="AT21" s="24"/>
      <c r="AV21" s="38" t="s">
        <v>108</v>
      </c>
      <c r="AW21" s="38"/>
      <c r="AX21" s="33"/>
      <c r="AY21" s="33"/>
      <c r="AZ21" s="61" t="s">
        <v>131</v>
      </c>
      <c r="BA21" s="38"/>
      <c r="BD21" s="38" t="s">
        <v>148</v>
      </c>
      <c r="BE21" s="38"/>
      <c r="BF21" s="33"/>
      <c r="BG21" s="33"/>
      <c r="BH21" s="38" t="s">
        <v>166</v>
      </c>
      <c r="BI21" s="38"/>
      <c r="BL21" s="38" t="s">
        <v>182</v>
      </c>
      <c r="BM21" s="38"/>
      <c r="BN21" s="33"/>
      <c r="BO21" s="33"/>
      <c r="BP21" s="38" t="s">
        <v>200</v>
      </c>
      <c r="BQ21" s="38"/>
      <c r="BT21" s="38" t="s">
        <v>216</v>
      </c>
      <c r="BU21" s="38"/>
      <c r="BV21" s="33"/>
      <c r="BW21" s="33"/>
      <c r="BX21" s="38" t="s">
        <v>234</v>
      </c>
      <c r="BY21" s="38"/>
      <c r="CB21" s="38" t="s">
        <v>250</v>
      </c>
      <c r="CC21" s="38"/>
      <c r="CD21" s="33"/>
      <c r="CE21" s="33"/>
      <c r="CF21" s="38" t="s">
        <v>268</v>
      </c>
      <c r="CG21" s="38"/>
      <c r="CH21" s="1"/>
      <c r="CI21" s="32"/>
    </row>
    <row r="22" spans="2:87">
      <c r="B22" s="24"/>
      <c r="D22" s="52" t="s">
        <v>269</v>
      </c>
      <c r="E22" s="53"/>
      <c r="F22" s="33"/>
      <c r="G22" s="33"/>
      <c r="H22" s="52" t="s">
        <v>251</v>
      </c>
      <c r="I22" s="53"/>
      <c r="L22" s="52" t="s">
        <v>235</v>
      </c>
      <c r="M22" s="53"/>
      <c r="N22" s="33"/>
      <c r="O22" s="33"/>
      <c r="P22" s="52" t="s">
        <v>217</v>
      </c>
      <c r="Q22" s="53"/>
      <c r="T22" s="52" t="s">
        <v>201</v>
      </c>
      <c r="U22" s="53"/>
      <c r="V22" s="33"/>
      <c r="W22" s="33"/>
      <c r="X22" s="52" t="s">
        <v>183</v>
      </c>
      <c r="Y22" s="53"/>
      <c r="AB22" s="52" t="s">
        <v>167</v>
      </c>
      <c r="AC22" s="53"/>
      <c r="AD22" s="33"/>
      <c r="AE22" s="33"/>
      <c r="AF22" s="38" t="s">
        <v>149</v>
      </c>
      <c r="AG22" s="38"/>
      <c r="AJ22" s="38" t="s">
        <v>132</v>
      </c>
      <c r="AK22" s="38"/>
      <c r="AL22" s="33"/>
      <c r="AM22" s="33"/>
      <c r="AN22" s="38" t="s">
        <v>109</v>
      </c>
      <c r="AO22" s="38"/>
      <c r="AP22" s="1"/>
      <c r="AQ22" s="32"/>
      <c r="AT22" s="24"/>
      <c r="AV22" s="38" t="s">
        <v>109</v>
      </c>
      <c r="AW22" s="38"/>
      <c r="AX22" s="33"/>
      <c r="AY22" s="33"/>
      <c r="AZ22" s="38" t="s">
        <v>132</v>
      </c>
      <c r="BA22" s="38"/>
      <c r="BD22" s="38" t="s">
        <v>149</v>
      </c>
      <c r="BE22" s="38"/>
      <c r="BF22" s="33"/>
      <c r="BG22" s="33"/>
      <c r="BH22" s="38" t="s">
        <v>167</v>
      </c>
      <c r="BI22" s="38"/>
      <c r="BL22" s="38" t="s">
        <v>183</v>
      </c>
      <c r="BM22" s="38"/>
      <c r="BN22" s="33"/>
      <c r="BO22" s="33"/>
      <c r="BP22" s="38" t="s">
        <v>201</v>
      </c>
      <c r="BQ22" s="38"/>
      <c r="BT22" s="38" t="s">
        <v>217</v>
      </c>
      <c r="BU22" s="38"/>
      <c r="BV22" s="33"/>
      <c r="BW22" s="33"/>
      <c r="BX22" s="38" t="s">
        <v>235</v>
      </c>
      <c r="BY22" s="38"/>
      <c r="CB22" s="38" t="s">
        <v>251</v>
      </c>
      <c r="CC22" s="38"/>
      <c r="CD22" s="33"/>
      <c r="CE22" s="33"/>
      <c r="CF22" s="38" t="s">
        <v>269</v>
      </c>
      <c r="CG22" s="38"/>
      <c r="CH22" s="1"/>
      <c r="CI22" s="32"/>
    </row>
    <row r="23" spans="2:87">
      <c r="B23" s="24"/>
      <c r="D23" s="52" t="s">
        <v>270</v>
      </c>
      <c r="E23" s="53"/>
      <c r="F23" s="33"/>
      <c r="G23" s="33"/>
      <c r="H23" s="52" t="s">
        <v>252</v>
      </c>
      <c r="I23" s="53"/>
      <c r="L23" s="52" t="s">
        <v>236</v>
      </c>
      <c r="M23" s="53"/>
      <c r="N23" s="33"/>
      <c r="O23" s="33"/>
      <c r="P23" s="52" t="s">
        <v>218</v>
      </c>
      <c r="Q23" s="53"/>
      <c r="T23" s="52" t="s">
        <v>202</v>
      </c>
      <c r="U23" s="53"/>
      <c r="V23" s="33"/>
      <c r="W23" s="33"/>
      <c r="X23" s="52" t="s">
        <v>184</v>
      </c>
      <c r="Y23" s="53"/>
      <c r="AB23" s="52" t="s">
        <v>168</v>
      </c>
      <c r="AC23" s="53"/>
      <c r="AD23" s="33"/>
      <c r="AE23" s="33"/>
      <c r="AF23" s="38" t="s">
        <v>150</v>
      </c>
      <c r="AG23" s="38"/>
      <c r="AJ23" s="38" t="s">
        <v>133</v>
      </c>
      <c r="AK23" s="38"/>
      <c r="AL23" s="33"/>
      <c r="AM23" s="33"/>
      <c r="AN23" s="38" t="s">
        <v>110</v>
      </c>
      <c r="AO23" s="38"/>
      <c r="AP23" s="1"/>
      <c r="AQ23" s="32"/>
      <c r="AT23" s="24"/>
      <c r="AV23" s="38" t="s">
        <v>110</v>
      </c>
      <c r="AW23" s="38"/>
      <c r="AX23" s="33"/>
      <c r="AY23" s="33"/>
      <c r="AZ23" s="38" t="s">
        <v>133</v>
      </c>
      <c r="BA23" s="38"/>
      <c r="BD23" s="38" t="s">
        <v>150</v>
      </c>
      <c r="BE23" s="38"/>
      <c r="BF23" s="33"/>
      <c r="BG23" s="33"/>
      <c r="BH23" s="38" t="s">
        <v>168</v>
      </c>
      <c r="BI23" s="38"/>
      <c r="BL23" s="38" t="s">
        <v>184</v>
      </c>
      <c r="BM23" s="38"/>
      <c r="BN23" s="33"/>
      <c r="BO23" s="33"/>
      <c r="BP23" s="38" t="s">
        <v>202</v>
      </c>
      <c r="BQ23" s="38"/>
      <c r="BT23" s="38" t="s">
        <v>218</v>
      </c>
      <c r="BU23" s="38"/>
      <c r="BV23" s="33"/>
      <c r="BW23" s="33"/>
      <c r="BX23" s="38" t="s">
        <v>236</v>
      </c>
      <c r="BY23" s="38"/>
      <c r="CB23" s="38" t="s">
        <v>252</v>
      </c>
      <c r="CC23" s="38"/>
      <c r="CD23" s="33"/>
      <c r="CE23" s="33"/>
      <c r="CF23" s="38" t="s">
        <v>270</v>
      </c>
      <c r="CG23" s="38"/>
      <c r="CH23" s="1"/>
      <c r="CI23" s="32"/>
    </row>
    <row r="24" spans="2:87">
      <c r="B24" s="24"/>
      <c r="D24" s="52" t="s">
        <v>271</v>
      </c>
      <c r="E24" s="53"/>
      <c r="F24" s="33"/>
      <c r="G24" s="33"/>
      <c r="H24" s="52" t="s">
        <v>253</v>
      </c>
      <c r="I24" s="53"/>
      <c r="L24" s="52" t="s">
        <v>237</v>
      </c>
      <c r="M24" s="53"/>
      <c r="N24" s="33"/>
      <c r="O24" s="33"/>
      <c r="P24" s="52" t="s">
        <v>219</v>
      </c>
      <c r="Q24" s="53"/>
      <c r="T24" s="52" t="s">
        <v>203</v>
      </c>
      <c r="U24" s="53"/>
      <c r="V24" s="33"/>
      <c r="W24" s="33"/>
      <c r="X24" s="52" t="s">
        <v>185</v>
      </c>
      <c r="Y24" s="53"/>
      <c r="AB24" s="52" t="s">
        <v>169</v>
      </c>
      <c r="AC24" s="53"/>
      <c r="AD24" s="33"/>
      <c r="AE24" s="33"/>
      <c r="AF24" s="38" t="s">
        <v>151</v>
      </c>
      <c r="AG24" s="38"/>
      <c r="AJ24" s="38" t="s">
        <v>134</v>
      </c>
      <c r="AK24" s="38"/>
      <c r="AL24" s="33"/>
      <c r="AM24" s="33"/>
      <c r="AN24" s="38" t="s">
        <v>111</v>
      </c>
      <c r="AO24" s="38"/>
      <c r="AP24" s="1"/>
      <c r="AQ24" s="32"/>
      <c r="AT24" s="24"/>
      <c r="AV24" s="38" t="s">
        <v>111</v>
      </c>
      <c r="AW24" s="38"/>
      <c r="AX24" s="33"/>
      <c r="AY24" s="33"/>
      <c r="AZ24" s="38" t="s">
        <v>134</v>
      </c>
      <c r="BA24" s="38"/>
      <c r="BD24" s="38" t="s">
        <v>151</v>
      </c>
      <c r="BE24" s="38"/>
      <c r="BF24" s="33"/>
      <c r="BG24" s="33"/>
      <c r="BH24" s="38" t="s">
        <v>169</v>
      </c>
      <c r="BI24" s="38"/>
      <c r="BL24" s="38" t="s">
        <v>185</v>
      </c>
      <c r="BM24" s="38"/>
      <c r="BN24" s="33"/>
      <c r="BO24" s="33"/>
      <c r="BP24" s="38" t="s">
        <v>203</v>
      </c>
      <c r="BQ24" s="38"/>
      <c r="BT24" s="38" t="s">
        <v>219</v>
      </c>
      <c r="BU24" s="38"/>
      <c r="BV24" s="33"/>
      <c r="BW24" s="33"/>
      <c r="BX24" s="38" t="s">
        <v>237</v>
      </c>
      <c r="BY24" s="38"/>
      <c r="CB24" s="38" t="s">
        <v>253</v>
      </c>
      <c r="CC24" s="38"/>
      <c r="CD24" s="33"/>
      <c r="CE24" s="33"/>
      <c r="CF24" s="38" t="s">
        <v>271</v>
      </c>
      <c r="CG24" s="38"/>
      <c r="CH24" s="1"/>
      <c r="CI24" s="32"/>
    </row>
    <row r="25" spans="2:87">
      <c r="B25" s="24"/>
      <c r="D25" s="52" t="s">
        <v>272</v>
      </c>
      <c r="E25" s="53"/>
      <c r="F25" s="33"/>
      <c r="G25" s="33"/>
      <c r="H25" s="52" t="s">
        <v>254</v>
      </c>
      <c r="I25" s="53"/>
      <c r="L25" s="52" t="s">
        <v>238</v>
      </c>
      <c r="M25" s="53"/>
      <c r="N25" s="33"/>
      <c r="O25" s="33"/>
      <c r="P25" s="52" t="s">
        <v>220</v>
      </c>
      <c r="Q25" s="53"/>
      <c r="T25" s="52" t="s">
        <v>204</v>
      </c>
      <c r="U25" s="53"/>
      <c r="V25" s="33"/>
      <c r="W25" s="33"/>
      <c r="X25" s="52" t="s">
        <v>186</v>
      </c>
      <c r="Y25" s="53"/>
      <c r="AB25" s="52" t="s">
        <v>170</v>
      </c>
      <c r="AC25" s="53"/>
      <c r="AD25" s="33"/>
      <c r="AE25" s="33"/>
      <c r="AF25" s="38" t="s">
        <v>152</v>
      </c>
      <c r="AG25" s="38"/>
      <c r="AJ25" s="38" t="s">
        <v>135</v>
      </c>
      <c r="AK25" s="38"/>
      <c r="AL25" s="33"/>
      <c r="AM25" s="33"/>
      <c r="AN25" s="38" t="s">
        <v>112</v>
      </c>
      <c r="AO25" s="38"/>
      <c r="AP25" s="1"/>
      <c r="AQ25" s="32"/>
      <c r="AT25" s="24"/>
      <c r="AV25" s="38" t="s">
        <v>112</v>
      </c>
      <c r="AW25" s="38"/>
      <c r="AX25" s="33"/>
      <c r="AY25" s="33"/>
      <c r="AZ25" s="38" t="s">
        <v>135</v>
      </c>
      <c r="BA25" s="38"/>
      <c r="BD25" s="38" t="s">
        <v>152</v>
      </c>
      <c r="BE25" s="38"/>
      <c r="BF25" s="33"/>
      <c r="BG25" s="33"/>
      <c r="BH25" s="38" t="s">
        <v>170</v>
      </c>
      <c r="BI25" s="38"/>
      <c r="BL25" s="38" t="s">
        <v>186</v>
      </c>
      <c r="BM25" s="38"/>
      <c r="BN25" s="33"/>
      <c r="BO25" s="33"/>
      <c r="BP25" s="38" t="s">
        <v>204</v>
      </c>
      <c r="BQ25" s="38"/>
      <c r="BT25" s="38" t="s">
        <v>220</v>
      </c>
      <c r="BU25" s="38"/>
      <c r="BV25" s="33"/>
      <c r="BW25" s="33"/>
      <c r="BX25" s="38" t="s">
        <v>238</v>
      </c>
      <c r="BY25" s="38"/>
      <c r="CB25" s="38" t="s">
        <v>254</v>
      </c>
      <c r="CC25" s="38"/>
      <c r="CD25" s="33"/>
      <c r="CE25" s="33"/>
      <c r="CF25" s="38" t="s">
        <v>272</v>
      </c>
      <c r="CG25" s="38"/>
      <c r="CH25" s="1"/>
      <c r="CI25" s="32"/>
    </row>
    <row r="26" spans="2:87">
      <c r="B26" s="24"/>
      <c r="D26" s="54" t="s">
        <v>273</v>
      </c>
      <c r="E26" s="55"/>
      <c r="F26" s="33"/>
      <c r="G26" s="33"/>
      <c r="H26" s="52" t="s">
        <v>255</v>
      </c>
      <c r="I26" s="53"/>
      <c r="L26" s="52" t="s">
        <v>239</v>
      </c>
      <c r="M26" s="53"/>
      <c r="N26" s="33"/>
      <c r="O26" s="33"/>
      <c r="P26" s="38" t="s">
        <v>221</v>
      </c>
      <c r="Q26" s="38"/>
      <c r="T26" s="52" t="s">
        <v>205</v>
      </c>
      <c r="U26" s="53"/>
      <c r="V26" s="33"/>
      <c r="W26" s="33"/>
      <c r="X26" s="38" t="s">
        <v>187</v>
      </c>
      <c r="Y26" s="38"/>
      <c r="AB26" s="38" t="s">
        <v>171</v>
      </c>
      <c r="AC26" s="38"/>
      <c r="AD26" s="33"/>
      <c r="AE26" s="33"/>
      <c r="AF26" s="38" t="s">
        <v>153</v>
      </c>
      <c r="AG26" s="38"/>
      <c r="AJ26" s="38" t="s">
        <v>136</v>
      </c>
      <c r="AK26" s="38"/>
      <c r="AL26" s="33"/>
      <c r="AM26" s="33"/>
      <c r="AN26" s="38" t="s">
        <v>113</v>
      </c>
      <c r="AO26" s="38"/>
      <c r="AP26" s="1"/>
      <c r="AQ26" s="32"/>
      <c r="AT26" s="24"/>
      <c r="AV26" s="38" t="s">
        <v>113</v>
      </c>
      <c r="AW26" s="38"/>
      <c r="AX26" s="33"/>
      <c r="AY26" s="33"/>
      <c r="AZ26" s="38" t="s">
        <v>136</v>
      </c>
      <c r="BA26" s="38"/>
      <c r="BD26" s="38" t="s">
        <v>153</v>
      </c>
      <c r="BE26" s="38"/>
      <c r="BF26" s="33"/>
      <c r="BG26" s="33"/>
      <c r="BH26" s="38" t="s">
        <v>171</v>
      </c>
      <c r="BI26" s="38"/>
      <c r="BL26" s="38" t="s">
        <v>187</v>
      </c>
      <c r="BM26" s="38"/>
      <c r="BN26" s="33"/>
      <c r="BO26" s="33"/>
      <c r="BP26" s="38" t="s">
        <v>205</v>
      </c>
      <c r="BQ26" s="38"/>
      <c r="BT26" s="38" t="s">
        <v>221</v>
      </c>
      <c r="BU26" s="38"/>
      <c r="BV26" s="33"/>
      <c r="BW26" s="33"/>
      <c r="BX26" s="38" t="s">
        <v>239</v>
      </c>
      <c r="BY26" s="38"/>
      <c r="CB26" s="38" t="s">
        <v>255</v>
      </c>
      <c r="CC26" s="38"/>
      <c r="CD26" s="33"/>
      <c r="CE26" s="33"/>
      <c r="CF26" s="38" t="s">
        <v>273</v>
      </c>
      <c r="CG26" s="38"/>
      <c r="CH26" s="1"/>
      <c r="CI26" s="32"/>
    </row>
    <row r="27" spans="2:87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  <c r="AT27" s="19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3"/>
    </row>
    <row r="28" spans="2:87">
      <c r="B28" s="8"/>
      <c r="C28" s="9"/>
      <c r="D28" s="9"/>
      <c r="E28" s="9"/>
      <c r="F28" s="9"/>
      <c r="G28" s="21" t="s">
        <v>290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291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292</v>
      </c>
      <c r="AN28" s="22"/>
      <c r="AO28" s="9"/>
      <c r="AP28" s="9"/>
      <c r="AQ28" s="10"/>
      <c r="AT28" s="8"/>
      <c r="AU28" s="9"/>
      <c r="AV28" s="9"/>
      <c r="AW28" s="9"/>
      <c r="AX28" s="9"/>
      <c r="AY28" s="21" t="s">
        <v>290</v>
      </c>
      <c r="AZ28" s="22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21" t="s">
        <v>291</v>
      </c>
      <c r="BP28" s="22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21" t="s">
        <v>292</v>
      </c>
      <c r="CF28" s="22"/>
      <c r="CG28" s="9"/>
      <c r="CH28" s="9"/>
      <c r="CI28" s="10"/>
    </row>
    <row r="29" spans="2:87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  <c r="AT29" s="24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23"/>
    </row>
    <row r="30" ht="24" customHeight="1" spans="2:87">
      <c r="B30" s="11" t="s">
        <v>335</v>
      </c>
      <c r="C30" s="12"/>
      <c r="D30" s="1"/>
      <c r="E30" s="1"/>
      <c r="F30" s="1"/>
      <c r="G30" s="1"/>
      <c r="H30" s="1"/>
      <c r="I30" s="11" t="s">
        <v>336</v>
      </c>
      <c r="J30" s="12"/>
      <c r="K30" s="11" t="s">
        <v>337</v>
      </c>
      <c r="L30" s="12"/>
      <c r="M30" s="1"/>
      <c r="N30" s="1"/>
      <c r="O30" s="1"/>
      <c r="P30" s="11" t="s">
        <v>338</v>
      </c>
      <c r="Q30" s="12"/>
      <c r="R30" s="1"/>
      <c r="S30" s="1"/>
      <c r="T30" s="11" t="s">
        <v>339</v>
      </c>
      <c r="U30" s="12"/>
      <c r="V30" s="1"/>
      <c r="W30" s="1"/>
      <c r="X30" s="1"/>
      <c r="Y30" s="11" t="s">
        <v>340</v>
      </c>
      <c r="Z30" s="12"/>
      <c r="AA30" s="11" t="s">
        <v>341</v>
      </c>
      <c r="AB30" s="12"/>
      <c r="AC30" s="1"/>
      <c r="AD30" s="1"/>
      <c r="AE30" s="1"/>
      <c r="AF30" s="1"/>
      <c r="AG30" s="11" t="s">
        <v>342</v>
      </c>
      <c r="AH30" s="12"/>
      <c r="AI30" s="1"/>
      <c r="AJ30" s="1"/>
      <c r="AK30" s="11" t="s">
        <v>343</v>
      </c>
      <c r="AL30" s="12"/>
      <c r="AM30" s="1"/>
      <c r="AN30" s="1"/>
      <c r="AO30" s="1"/>
      <c r="AP30" s="11" t="s">
        <v>344</v>
      </c>
      <c r="AQ30" s="12"/>
      <c r="AT30" s="11" t="s">
        <v>310</v>
      </c>
      <c r="AU30" s="12"/>
      <c r="AV30" s="1"/>
      <c r="AW30" s="1"/>
      <c r="AX30" s="1"/>
      <c r="AY30" s="1"/>
      <c r="AZ30" s="1"/>
      <c r="BA30" s="11" t="s">
        <v>311</v>
      </c>
      <c r="BB30" s="12"/>
      <c r="BC30" s="11" t="s">
        <v>312</v>
      </c>
      <c r="BD30" s="12"/>
      <c r="BE30" s="1"/>
      <c r="BF30" s="1"/>
      <c r="BG30" s="1"/>
      <c r="BH30" s="11" t="s">
        <v>313</v>
      </c>
      <c r="BI30" s="12"/>
      <c r="BJ30" s="1"/>
      <c r="BK30" s="1"/>
      <c r="BL30" s="11" t="s">
        <v>314</v>
      </c>
      <c r="BM30" s="12"/>
      <c r="BN30" s="1"/>
      <c r="BO30" s="1"/>
      <c r="BP30" s="1"/>
      <c r="BQ30" s="11" t="s">
        <v>315</v>
      </c>
      <c r="BR30" s="12"/>
      <c r="BS30" s="11" t="s">
        <v>316</v>
      </c>
      <c r="BT30" s="12"/>
      <c r="BU30" s="1"/>
      <c r="BV30" s="1"/>
      <c r="BW30" s="1"/>
      <c r="BX30" s="1"/>
      <c r="BY30" s="11" t="s">
        <v>317</v>
      </c>
      <c r="BZ30" s="12"/>
      <c r="CA30" s="1"/>
      <c r="CB30" s="1"/>
      <c r="CC30" s="11" t="s">
        <v>318</v>
      </c>
      <c r="CD30" s="12"/>
      <c r="CE30" s="1"/>
      <c r="CF30" s="1"/>
      <c r="CG30" s="1"/>
      <c r="CH30" s="11" t="s">
        <v>319</v>
      </c>
      <c r="CI30" s="12"/>
    </row>
    <row r="31" spans="2:87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  <c r="AT31" s="19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3"/>
    </row>
    <row r="32" spans="2:87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3"/>
    </row>
    <row r="33" spans="2:55">
      <c r="AT33" s="39" t="s">
        <v>320</v>
      </c>
      <c r="AU33" s="39"/>
      <c r="AV33" s="39"/>
      <c r="AW33" s="39"/>
      <c r="AX33" s="39"/>
      <c r="AY33" s="40"/>
      <c r="AZ33" s="51" t="e">
        <f>getcolorcount($D$9:$AO$26,AY33)</f>
        <v>#NAME?</v>
      </c>
    </row>
    <row r="34" ht="14.1" customHeight="1" spans="2:55">
      <c r="B34" s="39" t="s">
        <v>320</v>
      </c>
      <c r="C34" s="39"/>
      <c r="D34" s="39"/>
      <c r="E34" s="39"/>
      <c r="F34" s="39"/>
      <c r="G34" s="40"/>
      <c r="H34" s="41" t="e">
        <f>getcolorcount($D$9:$AO$31,G34)</f>
        <v>#NAME?</v>
      </c>
      <c r="AT34" s="39"/>
      <c r="AU34" s="39"/>
      <c r="AV34" s="39"/>
      <c r="AW34" s="39"/>
      <c r="AX34" s="39"/>
      <c r="AY34" s="42"/>
      <c r="AZ34" s="51" t="e">
        <f>getcolorcount($D$9:$AO$26,AY34)</f>
        <v>#NAME?</v>
      </c>
    </row>
    <row r="35" spans="2:55">
      <c r="B35" s="39"/>
      <c r="C35" s="39"/>
      <c r="D35" s="39"/>
      <c r="E35" s="39"/>
      <c r="F35" s="39"/>
      <c r="G35" s="42"/>
      <c r="H35" s="41" t="e">
        <f>getcolorcount($D$9:$AO$31,G35)</f>
        <v>#NAME?</v>
      </c>
      <c r="AT35" s="39"/>
      <c r="AU35" s="39"/>
      <c r="AV35" s="39"/>
      <c r="AW35" s="39"/>
      <c r="AX35" s="39"/>
      <c r="AY35" s="43"/>
      <c r="AZ35" s="51" t="e">
        <f>getcolorcount($D$9:$AO$26,AY35)</f>
        <v>#NAME?</v>
      </c>
    </row>
    <row r="36" spans="2:55">
      <c r="B36" s="39"/>
      <c r="C36" s="39"/>
      <c r="D36" s="39"/>
      <c r="E36" s="39"/>
      <c r="F36" s="39"/>
      <c r="G36" s="43"/>
      <c r="H36" s="41" t="e">
        <f>getcolorcount($D$9:$AO$31,G36)</f>
        <v>#NAME?</v>
      </c>
      <c r="AT36" s="39"/>
      <c r="AU36" s="39"/>
      <c r="AV36" s="39"/>
      <c r="AW36" s="39"/>
      <c r="AX36" s="39"/>
      <c r="AY36" s="44"/>
      <c r="AZ36" s="51" t="e">
        <f>getcolorcount($D$9:$AO$26,AY36)</f>
        <v>#NAME?</v>
      </c>
      <c r="BB36" s="2"/>
      <c r="BC36" s="45"/>
    </row>
    <row r="37" spans="2:55">
      <c r="B37" s="39"/>
      <c r="C37" s="39"/>
      <c r="D37" s="39"/>
      <c r="E37" s="39"/>
      <c r="F37" s="39"/>
      <c r="G37" s="44"/>
      <c r="H37" s="41" t="e">
        <f>getcolorcount($D$9:$AO$31,G37)</f>
        <v>#NAME?</v>
      </c>
      <c r="I37" s="1"/>
      <c r="J37" s="2"/>
      <c r="K37" s="45"/>
      <c r="AT37" s="46"/>
      <c r="AU37" s="46"/>
      <c r="AV37" s="46"/>
      <c r="AW37" s="46"/>
      <c r="AX37" s="46"/>
      <c r="AY37" s="47"/>
      <c r="BB37" s="35"/>
      <c r="BC37" s="45"/>
    </row>
    <row r="38" spans="2:55">
      <c r="B38" s="46"/>
      <c r="C38" s="46"/>
      <c r="D38" s="46"/>
      <c r="E38" s="46"/>
      <c r="F38" s="46"/>
      <c r="G38" s="47"/>
      <c r="H38" s="1"/>
      <c r="I38" s="1"/>
      <c r="J38" s="35"/>
      <c r="K38" s="45"/>
    </row>
    <row r="39" spans="2:55">
      <c r="B39" s="48" t="s">
        <v>321</v>
      </c>
      <c r="C39" s="48"/>
      <c r="D39" s="48"/>
      <c r="E39" s="48"/>
      <c r="F39" s="41">
        <v>170</v>
      </c>
      <c r="G39" s="1"/>
      <c r="H39" s="1"/>
      <c r="I39" s="1"/>
    </row>
    <row r="40" spans="2:55">
      <c r="B40" s="48" t="s">
        <v>322</v>
      </c>
      <c r="C40" s="48"/>
      <c r="D40" s="48"/>
      <c r="E40" s="48"/>
      <c r="F40" s="41" t="e">
        <f>H37/2</f>
        <v>#NAME?</v>
      </c>
      <c r="G40" s="49"/>
      <c r="H40" s="1"/>
      <c r="I40" s="1"/>
    </row>
    <row r="41" spans="2:55">
      <c r="B41" s="48" t="s">
        <v>323</v>
      </c>
      <c r="C41" s="48"/>
      <c r="D41" s="48"/>
      <c r="E41" s="48"/>
      <c r="F41" s="41" t="e">
        <f>F39-F40</f>
        <v>#NAME?</v>
      </c>
      <c r="G41" s="43"/>
      <c r="H41" s="1"/>
      <c r="I41" s="1"/>
    </row>
  </sheetData>
  <mergeCells count="458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AT3:AU3"/>
    <mergeCell ref="BA3:BB3"/>
    <mergeCell ref="BC3:BD3"/>
    <mergeCell ref="BH3:BI3"/>
    <mergeCell ref="BL3:BM3"/>
    <mergeCell ref="BQ3:BR3"/>
    <mergeCell ref="BS3:BT3"/>
    <mergeCell ref="BY3:BZ3"/>
    <mergeCell ref="CC3:CD3"/>
    <mergeCell ref="CH3:CI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AT4:AU4"/>
    <mergeCell ref="BA4:BB4"/>
    <mergeCell ref="BC4:BD4"/>
    <mergeCell ref="BH4:BI4"/>
    <mergeCell ref="BL4:BM4"/>
    <mergeCell ref="BQ4:BR4"/>
    <mergeCell ref="BS4:BT4"/>
    <mergeCell ref="BY4:BZ4"/>
    <mergeCell ref="CC4:CD4"/>
    <mergeCell ref="CH4:CI4"/>
    <mergeCell ref="H5:I5"/>
    <mergeCell ref="V5:W5"/>
    <mergeCell ref="AM5:AN5"/>
    <mergeCell ref="AZ5:BA5"/>
    <mergeCell ref="BN5:BO5"/>
    <mergeCell ref="CE5:CF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AV7:AW7"/>
    <mergeCell ref="AZ7:BA7"/>
    <mergeCell ref="BD7:BE7"/>
    <mergeCell ref="BH7:BI7"/>
    <mergeCell ref="BL7:BM7"/>
    <mergeCell ref="BP7:BQ7"/>
    <mergeCell ref="BT7:BU7"/>
    <mergeCell ref="BX7:BY7"/>
    <mergeCell ref="CB7:CC7"/>
    <mergeCell ref="CF7:CG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AV9:AW9"/>
    <mergeCell ref="AZ9:BA9"/>
    <mergeCell ref="BD9:BE9"/>
    <mergeCell ref="BH9:BI9"/>
    <mergeCell ref="BL9:BM9"/>
    <mergeCell ref="BP9:BQ9"/>
    <mergeCell ref="BT9:BU9"/>
    <mergeCell ref="BX9:BY9"/>
    <mergeCell ref="CB9:CC9"/>
    <mergeCell ref="CF9:CG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AV10:AW10"/>
    <mergeCell ref="AZ10:BA10"/>
    <mergeCell ref="BD10:BE10"/>
    <mergeCell ref="BH10:BI10"/>
    <mergeCell ref="BL10:BM10"/>
    <mergeCell ref="BP10:BQ10"/>
    <mergeCell ref="BT10:BU10"/>
    <mergeCell ref="BX10:BY10"/>
    <mergeCell ref="CB10:CC10"/>
    <mergeCell ref="CF10:CG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AV11:AW11"/>
    <mergeCell ref="AZ11:BA11"/>
    <mergeCell ref="BD11:BE11"/>
    <mergeCell ref="BH11:BI11"/>
    <mergeCell ref="BL11:BM11"/>
    <mergeCell ref="BP11:BQ11"/>
    <mergeCell ref="BT11:BU11"/>
    <mergeCell ref="BX11:BY11"/>
    <mergeCell ref="CB11:CC11"/>
    <mergeCell ref="CF11:CG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AV12:AW12"/>
    <mergeCell ref="AZ12:BA12"/>
    <mergeCell ref="BD12:BE12"/>
    <mergeCell ref="BH12:BI12"/>
    <mergeCell ref="BL12:BM12"/>
    <mergeCell ref="BP12:BQ12"/>
    <mergeCell ref="BT12:BU12"/>
    <mergeCell ref="BX12:BY12"/>
    <mergeCell ref="CB12:CC12"/>
    <mergeCell ref="CF12:CG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AV13:AW13"/>
    <mergeCell ref="AZ13:BA13"/>
    <mergeCell ref="BD13:BE13"/>
    <mergeCell ref="BH13:BI13"/>
    <mergeCell ref="BL13:BM13"/>
    <mergeCell ref="BP13:BQ13"/>
    <mergeCell ref="BT13:BU13"/>
    <mergeCell ref="BX13:BY13"/>
    <mergeCell ref="CB13:CC13"/>
    <mergeCell ref="CF13:CG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AV14:AW14"/>
    <mergeCell ref="AZ14:BA14"/>
    <mergeCell ref="BD14:BE14"/>
    <mergeCell ref="BH14:BI14"/>
    <mergeCell ref="BL14:BM14"/>
    <mergeCell ref="BP14:BQ14"/>
    <mergeCell ref="BT14:BU14"/>
    <mergeCell ref="BX14:BY14"/>
    <mergeCell ref="CB14:CC14"/>
    <mergeCell ref="CF14:CG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AV15:AW15"/>
    <mergeCell ref="AZ15:BA15"/>
    <mergeCell ref="BD15:BE15"/>
    <mergeCell ref="BH15:BI15"/>
    <mergeCell ref="BL15:BM15"/>
    <mergeCell ref="BP15:BQ15"/>
    <mergeCell ref="BT15:BU15"/>
    <mergeCell ref="BX15:BY15"/>
    <mergeCell ref="CB15:CC15"/>
    <mergeCell ref="CF15:CG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AV16:AW16"/>
    <mergeCell ref="AZ16:BA16"/>
    <mergeCell ref="BD16:BE16"/>
    <mergeCell ref="BH16:BI16"/>
    <mergeCell ref="BL16:BM16"/>
    <mergeCell ref="BP16:BQ16"/>
    <mergeCell ref="BT16:BU16"/>
    <mergeCell ref="BX16:BY16"/>
    <mergeCell ref="CB16:CC16"/>
    <mergeCell ref="CF16:CG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AV17:AW17"/>
    <mergeCell ref="AZ17:BA17"/>
    <mergeCell ref="BD17:BE17"/>
    <mergeCell ref="BH17:BI17"/>
    <mergeCell ref="BL17:BM17"/>
    <mergeCell ref="BP17:BQ17"/>
    <mergeCell ref="BT17:BU17"/>
    <mergeCell ref="BX17:BY17"/>
    <mergeCell ref="CB17:CC17"/>
    <mergeCell ref="CF17:CG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AV18:AW18"/>
    <mergeCell ref="AZ18:BA18"/>
    <mergeCell ref="BD18:BE18"/>
    <mergeCell ref="BH18:BI18"/>
    <mergeCell ref="BL18:BM18"/>
    <mergeCell ref="BP18:BQ18"/>
    <mergeCell ref="BT18:BU18"/>
    <mergeCell ref="BX18:BY18"/>
    <mergeCell ref="CB18:CC18"/>
    <mergeCell ref="CF18:CG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AV19:AW19"/>
    <mergeCell ref="AZ19:BA19"/>
    <mergeCell ref="BD19:BE19"/>
    <mergeCell ref="BH19:BI19"/>
    <mergeCell ref="BL19:BM19"/>
    <mergeCell ref="BP19:BQ19"/>
    <mergeCell ref="BT19:BU19"/>
    <mergeCell ref="BX19:BY19"/>
    <mergeCell ref="CB19:CC19"/>
    <mergeCell ref="CF19:CG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AV20:AW20"/>
    <mergeCell ref="AZ20:BA20"/>
    <mergeCell ref="BD20:BE20"/>
    <mergeCell ref="BH20:BI20"/>
    <mergeCell ref="BL20:BM20"/>
    <mergeCell ref="BP20:BQ20"/>
    <mergeCell ref="BT20:BU20"/>
    <mergeCell ref="BX20:BY20"/>
    <mergeCell ref="CB20:CC20"/>
    <mergeCell ref="CF20:CG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AV21:AW21"/>
    <mergeCell ref="AZ21:BA21"/>
    <mergeCell ref="BD21:BE21"/>
    <mergeCell ref="BH21:BI21"/>
    <mergeCell ref="BL21:BM21"/>
    <mergeCell ref="BP21:BQ21"/>
    <mergeCell ref="BT21:BU21"/>
    <mergeCell ref="BX21:BY21"/>
    <mergeCell ref="CB21:CC21"/>
    <mergeCell ref="CF21:CG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AV22:AW22"/>
    <mergeCell ref="AZ22:BA22"/>
    <mergeCell ref="BD22:BE22"/>
    <mergeCell ref="BH22:BI22"/>
    <mergeCell ref="BL22:BM22"/>
    <mergeCell ref="BP22:BQ22"/>
    <mergeCell ref="BT22:BU22"/>
    <mergeCell ref="BX22:BY22"/>
    <mergeCell ref="CB22:CC22"/>
    <mergeCell ref="CF22:CG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AV23:AW23"/>
    <mergeCell ref="AZ23:BA23"/>
    <mergeCell ref="BD23:BE23"/>
    <mergeCell ref="BH23:BI23"/>
    <mergeCell ref="BL23:BM23"/>
    <mergeCell ref="BP23:BQ23"/>
    <mergeCell ref="BT23:BU23"/>
    <mergeCell ref="BX23:BY23"/>
    <mergeCell ref="CB23:CC23"/>
    <mergeCell ref="CF23:CG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AV24:AW24"/>
    <mergeCell ref="AZ24:BA24"/>
    <mergeCell ref="BD24:BE24"/>
    <mergeCell ref="BH24:BI24"/>
    <mergeCell ref="BL24:BM24"/>
    <mergeCell ref="BP24:BQ24"/>
    <mergeCell ref="BT24:BU24"/>
    <mergeCell ref="BX24:BY24"/>
    <mergeCell ref="CB24:CC24"/>
    <mergeCell ref="CF24:CG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AV25:AW25"/>
    <mergeCell ref="AZ25:BA25"/>
    <mergeCell ref="BD25:BE25"/>
    <mergeCell ref="BH25:BI25"/>
    <mergeCell ref="BL25:BM25"/>
    <mergeCell ref="BP25:BQ25"/>
    <mergeCell ref="BT25:BU25"/>
    <mergeCell ref="BX25:BY25"/>
    <mergeCell ref="CB25:CC25"/>
    <mergeCell ref="CF25:CG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AV26:AW26"/>
    <mergeCell ref="AZ26:BA26"/>
    <mergeCell ref="BD26:BE26"/>
    <mergeCell ref="BH26:BI26"/>
    <mergeCell ref="BL26:BM26"/>
    <mergeCell ref="BP26:BQ26"/>
    <mergeCell ref="BT26:BU26"/>
    <mergeCell ref="BX26:BY26"/>
    <mergeCell ref="CB26:CC26"/>
    <mergeCell ref="CF26:CG26"/>
    <mergeCell ref="G28:H28"/>
    <mergeCell ref="W28:X28"/>
    <mergeCell ref="AM28:AN28"/>
    <mergeCell ref="AY28:AZ28"/>
    <mergeCell ref="BO28:BP28"/>
    <mergeCell ref="CE28:CF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AT30:AU30"/>
    <mergeCell ref="BA30:BB30"/>
    <mergeCell ref="BC30:BD30"/>
    <mergeCell ref="BH30:BI30"/>
    <mergeCell ref="BL30:BM30"/>
    <mergeCell ref="BQ30:BR30"/>
    <mergeCell ref="BS30:BT30"/>
    <mergeCell ref="BY30:BZ30"/>
    <mergeCell ref="CC30:CD30"/>
    <mergeCell ref="CH30:CI30"/>
    <mergeCell ref="B39:E39"/>
    <mergeCell ref="B40:E40"/>
    <mergeCell ref="B41:E41"/>
    <mergeCell ref="AS1:AS5"/>
    <mergeCell ref="AT33:AX37"/>
    <mergeCell ref="B34:F38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zoomScale="85" zoomScaleNormal="85" topLeftCell="A7" workbookViewId="0">
      <selection activeCell="AN25" sqref="AN25:AO25"/>
    </sheetView>
  </sheetViews>
  <sheetFormatPr defaultColWidth="9" defaultRowHeight="14"/>
  <cols>
    <col min="1" max="3" width="3.66363636363636" customWidth="1"/>
    <col min="4" max="5" width="5.44545454545455" customWidth="1"/>
    <col min="6" max="6" width="6.78181818181818" customWidth="1"/>
    <col min="7" max="7" width="3.66363636363636" customWidth="1"/>
    <col min="8" max="8" width="5.55454545454545" customWidth="1"/>
    <col min="9" max="9" width="5.44545454545455" customWidth="1"/>
    <col min="10" max="11" width="3.66363636363636" customWidth="1"/>
    <col min="12" max="13" width="5.44545454545455" customWidth="1"/>
    <col min="14" max="15" width="3.66363636363636" customWidth="1"/>
    <col min="16" max="17" width="5.44545454545455" customWidth="1"/>
    <col min="18" max="19" width="3.66363636363636" customWidth="1"/>
    <col min="20" max="20" width="5.44545454545455" customWidth="1"/>
    <col min="21" max="21" width="5.10909090909091" customWidth="1"/>
    <col min="22" max="23" width="3.66363636363636" customWidth="1"/>
    <col min="24" max="25" width="5.44545454545455" customWidth="1"/>
    <col min="26" max="27" width="3.66363636363636" customWidth="1"/>
    <col min="28" max="29" width="5.44545454545455" customWidth="1"/>
    <col min="30" max="31" width="3.66363636363636" customWidth="1"/>
    <col min="32" max="33" width="5.44545454545455" customWidth="1"/>
    <col min="34" max="35" width="3.66363636363636" customWidth="1"/>
    <col min="36" max="37" width="5.44545454545455" customWidth="1"/>
    <col min="38" max="39" width="3.66363636363636" customWidth="1"/>
    <col min="40" max="41" width="5.44545454545455" customWidth="1"/>
    <col min="42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1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.05" customHeight="1" spans="2:50">
      <c r="B3" s="11" t="s">
        <v>345</v>
      </c>
      <c r="C3" s="12"/>
      <c r="D3" s="1"/>
      <c r="E3" s="1"/>
      <c r="F3" s="1"/>
      <c r="G3" s="1"/>
      <c r="H3" s="1"/>
      <c r="I3" s="11" t="s">
        <v>346</v>
      </c>
      <c r="J3" s="12"/>
      <c r="K3" s="11" t="s">
        <v>347</v>
      </c>
      <c r="L3" s="12"/>
      <c r="M3" s="1"/>
      <c r="N3" s="1"/>
      <c r="O3" s="1"/>
      <c r="P3" s="11" t="s">
        <v>348</v>
      </c>
      <c r="Q3" s="12"/>
      <c r="R3" s="1"/>
      <c r="S3" s="1"/>
      <c r="T3" s="11" t="s">
        <v>349</v>
      </c>
      <c r="U3" s="12"/>
      <c r="V3" s="1"/>
      <c r="W3" s="1"/>
      <c r="X3" s="1"/>
      <c r="Y3" s="11" t="s">
        <v>350</v>
      </c>
      <c r="Z3" s="12"/>
      <c r="AA3" s="11" t="s">
        <v>351</v>
      </c>
      <c r="AB3" s="12"/>
      <c r="AC3" s="1"/>
      <c r="AD3" s="1"/>
      <c r="AE3" s="1"/>
      <c r="AF3" s="1"/>
      <c r="AG3" s="11" t="s">
        <v>352</v>
      </c>
      <c r="AH3" s="12"/>
      <c r="AI3" s="1"/>
      <c r="AJ3" s="1"/>
      <c r="AK3" s="11" t="s">
        <v>353</v>
      </c>
      <c r="AL3" s="12"/>
      <c r="AM3" s="1"/>
      <c r="AN3" s="1"/>
      <c r="AO3" s="1"/>
      <c r="AP3" s="11" t="s">
        <v>354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290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291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292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25" t="s">
        <v>355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6"/>
      <c r="C7" s="27"/>
      <c r="D7" s="28" t="s">
        <v>294</v>
      </c>
      <c r="E7" s="28"/>
      <c r="F7" s="27"/>
      <c r="G7" s="27"/>
      <c r="H7" s="28" t="s">
        <v>295</v>
      </c>
      <c r="I7" s="28"/>
      <c r="J7" s="27"/>
      <c r="K7" s="27"/>
      <c r="L7" s="28" t="s">
        <v>296</v>
      </c>
      <c r="M7" s="28"/>
      <c r="N7" s="27"/>
      <c r="O7" s="27"/>
      <c r="P7" s="28" t="s">
        <v>297</v>
      </c>
      <c r="Q7" s="28"/>
      <c r="R7" s="27"/>
      <c r="S7" s="27"/>
      <c r="T7" s="28" t="s">
        <v>298</v>
      </c>
      <c r="U7" s="28"/>
      <c r="V7" s="27"/>
      <c r="W7" s="27"/>
      <c r="X7" s="28" t="s">
        <v>299</v>
      </c>
      <c r="Y7" s="28"/>
      <c r="Z7" s="27"/>
      <c r="AA7" s="27"/>
      <c r="AB7" s="28" t="s">
        <v>300</v>
      </c>
      <c r="AC7" s="28"/>
      <c r="AD7" s="27"/>
      <c r="AE7" s="27"/>
      <c r="AF7" s="28" t="s">
        <v>301</v>
      </c>
      <c r="AG7" s="28"/>
      <c r="AH7" s="27"/>
      <c r="AI7" s="27"/>
      <c r="AJ7" s="28" t="s">
        <v>302</v>
      </c>
      <c r="AK7" s="28"/>
      <c r="AL7" s="27"/>
      <c r="AM7" s="27"/>
      <c r="AN7" s="28" t="s">
        <v>303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305</v>
      </c>
      <c r="E8" s="31" t="s">
        <v>305</v>
      </c>
      <c r="F8" s="4"/>
      <c r="G8" s="4"/>
      <c r="H8" s="31" t="s">
        <v>305</v>
      </c>
      <c r="I8" s="31" t="s">
        <v>305</v>
      </c>
      <c r="J8" s="4"/>
      <c r="K8" s="4"/>
      <c r="L8" s="31" t="s">
        <v>305</v>
      </c>
      <c r="M8" s="31" t="s">
        <v>305</v>
      </c>
      <c r="N8" s="4"/>
      <c r="O8" s="4"/>
      <c r="P8" s="31" t="s">
        <v>305</v>
      </c>
      <c r="Q8" s="31" t="s">
        <v>305</v>
      </c>
      <c r="R8" s="4"/>
      <c r="S8" s="4"/>
      <c r="T8" s="31" t="s">
        <v>304</v>
      </c>
      <c r="U8" s="31" t="s">
        <v>305</v>
      </c>
      <c r="V8" s="4"/>
      <c r="W8" s="4"/>
      <c r="X8" s="31" t="s">
        <v>305</v>
      </c>
      <c r="Y8" s="31" t="s">
        <v>304</v>
      </c>
      <c r="Z8" s="4"/>
      <c r="AA8" s="4"/>
      <c r="AB8" s="31" t="s">
        <v>304</v>
      </c>
      <c r="AC8" s="31" t="s">
        <v>305</v>
      </c>
      <c r="AD8" s="4"/>
      <c r="AE8" s="4"/>
      <c r="AF8" s="31" t="s">
        <v>305</v>
      </c>
      <c r="AG8" s="31" t="s">
        <v>304</v>
      </c>
      <c r="AH8" s="4"/>
      <c r="AI8" s="4"/>
      <c r="AJ8" s="31" t="s">
        <v>304</v>
      </c>
      <c r="AK8" s="31" t="s">
        <v>305</v>
      </c>
      <c r="AL8" s="4"/>
      <c r="AM8" s="4"/>
      <c r="AN8" s="31" t="s">
        <v>305</v>
      </c>
      <c r="AO8" s="31" t="s">
        <v>304</v>
      </c>
      <c r="AP8" s="1"/>
      <c r="AQ8" s="32"/>
      <c r="AU8" s="6"/>
      <c r="AV8" s="6"/>
      <c r="AW8" s="1"/>
    </row>
    <row r="9" spans="2:50">
      <c r="B9" s="24"/>
      <c r="D9" s="38" t="s">
        <v>96</v>
      </c>
      <c r="E9" s="38"/>
      <c r="F9" s="33"/>
      <c r="G9" s="33"/>
      <c r="H9" s="38" t="s">
        <v>114</v>
      </c>
      <c r="I9" s="38"/>
      <c r="L9" s="31" t="s">
        <v>137</v>
      </c>
      <c r="M9" s="31"/>
      <c r="N9" s="33"/>
      <c r="O9" s="33"/>
      <c r="P9" s="31" t="s">
        <v>154</v>
      </c>
      <c r="Q9" s="31"/>
      <c r="T9" s="52" t="s">
        <v>172</v>
      </c>
      <c r="U9" s="53"/>
      <c r="V9" s="33"/>
      <c r="W9" s="33"/>
      <c r="X9" s="31" t="s">
        <v>188</v>
      </c>
      <c r="Y9" s="31"/>
      <c r="AB9" s="31" t="s">
        <v>206</v>
      </c>
      <c r="AC9" s="31"/>
      <c r="AD9" s="33"/>
      <c r="AE9" s="33"/>
      <c r="AF9" s="31" t="s">
        <v>222</v>
      </c>
      <c r="AG9" s="31"/>
      <c r="AJ9" s="31" t="s">
        <v>240</v>
      </c>
      <c r="AK9" s="31"/>
      <c r="AL9" s="33"/>
      <c r="AM9" s="33"/>
      <c r="AN9" s="31" t="s">
        <v>256</v>
      </c>
      <c r="AO9" s="31"/>
      <c r="AP9" s="1"/>
      <c r="AQ9" s="32"/>
      <c r="AU9" s="6"/>
      <c r="AV9" s="6"/>
      <c r="AW9" s="1"/>
    </row>
    <row r="10" spans="2:50">
      <c r="B10" s="24"/>
      <c r="D10" s="31" t="s">
        <v>98</v>
      </c>
      <c r="E10" s="31"/>
      <c r="F10" s="33"/>
      <c r="G10" s="33"/>
      <c r="H10" s="31" t="s">
        <v>118</v>
      </c>
      <c r="I10" s="31"/>
      <c r="L10" s="38" t="s">
        <v>139</v>
      </c>
      <c r="M10" s="38"/>
      <c r="N10" s="33"/>
      <c r="O10" s="33"/>
      <c r="P10" s="38" t="s">
        <v>155</v>
      </c>
      <c r="Q10" s="38"/>
      <c r="T10" s="52" t="s">
        <v>173</v>
      </c>
      <c r="U10" s="53"/>
      <c r="V10" s="33"/>
      <c r="W10" s="33"/>
      <c r="X10" s="31" t="s">
        <v>189</v>
      </c>
      <c r="Y10" s="31"/>
      <c r="AB10" s="31" t="s">
        <v>207</v>
      </c>
      <c r="AC10" s="31"/>
      <c r="AD10" s="33"/>
      <c r="AE10" s="33"/>
      <c r="AF10" s="31" t="s">
        <v>223</v>
      </c>
      <c r="AG10" s="31"/>
      <c r="AJ10" s="31" t="s">
        <v>241</v>
      </c>
      <c r="AK10" s="31"/>
      <c r="AL10" s="33"/>
      <c r="AM10" s="33"/>
      <c r="AN10" s="31" t="s">
        <v>257</v>
      </c>
      <c r="AO10" s="31"/>
      <c r="AP10" s="1"/>
      <c r="AQ10" s="32"/>
      <c r="AR10" s="35"/>
      <c r="AU10" s="6"/>
    </row>
    <row r="11" spans="2:50">
      <c r="B11" s="24"/>
      <c r="D11" s="38" t="s">
        <v>100</v>
      </c>
      <c r="E11" s="38"/>
      <c r="F11" s="33"/>
      <c r="G11" s="33"/>
      <c r="H11" s="38" t="s">
        <v>119</v>
      </c>
      <c r="I11" s="38"/>
      <c r="L11" s="38" t="s">
        <v>140</v>
      </c>
      <c r="M11" s="38"/>
      <c r="N11" s="33"/>
      <c r="O11" s="33"/>
      <c r="P11" s="38" t="s">
        <v>156</v>
      </c>
      <c r="Q11" s="38"/>
      <c r="T11" s="52" t="s">
        <v>174</v>
      </c>
      <c r="U11" s="53"/>
      <c r="V11" s="33"/>
      <c r="W11" s="33"/>
      <c r="X11" s="31" t="s">
        <v>190</v>
      </c>
      <c r="Y11" s="31"/>
      <c r="AB11" s="31" t="s">
        <v>208</v>
      </c>
      <c r="AC11" s="31"/>
      <c r="AD11" s="33"/>
      <c r="AE11" s="33"/>
      <c r="AF11" s="31" t="s">
        <v>224</v>
      </c>
      <c r="AG11" s="31"/>
      <c r="AJ11" s="31" t="s">
        <v>242</v>
      </c>
      <c r="AK11" s="31"/>
      <c r="AL11" s="33"/>
      <c r="AM11" s="33"/>
      <c r="AN11" s="31" t="s">
        <v>258</v>
      </c>
      <c r="AO11" s="31"/>
      <c r="AP11" s="1"/>
      <c r="AQ11" s="32"/>
      <c r="AU11" s="6"/>
    </row>
    <row r="12" spans="2:50">
      <c r="B12" s="24"/>
      <c r="D12" s="38" t="s">
        <v>101</v>
      </c>
      <c r="E12" s="38"/>
      <c r="F12" s="33"/>
      <c r="G12" s="33"/>
      <c r="H12" s="38" t="s">
        <v>122</v>
      </c>
      <c r="I12" s="38"/>
      <c r="L12" s="38" t="s">
        <v>141</v>
      </c>
      <c r="M12" s="38"/>
      <c r="N12" s="33"/>
      <c r="O12" s="33"/>
      <c r="P12" s="38" t="s">
        <v>157</v>
      </c>
      <c r="Q12" s="38"/>
      <c r="T12" s="52" t="s">
        <v>175</v>
      </c>
      <c r="U12" s="53"/>
      <c r="V12" s="33"/>
      <c r="W12" s="33"/>
      <c r="X12" s="31" t="s">
        <v>191</v>
      </c>
      <c r="Y12" s="31"/>
      <c r="AB12" s="31" t="s">
        <v>209</v>
      </c>
      <c r="AC12" s="31"/>
      <c r="AD12" s="33"/>
      <c r="AE12" s="33"/>
      <c r="AF12" s="31" t="s">
        <v>225</v>
      </c>
      <c r="AG12" s="31"/>
      <c r="AJ12" s="31" t="s">
        <v>243</v>
      </c>
      <c r="AK12" s="31"/>
      <c r="AL12" s="33"/>
      <c r="AM12" s="33"/>
      <c r="AN12" s="31" t="s">
        <v>259</v>
      </c>
      <c r="AO12" s="31"/>
      <c r="AP12" s="1"/>
      <c r="AQ12" s="32"/>
      <c r="AU12" s="6"/>
    </row>
    <row r="13" spans="2:50">
      <c r="B13" s="24"/>
      <c r="D13" s="38" t="s">
        <v>102</v>
      </c>
      <c r="E13" s="38"/>
      <c r="F13" s="33"/>
      <c r="G13" s="33"/>
      <c r="H13" s="38" t="s">
        <v>123</v>
      </c>
      <c r="I13" s="38"/>
      <c r="L13" s="38" t="s">
        <v>142</v>
      </c>
      <c r="M13" s="38"/>
      <c r="N13" s="33"/>
      <c r="O13" s="33"/>
      <c r="P13" s="38" t="s">
        <v>158</v>
      </c>
      <c r="Q13" s="38"/>
      <c r="T13" s="52" t="s">
        <v>176</v>
      </c>
      <c r="U13" s="53"/>
      <c r="V13" s="33"/>
      <c r="W13" s="33"/>
      <c r="X13" s="31" t="s">
        <v>192</v>
      </c>
      <c r="Y13" s="31"/>
      <c r="AB13" s="31" t="s">
        <v>210</v>
      </c>
      <c r="AC13" s="31"/>
      <c r="AD13" s="33"/>
      <c r="AE13" s="33"/>
      <c r="AF13" s="31" t="s">
        <v>226</v>
      </c>
      <c r="AG13" s="31"/>
      <c r="AJ13" s="31" t="s">
        <v>244</v>
      </c>
      <c r="AK13" s="31"/>
      <c r="AL13" s="33"/>
      <c r="AM13" s="33"/>
      <c r="AN13" s="31" t="s">
        <v>260</v>
      </c>
      <c r="AO13" s="31"/>
      <c r="AP13" s="1"/>
      <c r="AQ13" s="32"/>
    </row>
    <row r="14" spans="2:50">
      <c r="B14" s="24"/>
      <c r="D14" s="38" t="s">
        <v>103</v>
      </c>
      <c r="E14" s="38"/>
      <c r="F14" s="33"/>
      <c r="G14" s="33"/>
      <c r="H14" s="38" t="s">
        <v>124</v>
      </c>
      <c r="I14" s="38"/>
      <c r="L14" s="38" t="s">
        <v>143</v>
      </c>
      <c r="M14" s="38"/>
      <c r="N14" s="33"/>
      <c r="O14" s="33"/>
      <c r="P14" s="38" t="s">
        <v>159</v>
      </c>
      <c r="Q14" s="38"/>
      <c r="T14" s="52" t="s">
        <v>177</v>
      </c>
      <c r="U14" s="53"/>
      <c r="V14" s="33"/>
      <c r="W14" s="33"/>
      <c r="X14" s="31" t="s">
        <v>193</v>
      </c>
      <c r="Y14" s="31"/>
      <c r="AB14" s="31" t="s">
        <v>211</v>
      </c>
      <c r="AC14" s="31"/>
      <c r="AD14" s="33"/>
      <c r="AE14" s="33"/>
      <c r="AF14" s="31" t="s">
        <v>227</v>
      </c>
      <c r="AG14" s="31"/>
      <c r="AJ14" s="31" t="s">
        <v>245</v>
      </c>
      <c r="AK14" s="31"/>
      <c r="AL14" s="33"/>
      <c r="AM14" s="33"/>
      <c r="AN14" s="31" t="s">
        <v>261</v>
      </c>
      <c r="AO14" s="31"/>
      <c r="AP14" s="1"/>
      <c r="AQ14" s="32"/>
    </row>
    <row r="15" spans="2:50">
      <c r="B15" s="24"/>
      <c r="D15" s="38" t="s">
        <v>104</v>
      </c>
      <c r="E15" s="38"/>
      <c r="F15" s="33"/>
      <c r="G15" s="33"/>
      <c r="H15" s="38" t="s">
        <v>125</v>
      </c>
      <c r="I15" s="38"/>
      <c r="L15" s="38" t="s">
        <v>144</v>
      </c>
      <c r="M15" s="38"/>
      <c r="N15" s="33"/>
      <c r="O15" s="33"/>
      <c r="P15" s="38" t="s">
        <v>160</v>
      </c>
      <c r="Q15" s="38"/>
      <c r="T15" s="52" t="s">
        <v>178</v>
      </c>
      <c r="U15" s="53"/>
      <c r="V15" s="33"/>
      <c r="W15" s="33"/>
      <c r="X15" s="31" t="s">
        <v>194</v>
      </c>
      <c r="Y15" s="31"/>
      <c r="AB15" s="31" t="s">
        <v>212</v>
      </c>
      <c r="AC15" s="31"/>
      <c r="AD15" s="33"/>
      <c r="AE15" s="33"/>
      <c r="AF15" s="31" t="s">
        <v>228</v>
      </c>
      <c r="AG15" s="31"/>
      <c r="AJ15" s="31" t="s">
        <v>246</v>
      </c>
      <c r="AK15" s="31"/>
      <c r="AL15" s="33"/>
      <c r="AM15" s="33"/>
      <c r="AN15" s="31" t="s">
        <v>262</v>
      </c>
      <c r="AO15" s="31"/>
      <c r="AP15" s="1"/>
      <c r="AQ15" s="32"/>
    </row>
    <row r="16" spans="2:50">
      <c r="B16" s="24"/>
      <c r="D16" s="31" t="s">
        <v>105</v>
      </c>
      <c r="E16" s="31"/>
      <c r="F16" s="33"/>
      <c r="G16" s="33"/>
      <c r="H16" s="31" t="s">
        <v>126</v>
      </c>
      <c r="I16" s="31"/>
      <c r="L16" s="58" t="s">
        <v>145</v>
      </c>
      <c r="M16" s="58"/>
      <c r="N16" s="33"/>
      <c r="O16" s="33"/>
      <c r="P16" s="58" t="s">
        <v>161</v>
      </c>
      <c r="Q16" s="58"/>
      <c r="T16" s="52" t="s">
        <v>179</v>
      </c>
      <c r="U16" s="53"/>
      <c r="V16" s="33"/>
      <c r="W16" s="33"/>
      <c r="X16" s="31" t="s">
        <v>195</v>
      </c>
      <c r="Y16" s="31"/>
      <c r="AB16" s="31" t="s">
        <v>213</v>
      </c>
      <c r="AC16" s="31"/>
      <c r="AD16" s="33"/>
      <c r="AE16" s="33"/>
      <c r="AF16" s="31" t="s">
        <v>229</v>
      </c>
      <c r="AG16" s="31"/>
      <c r="AJ16" s="31" t="s">
        <v>247</v>
      </c>
      <c r="AK16" s="31"/>
      <c r="AL16" s="33"/>
      <c r="AM16" s="33"/>
      <c r="AN16" s="31" t="s">
        <v>263</v>
      </c>
      <c r="AO16" s="31"/>
      <c r="AP16" s="1"/>
      <c r="AQ16" s="32"/>
    </row>
    <row r="17" spans="2:43">
      <c r="B17" s="24"/>
      <c r="D17" s="31" t="s">
        <v>106</v>
      </c>
      <c r="E17" s="31"/>
      <c r="F17" s="33"/>
      <c r="G17" s="33"/>
      <c r="H17" s="38" t="s">
        <v>127</v>
      </c>
      <c r="I17" s="38"/>
      <c r="L17" s="38" t="s">
        <v>146</v>
      </c>
      <c r="M17" s="38"/>
      <c r="N17" s="33"/>
      <c r="O17" s="33"/>
      <c r="P17" s="38" t="s">
        <v>162</v>
      </c>
      <c r="Q17" s="38"/>
      <c r="T17" s="52" t="s">
        <v>180</v>
      </c>
      <c r="U17" s="53"/>
      <c r="V17" s="33"/>
      <c r="W17" s="33"/>
      <c r="X17" s="31" t="s">
        <v>196</v>
      </c>
      <c r="Y17" s="31"/>
      <c r="AB17" s="31" t="s">
        <v>214</v>
      </c>
      <c r="AC17" s="31"/>
      <c r="AD17" s="33"/>
      <c r="AE17" s="33"/>
      <c r="AF17" s="31" t="s">
        <v>230</v>
      </c>
      <c r="AG17" s="31"/>
      <c r="AJ17" s="31" t="s">
        <v>248</v>
      </c>
      <c r="AK17" s="31"/>
      <c r="AL17" s="33"/>
      <c r="AM17" s="33"/>
      <c r="AN17" s="31" t="s">
        <v>264</v>
      </c>
      <c r="AO17" s="31"/>
      <c r="AP17" s="1"/>
      <c r="AQ17" s="32"/>
    </row>
    <row r="18" spans="2:43">
      <c r="B18" s="24"/>
      <c r="D18" s="31" t="s">
        <v>107</v>
      </c>
      <c r="E18" s="31"/>
      <c r="F18" s="33"/>
      <c r="G18" s="33"/>
      <c r="H18" s="31" t="s">
        <v>128</v>
      </c>
      <c r="I18" s="31"/>
      <c r="L18" s="38" t="s">
        <v>147</v>
      </c>
      <c r="M18" s="38"/>
      <c r="N18" s="33"/>
      <c r="O18" s="33"/>
      <c r="P18" s="58" t="s">
        <v>163</v>
      </c>
      <c r="Q18" s="58"/>
      <c r="T18" s="52" t="s">
        <v>181</v>
      </c>
      <c r="U18" s="53"/>
      <c r="V18" s="33"/>
      <c r="W18" s="33"/>
      <c r="X18" s="31" t="s">
        <v>197</v>
      </c>
      <c r="Y18" s="31"/>
      <c r="AB18" s="31" t="s">
        <v>215</v>
      </c>
      <c r="AC18" s="31"/>
      <c r="AD18" s="33"/>
      <c r="AE18" s="33"/>
      <c r="AF18" s="31" t="s">
        <v>231</v>
      </c>
      <c r="AG18" s="31"/>
      <c r="AJ18" s="31" t="s">
        <v>249</v>
      </c>
      <c r="AK18" s="31"/>
      <c r="AL18" s="33"/>
      <c r="AM18" s="33"/>
      <c r="AN18" s="31" t="s">
        <v>265</v>
      </c>
      <c r="AO18" s="31"/>
      <c r="AP18" s="1"/>
      <c r="AQ18" s="32"/>
    </row>
    <row r="19" spans="2:43">
      <c r="B19" s="24"/>
      <c r="D19" s="36"/>
      <c r="E19" s="36"/>
      <c r="F19" s="33"/>
      <c r="G19" s="33"/>
      <c r="H19" s="31" t="s">
        <v>129</v>
      </c>
      <c r="I19" s="31"/>
      <c r="L19" s="36"/>
      <c r="M19" s="36"/>
      <c r="N19" s="33"/>
      <c r="O19" s="33"/>
      <c r="P19" s="38" t="s">
        <v>164</v>
      </c>
      <c r="Q19" s="38"/>
      <c r="T19" s="36"/>
      <c r="U19" s="36"/>
      <c r="V19" s="33"/>
      <c r="W19" s="33"/>
      <c r="X19" s="31" t="s">
        <v>198</v>
      </c>
      <c r="Y19" s="31"/>
      <c r="AB19" s="36"/>
      <c r="AC19" s="36"/>
      <c r="AD19" s="33"/>
      <c r="AE19" s="33"/>
      <c r="AF19" s="31" t="s">
        <v>232</v>
      </c>
      <c r="AG19" s="31"/>
      <c r="AJ19" s="36"/>
      <c r="AK19" s="36"/>
      <c r="AL19" s="33"/>
      <c r="AM19" s="33"/>
      <c r="AN19" s="31" t="s">
        <v>266</v>
      </c>
      <c r="AO19" s="31"/>
      <c r="AP19" s="1"/>
      <c r="AQ19" s="32"/>
    </row>
    <row r="20" spans="2:43">
      <c r="B20" s="24"/>
      <c r="D20" s="36"/>
      <c r="E20" s="36"/>
      <c r="F20" s="33"/>
      <c r="G20" s="33"/>
      <c r="H20" s="31" t="s">
        <v>130</v>
      </c>
      <c r="I20" s="31"/>
      <c r="L20" s="36"/>
      <c r="M20" s="36"/>
      <c r="N20" s="33"/>
      <c r="O20" s="33"/>
      <c r="P20" s="38" t="s">
        <v>165</v>
      </c>
      <c r="Q20" s="38"/>
      <c r="T20" s="36"/>
      <c r="U20" s="36"/>
      <c r="V20" s="33"/>
      <c r="W20" s="33"/>
      <c r="X20" s="31" t="s">
        <v>199</v>
      </c>
      <c r="Y20" s="31"/>
      <c r="AB20" s="36"/>
      <c r="AC20" s="36"/>
      <c r="AD20" s="33"/>
      <c r="AE20" s="33"/>
      <c r="AF20" s="31" t="s">
        <v>233</v>
      </c>
      <c r="AG20" s="31"/>
      <c r="AJ20" s="36"/>
      <c r="AK20" s="36"/>
      <c r="AL20" s="33"/>
      <c r="AM20" s="33"/>
      <c r="AN20" s="31" t="s">
        <v>267</v>
      </c>
      <c r="AO20" s="31"/>
      <c r="AP20" s="37"/>
      <c r="AQ20" s="32"/>
    </row>
    <row r="21" spans="2:43">
      <c r="B21" s="24"/>
      <c r="D21" s="59" t="s">
        <v>108</v>
      </c>
      <c r="E21" s="59"/>
      <c r="F21" s="33"/>
      <c r="G21" s="33"/>
      <c r="H21" s="31" t="s">
        <v>131</v>
      </c>
      <c r="I21" s="31"/>
      <c r="L21" s="58" t="s">
        <v>148</v>
      </c>
      <c r="M21" s="58"/>
      <c r="N21" s="33"/>
      <c r="O21" s="33"/>
      <c r="P21" s="58" t="s">
        <v>166</v>
      </c>
      <c r="Q21" s="58"/>
      <c r="T21" s="31" t="s">
        <v>182</v>
      </c>
      <c r="U21" s="31"/>
      <c r="V21" s="33"/>
      <c r="W21" s="33"/>
      <c r="X21" s="31" t="s">
        <v>200</v>
      </c>
      <c r="Y21" s="31"/>
      <c r="AB21" s="31" t="s">
        <v>216</v>
      </c>
      <c r="AC21" s="31"/>
      <c r="AD21" s="33"/>
      <c r="AE21" s="33"/>
      <c r="AF21" s="31" t="s">
        <v>234</v>
      </c>
      <c r="AG21" s="31"/>
      <c r="AJ21" s="31" t="s">
        <v>250</v>
      </c>
      <c r="AK21" s="31"/>
      <c r="AL21" s="33"/>
      <c r="AM21" s="33"/>
      <c r="AN21" s="31" t="s">
        <v>268</v>
      </c>
      <c r="AO21" s="31"/>
      <c r="AP21" s="1"/>
      <c r="AQ21" s="32"/>
    </row>
    <row r="22" spans="2:43">
      <c r="B22" s="24"/>
      <c r="D22" s="60" t="s">
        <v>109</v>
      </c>
      <c r="E22" s="60"/>
      <c r="F22" s="33"/>
      <c r="G22" s="33"/>
      <c r="H22" s="58" t="s">
        <v>132</v>
      </c>
      <c r="I22" s="58"/>
      <c r="L22" s="58" t="s">
        <v>149</v>
      </c>
      <c r="M22" s="58"/>
      <c r="N22" s="33"/>
      <c r="O22" s="33"/>
      <c r="P22" s="58" t="s">
        <v>167</v>
      </c>
      <c r="Q22" s="58"/>
      <c r="T22" s="31" t="s">
        <v>183</v>
      </c>
      <c r="U22" s="31"/>
      <c r="V22" s="33"/>
      <c r="W22" s="33"/>
      <c r="X22" s="31" t="s">
        <v>201</v>
      </c>
      <c r="Y22" s="31"/>
      <c r="AB22" s="31" t="s">
        <v>217</v>
      </c>
      <c r="AC22" s="31"/>
      <c r="AD22" s="33"/>
      <c r="AE22" s="33"/>
      <c r="AF22" s="31" t="s">
        <v>235</v>
      </c>
      <c r="AG22" s="31"/>
      <c r="AJ22" s="31" t="s">
        <v>251</v>
      </c>
      <c r="AK22" s="31"/>
      <c r="AL22" s="33"/>
      <c r="AM22" s="33"/>
      <c r="AN22" s="31" t="s">
        <v>269</v>
      </c>
      <c r="AO22" s="31"/>
      <c r="AP22" s="1"/>
      <c r="AQ22" s="32"/>
    </row>
    <row r="23" spans="2:43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1" t="s">
        <v>184</v>
      </c>
      <c r="U23" s="31"/>
      <c r="V23" s="33"/>
      <c r="W23" s="33"/>
      <c r="X23" s="31" t="s">
        <v>202</v>
      </c>
      <c r="Y23" s="31"/>
      <c r="AB23" s="31" t="s">
        <v>218</v>
      </c>
      <c r="AC23" s="31"/>
      <c r="AD23" s="33"/>
      <c r="AE23" s="33"/>
      <c r="AF23" s="31" t="s">
        <v>236</v>
      </c>
      <c r="AG23" s="31"/>
      <c r="AJ23" s="31" t="s">
        <v>252</v>
      </c>
      <c r="AK23" s="31"/>
      <c r="AL23" s="33"/>
      <c r="AM23" s="33"/>
      <c r="AN23" s="31" t="s">
        <v>270</v>
      </c>
      <c r="AO23" s="31"/>
      <c r="AP23" s="1"/>
      <c r="AQ23" s="32"/>
    </row>
    <row r="24" spans="2:43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1" t="s">
        <v>185</v>
      </c>
      <c r="U24" s="31"/>
      <c r="V24" s="33"/>
      <c r="W24" s="33"/>
      <c r="X24" s="38" t="s">
        <v>203</v>
      </c>
      <c r="Y24" s="38"/>
      <c r="AB24" s="31" t="s">
        <v>219</v>
      </c>
      <c r="AC24" s="31"/>
      <c r="AD24" s="33"/>
      <c r="AE24" s="33"/>
      <c r="AF24" s="31" t="s">
        <v>237</v>
      </c>
      <c r="AG24" s="31"/>
      <c r="AJ24" s="31" t="s">
        <v>253</v>
      </c>
      <c r="AK24" s="31"/>
      <c r="AL24" s="33"/>
      <c r="AM24" s="33"/>
      <c r="AN24" s="31" t="s">
        <v>271</v>
      </c>
      <c r="AO24" s="31"/>
      <c r="AP24" s="1"/>
      <c r="AQ24" s="32"/>
    </row>
    <row r="25" spans="2:43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8" t="s">
        <v>186</v>
      </c>
      <c r="U25" s="38"/>
      <c r="V25" s="33"/>
      <c r="W25" s="33"/>
      <c r="X25" s="38" t="s">
        <v>204</v>
      </c>
      <c r="Y25" s="38"/>
      <c r="AB25" s="31" t="s">
        <v>220</v>
      </c>
      <c r="AC25" s="31"/>
      <c r="AD25" s="33"/>
      <c r="AE25" s="33"/>
      <c r="AF25" s="31" t="s">
        <v>238</v>
      </c>
      <c r="AG25" s="31"/>
      <c r="AJ25" s="31" t="s">
        <v>254</v>
      </c>
      <c r="AK25" s="31"/>
      <c r="AL25" s="33"/>
      <c r="AM25" s="33"/>
      <c r="AN25" s="31" t="s">
        <v>272</v>
      </c>
      <c r="AO25" s="31"/>
      <c r="AP25" s="1"/>
      <c r="AQ25" s="32"/>
    </row>
    <row r="26" spans="2:43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8" t="s">
        <v>187</v>
      </c>
      <c r="U26" s="38"/>
      <c r="V26" s="33"/>
      <c r="W26" s="33"/>
      <c r="X26" s="38" t="s">
        <v>205</v>
      </c>
      <c r="Y26" s="38"/>
      <c r="AB26" s="38" t="s">
        <v>221</v>
      </c>
      <c r="AC26" s="38"/>
      <c r="AD26" s="33"/>
      <c r="AE26" s="33"/>
      <c r="AF26" s="31" t="s">
        <v>239</v>
      </c>
      <c r="AG26" s="31"/>
      <c r="AJ26" s="38" t="s">
        <v>255</v>
      </c>
      <c r="AK26" s="38"/>
      <c r="AL26" s="33"/>
      <c r="AM26" s="33"/>
      <c r="AN26" s="38" t="s">
        <v>273</v>
      </c>
      <c r="AO26" s="38"/>
      <c r="AP26" s="1"/>
      <c r="AQ26" s="32"/>
    </row>
    <row r="27" spans="2:43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3">
      <c r="B28" s="8"/>
      <c r="C28" s="9"/>
      <c r="D28" s="9"/>
      <c r="E28" s="9"/>
      <c r="F28" s="9"/>
      <c r="G28" s="21" t="s">
        <v>290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291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292</v>
      </c>
      <c r="AN28" s="22"/>
      <c r="AO28" s="9"/>
      <c r="AP28" s="9"/>
      <c r="AQ28" s="10"/>
    </row>
    <row r="29" spans="2:43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3.4" customHeight="1" spans="2:43">
      <c r="B30" s="11" t="s">
        <v>356</v>
      </c>
      <c r="C30" s="12"/>
      <c r="D30" s="1"/>
      <c r="E30" s="1"/>
      <c r="F30" s="1"/>
      <c r="G30" s="1"/>
      <c r="H30" s="1"/>
      <c r="I30" s="11" t="s">
        <v>357</v>
      </c>
      <c r="J30" s="12"/>
      <c r="K30" s="11" t="s">
        <v>358</v>
      </c>
      <c r="L30" s="12"/>
      <c r="M30" s="1"/>
      <c r="N30" s="1"/>
      <c r="O30" s="1"/>
      <c r="P30" s="11" t="s">
        <v>359</v>
      </c>
      <c r="Q30" s="12"/>
      <c r="R30" s="1"/>
      <c r="S30" s="1"/>
      <c r="T30" s="11" t="s">
        <v>360</v>
      </c>
      <c r="U30" s="12"/>
      <c r="V30" s="1"/>
      <c r="W30" s="1"/>
      <c r="X30" s="1"/>
      <c r="Y30" s="11" t="s">
        <v>361</v>
      </c>
      <c r="Z30" s="12"/>
      <c r="AA30" s="11" t="s">
        <v>362</v>
      </c>
      <c r="AB30" s="12"/>
      <c r="AC30" s="1"/>
      <c r="AD30" s="1"/>
      <c r="AE30" s="1"/>
      <c r="AF30" s="1"/>
      <c r="AG30" s="11" t="s">
        <v>363</v>
      </c>
      <c r="AH30" s="12"/>
      <c r="AI30" s="1"/>
      <c r="AJ30" s="1"/>
      <c r="AK30" s="11" t="s">
        <v>364</v>
      </c>
      <c r="AL30" s="12"/>
      <c r="AM30" s="1"/>
      <c r="AN30" s="1"/>
      <c r="AO30" s="1"/>
      <c r="AP30" s="11" t="s">
        <v>365</v>
      </c>
      <c r="AQ30" s="12"/>
    </row>
    <row r="31" spans="2:43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320</v>
      </c>
      <c r="C33" s="39"/>
      <c r="D33" s="39"/>
      <c r="E33" s="39"/>
      <c r="F33" s="39"/>
      <c r="G33" s="40"/>
      <c r="H33" s="51" t="e">
        <f>getcolorcount($D$9:$AO$26,G33)</f>
        <v>#NAME?</v>
      </c>
    </row>
    <row r="34" spans="2:11">
      <c r="B34" s="39"/>
      <c r="C34" s="39"/>
      <c r="D34" s="39"/>
      <c r="E34" s="39"/>
      <c r="F34" s="39"/>
      <c r="G34" s="42"/>
      <c r="H34" s="51" t="e">
        <f>getcolorcount($D$9:$AO$26,G34)</f>
        <v>#NAME?</v>
      </c>
    </row>
    <row r="35" spans="2:11">
      <c r="B35" s="39"/>
      <c r="C35" s="39"/>
      <c r="D35" s="39"/>
      <c r="E35" s="39"/>
      <c r="F35" s="39"/>
      <c r="G35" s="43"/>
      <c r="H35" s="51" t="e">
        <f>getcolorcount($D$9:$AO$26,G35)</f>
        <v>#NAME?</v>
      </c>
    </row>
    <row r="36" spans="2:11">
      <c r="B36" s="39"/>
      <c r="C36" s="39"/>
      <c r="D36" s="39"/>
      <c r="E36" s="39"/>
      <c r="F36" s="39"/>
      <c r="G36" s="44"/>
      <c r="H36" s="51" t="e">
        <f>getcolorcount($D$9:$AO$26,G36)</f>
        <v>#NAME?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5"/>
      <c r="K37" s="45"/>
    </row>
    <row r="38" spans="2:11">
      <c r="B38" s="48" t="s">
        <v>321</v>
      </c>
      <c r="C38" s="48"/>
      <c r="D38" s="48"/>
      <c r="E38" s="48"/>
      <c r="F38" s="48">
        <v>154</v>
      </c>
      <c r="G38" s="1"/>
      <c r="H38" s="1"/>
    </row>
    <row r="39" spans="2:11">
      <c r="B39" s="48" t="s">
        <v>322</v>
      </c>
      <c r="C39" s="48"/>
      <c r="D39" s="48"/>
      <c r="E39" s="48"/>
      <c r="F39" s="48" t="e">
        <f>H36/2</f>
        <v>#NAME?</v>
      </c>
      <c r="G39" s="49"/>
      <c r="H39" s="1"/>
    </row>
    <row r="40" spans="2:11">
      <c r="B40" s="48" t="s">
        <v>323</v>
      </c>
      <c r="C40" s="48"/>
      <c r="D40" s="48"/>
      <c r="E40" s="48"/>
      <c r="F40" s="48" t="e">
        <f>F38-F39</f>
        <v>#NAME?</v>
      </c>
      <c r="G40" s="43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zoomScale="85" zoomScaleNormal="85" workbookViewId="0">
      <selection activeCell="AS17" sqref="AS17"/>
    </sheetView>
  </sheetViews>
  <sheetFormatPr defaultColWidth="9" defaultRowHeight="14"/>
  <cols>
    <col min="1" max="3" width="3.66363636363636" customWidth="1"/>
    <col min="4" max="5" width="5.44545454545455" customWidth="1"/>
    <col min="6" max="6" width="7.44545454545455" customWidth="1"/>
    <col min="7" max="7" width="3.66363636363636" customWidth="1"/>
    <col min="8" max="8" width="7.44545454545455" customWidth="1"/>
    <col min="9" max="9" width="5.44545454545455" customWidth="1"/>
    <col min="10" max="11" width="3.66363636363636" customWidth="1"/>
    <col min="12" max="13" width="5.44545454545455" customWidth="1"/>
    <col min="14" max="15" width="3.66363636363636" customWidth="1"/>
    <col min="16" max="17" width="5.44545454545455" customWidth="1"/>
    <col min="18" max="19" width="3.66363636363636" customWidth="1"/>
    <col min="20" max="20" width="4.44545454545455" customWidth="1"/>
    <col min="21" max="21" width="5" customWidth="1"/>
    <col min="22" max="23" width="3.66363636363636" customWidth="1"/>
    <col min="24" max="25" width="5.44545454545455" customWidth="1"/>
    <col min="26" max="27" width="3.66363636363636" customWidth="1"/>
    <col min="28" max="29" width="5.44545454545455" customWidth="1"/>
    <col min="30" max="31" width="3.66363636363636" customWidth="1"/>
    <col min="32" max="33" width="5.44545454545455" customWidth="1"/>
    <col min="34" max="35" width="3.66363636363636" customWidth="1"/>
    <col min="36" max="37" width="5.44545454545455" customWidth="1"/>
    <col min="38" max="39" width="3.66363636363636" customWidth="1"/>
    <col min="40" max="41" width="5.44545454545455" customWidth="1"/>
    <col min="42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366</v>
      </c>
      <c r="C3" s="12"/>
      <c r="D3" s="1"/>
      <c r="E3" s="1"/>
      <c r="F3" s="1"/>
      <c r="G3" s="1"/>
      <c r="H3" s="1"/>
      <c r="I3" s="11" t="s">
        <v>367</v>
      </c>
      <c r="J3" s="12"/>
      <c r="K3" s="11" t="s">
        <v>368</v>
      </c>
      <c r="L3" s="12"/>
      <c r="M3" s="1"/>
      <c r="N3" s="1"/>
      <c r="O3" s="1"/>
      <c r="P3" s="11" t="s">
        <v>369</v>
      </c>
      <c r="Q3" s="12"/>
      <c r="R3" s="1"/>
      <c r="S3" s="1"/>
      <c r="T3" s="11" t="s">
        <v>370</v>
      </c>
      <c r="U3" s="12"/>
      <c r="V3" s="1"/>
      <c r="W3" s="1"/>
      <c r="X3" s="1"/>
      <c r="Y3" s="11" t="s">
        <v>371</v>
      </c>
      <c r="Z3" s="12"/>
      <c r="AA3" s="11" t="s">
        <v>372</v>
      </c>
      <c r="AB3" s="12"/>
      <c r="AC3" s="1"/>
      <c r="AD3" s="1"/>
      <c r="AE3" s="1"/>
      <c r="AF3" s="1"/>
      <c r="AG3" s="11" t="s">
        <v>373</v>
      </c>
      <c r="AH3" s="12"/>
      <c r="AI3" s="1"/>
      <c r="AJ3" s="1"/>
      <c r="AK3" s="11" t="s">
        <v>374</v>
      </c>
      <c r="AL3" s="12"/>
      <c r="AM3" s="1"/>
      <c r="AN3" s="1"/>
      <c r="AO3" s="1"/>
      <c r="AP3" s="11" t="s">
        <v>375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290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291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292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25" t="s">
        <v>376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6"/>
      <c r="C7" s="27"/>
      <c r="D7" s="28" t="s">
        <v>303</v>
      </c>
      <c r="E7" s="28"/>
      <c r="F7" s="27"/>
      <c r="G7" s="27"/>
      <c r="H7" s="28" t="s">
        <v>302</v>
      </c>
      <c r="I7" s="28"/>
      <c r="J7" s="27"/>
      <c r="K7" s="27"/>
      <c r="L7" s="28" t="s">
        <v>301</v>
      </c>
      <c r="M7" s="28"/>
      <c r="N7" s="27"/>
      <c r="O7" s="27"/>
      <c r="P7" s="28" t="s">
        <v>300</v>
      </c>
      <c r="Q7" s="28"/>
      <c r="R7" s="27"/>
      <c r="S7" s="27"/>
      <c r="T7" s="28" t="s">
        <v>299</v>
      </c>
      <c r="U7" s="28"/>
      <c r="V7" s="27"/>
      <c r="W7" s="27"/>
      <c r="X7" s="28" t="s">
        <v>298</v>
      </c>
      <c r="Y7" s="28"/>
      <c r="Z7" s="27"/>
      <c r="AA7" s="27"/>
      <c r="AB7" s="28" t="s">
        <v>297</v>
      </c>
      <c r="AC7" s="28"/>
      <c r="AD7" s="27"/>
      <c r="AE7" s="27"/>
      <c r="AF7" s="28" t="s">
        <v>296</v>
      </c>
      <c r="AG7" s="28"/>
      <c r="AH7" s="27"/>
      <c r="AI7" s="27"/>
      <c r="AJ7" s="28" t="s">
        <v>295</v>
      </c>
      <c r="AK7" s="28"/>
      <c r="AL7" s="27"/>
      <c r="AM7" s="27"/>
      <c r="AN7" s="28" t="s">
        <v>294</v>
      </c>
      <c r="AO7" s="28"/>
      <c r="AP7" s="27"/>
      <c r="AQ7" s="29"/>
      <c r="AR7" s="30"/>
      <c r="AU7" s="6"/>
      <c r="AV7" s="6"/>
      <c r="AW7" s="1"/>
    </row>
    <row r="8" ht="14.25" customHeight="1" spans="2:50">
      <c r="B8" s="24"/>
      <c r="D8" s="31" t="s">
        <v>304</v>
      </c>
      <c r="E8" s="31" t="s">
        <v>305</v>
      </c>
      <c r="F8" s="4"/>
      <c r="G8" s="4"/>
      <c r="H8" s="31" t="s">
        <v>305</v>
      </c>
      <c r="I8" s="31" t="s">
        <v>304</v>
      </c>
      <c r="J8" s="4"/>
      <c r="K8" s="4"/>
      <c r="L8" s="31" t="s">
        <v>304</v>
      </c>
      <c r="M8" s="31" t="s">
        <v>305</v>
      </c>
      <c r="N8" s="4"/>
      <c r="O8" s="4"/>
      <c r="P8" s="31" t="s">
        <v>305</v>
      </c>
      <c r="Q8" s="31" t="s">
        <v>304</v>
      </c>
      <c r="R8" s="4"/>
      <c r="S8" s="4"/>
      <c r="T8" s="31" t="s">
        <v>304</v>
      </c>
      <c r="U8" s="31" t="s">
        <v>305</v>
      </c>
      <c r="V8" s="4"/>
      <c r="W8" s="4"/>
      <c r="X8" s="31" t="s">
        <v>305</v>
      </c>
      <c r="Y8" s="31" t="s">
        <v>304</v>
      </c>
      <c r="Z8" s="4"/>
      <c r="AA8" s="4"/>
      <c r="AB8" s="31" t="s">
        <v>305</v>
      </c>
      <c r="AC8" s="31" t="s">
        <v>305</v>
      </c>
      <c r="AD8" s="4"/>
      <c r="AE8" s="4"/>
      <c r="AF8" s="31" t="s">
        <v>305</v>
      </c>
      <c r="AG8" s="31" t="s">
        <v>305</v>
      </c>
      <c r="AH8" s="4"/>
      <c r="AI8" s="4"/>
      <c r="AJ8" s="31" t="s">
        <v>305</v>
      </c>
      <c r="AK8" s="31" t="s">
        <v>305</v>
      </c>
      <c r="AL8" s="4"/>
      <c r="AM8" s="4"/>
      <c r="AN8" s="31" t="s">
        <v>305</v>
      </c>
      <c r="AO8" s="31" t="s">
        <v>305</v>
      </c>
      <c r="AP8" s="1"/>
      <c r="AQ8" s="32"/>
      <c r="AU8" s="6"/>
      <c r="AV8" s="6"/>
      <c r="AW8" s="1"/>
    </row>
    <row r="9" spans="2:50">
      <c r="B9" s="24"/>
      <c r="D9" s="38" t="s">
        <v>256</v>
      </c>
      <c r="E9" s="38"/>
      <c r="F9" s="33"/>
      <c r="G9" s="33"/>
      <c r="H9" s="38" t="s">
        <v>240</v>
      </c>
      <c r="I9" s="38"/>
      <c r="L9" s="38" t="s">
        <v>222</v>
      </c>
      <c r="M9" s="38"/>
      <c r="N9" s="33"/>
      <c r="O9" s="33"/>
      <c r="P9" s="31" t="s">
        <v>206</v>
      </c>
      <c r="Q9" s="31"/>
      <c r="T9" s="31" t="s">
        <v>188</v>
      </c>
      <c r="U9" s="31"/>
      <c r="V9" s="33"/>
      <c r="W9" s="33"/>
      <c r="X9" s="31" t="s">
        <v>172</v>
      </c>
      <c r="Y9" s="31"/>
      <c r="AB9" s="52" t="s">
        <v>154</v>
      </c>
      <c r="AC9" s="53"/>
      <c r="AD9" s="33"/>
      <c r="AE9" s="33"/>
      <c r="AF9" s="31" t="s">
        <v>137</v>
      </c>
      <c r="AG9" s="31"/>
      <c r="AJ9" s="31" t="s">
        <v>114</v>
      </c>
      <c r="AK9" s="31"/>
      <c r="AL9" s="33"/>
      <c r="AM9" s="33"/>
      <c r="AN9" s="31" t="s">
        <v>96</v>
      </c>
      <c r="AO9" s="31"/>
      <c r="AP9" s="1"/>
      <c r="AQ9" s="32"/>
      <c r="AU9" s="6"/>
    </row>
    <row r="10" spans="2:50">
      <c r="B10" s="24"/>
      <c r="D10" s="38" t="s">
        <v>257</v>
      </c>
      <c r="E10" s="38"/>
      <c r="F10" s="33"/>
      <c r="G10" s="33"/>
      <c r="H10" s="38" t="s">
        <v>241</v>
      </c>
      <c r="I10" s="38"/>
      <c r="L10" s="38" t="s">
        <v>223</v>
      </c>
      <c r="M10" s="38"/>
      <c r="N10" s="33"/>
      <c r="O10" s="33"/>
      <c r="P10" s="31" t="s">
        <v>207</v>
      </c>
      <c r="Q10" s="31"/>
      <c r="T10" s="31" t="s">
        <v>189</v>
      </c>
      <c r="U10" s="31"/>
      <c r="V10" s="33"/>
      <c r="W10" s="33"/>
      <c r="X10" s="31" t="s">
        <v>173</v>
      </c>
      <c r="Y10" s="31"/>
      <c r="AB10" s="31" t="s">
        <v>155</v>
      </c>
      <c r="AC10" s="31"/>
      <c r="AD10" s="33"/>
      <c r="AE10" s="33"/>
      <c r="AF10" s="38" t="s">
        <v>139</v>
      </c>
      <c r="AG10" s="38"/>
      <c r="AJ10" s="31" t="s">
        <v>118</v>
      </c>
      <c r="AK10" s="31"/>
      <c r="AL10" s="33"/>
      <c r="AM10" s="33"/>
      <c r="AN10" s="38" t="s">
        <v>98</v>
      </c>
      <c r="AO10" s="38"/>
      <c r="AP10" s="1"/>
      <c r="AQ10" s="32"/>
      <c r="AR10" s="35"/>
      <c r="AU10" s="6"/>
    </row>
    <row r="11" spans="2:50">
      <c r="B11" s="24"/>
      <c r="D11" s="38" t="s">
        <v>258</v>
      </c>
      <c r="E11" s="38"/>
      <c r="F11" s="33"/>
      <c r="G11" s="33"/>
      <c r="H11" s="38" t="s">
        <v>242</v>
      </c>
      <c r="I11" s="38"/>
      <c r="L11" s="38" t="s">
        <v>224</v>
      </c>
      <c r="M11" s="38"/>
      <c r="N11" s="33"/>
      <c r="O11" s="33"/>
      <c r="P11" s="31" t="s">
        <v>208</v>
      </c>
      <c r="Q11" s="31"/>
      <c r="T11" s="31" t="s">
        <v>190</v>
      </c>
      <c r="U11" s="31"/>
      <c r="V11" s="33"/>
      <c r="W11" s="33"/>
      <c r="X11" s="31" t="s">
        <v>174</v>
      </c>
      <c r="Y11" s="31"/>
      <c r="AB11" s="38" t="s">
        <v>156</v>
      </c>
      <c r="AC11" s="38"/>
      <c r="AD11" s="33"/>
      <c r="AE11" s="33"/>
      <c r="AF11" s="38" t="s">
        <v>140</v>
      </c>
      <c r="AG11" s="38"/>
      <c r="AJ11" s="38" t="s">
        <v>119</v>
      </c>
      <c r="AK11" s="38"/>
      <c r="AL11" s="33"/>
      <c r="AM11" s="33"/>
      <c r="AN11" s="38" t="s">
        <v>100</v>
      </c>
      <c r="AO11" s="38"/>
      <c r="AP11" s="1"/>
      <c r="AQ11" s="32"/>
      <c r="AU11" s="6"/>
    </row>
    <row r="12" spans="2:50">
      <c r="B12" s="24"/>
      <c r="D12" s="38" t="s">
        <v>259</v>
      </c>
      <c r="E12" s="38"/>
      <c r="F12" s="33"/>
      <c r="G12" s="33"/>
      <c r="H12" s="38" t="s">
        <v>243</v>
      </c>
      <c r="I12" s="38"/>
      <c r="L12" s="38" t="s">
        <v>225</v>
      </c>
      <c r="M12" s="38"/>
      <c r="N12" s="33"/>
      <c r="O12" s="33"/>
      <c r="P12" s="31" t="s">
        <v>209</v>
      </c>
      <c r="Q12" s="31"/>
      <c r="T12" s="31" t="s">
        <v>191</v>
      </c>
      <c r="U12" s="31"/>
      <c r="V12" s="33"/>
      <c r="W12" s="33"/>
      <c r="X12" s="31" t="s">
        <v>175</v>
      </c>
      <c r="Y12" s="31"/>
      <c r="AB12" s="38" t="s">
        <v>157</v>
      </c>
      <c r="AC12" s="38"/>
      <c r="AD12" s="33"/>
      <c r="AE12" s="33"/>
      <c r="AF12" s="38" t="s">
        <v>141</v>
      </c>
      <c r="AG12" s="38"/>
      <c r="AJ12" s="38" t="s">
        <v>122</v>
      </c>
      <c r="AK12" s="38"/>
      <c r="AL12" s="33"/>
      <c r="AM12" s="33"/>
      <c r="AN12" s="38" t="s">
        <v>101</v>
      </c>
      <c r="AO12" s="38"/>
      <c r="AP12" s="1"/>
      <c r="AQ12" s="32"/>
      <c r="AU12" s="6"/>
    </row>
    <row r="13" spans="2:50">
      <c r="B13" s="24"/>
      <c r="D13" s="38" t="s">
        <v>260</v>
      </c>
      <c r="E13" s="38"/>
      <c r="F13" s="33"/>
      <c r="G13" s="33"/>
      <c r="H13" s="38" t="s">
        <v>244</v>
      </c>
      <c r="I13" s="38"/>
      <c r="L13" s="38" t="s">
        <v>226</v>
      </c>
      <c r="M13" s="38"/>
      <c r="N13" s="33"/>
      <c r="O13" s="33"/>
      <c r="P13" s="31" t="s">
        <v>210</v>
      </c>
      <c r="Q13" s="31"/>
      <c r="T13" s="31" t="s">
        <v>192</v>
      </c>
      <c r="U13" s="31"/>
      <c r="V13" s="33"/>
      <c r="W13" s="33"/>
      <c r="X13" s="31" t="s">
        <v>176</v>
      </c>
      <c r="Y13" s="31"/>
      <c r="AB13" s="54" t="s">
        <v>158</v>
      </c>
      <c r="AC13" s="55"/>
      <c r="AD13" s="33"/>
      <c r="AE13" s="33"/>
      <c r="AF13" s="38" t="s">
        <v>142</v>
      </c>
      <c r="AG13" s="38"/>
      <c r="AJ13" s="38" t="s">
        <v>123</v>
      </c>
      <c r="AK13" s="38"/>
      <c r="AL13" s="33"/>
      <c r="AM13" s="33"/>
      <c r="AN13" s="38" t="s">
        <v>102</v>
      </c>
      <c r="AO13" s="38"/>
      <c r="AP13" s="1"/>
      <c r="AQ13" s="32"/>
    </row>
    <row r="14" spans="2:50">
      <c r="B14" s="24"/>
      <c r="D14" s="38" t="s">
        <v>261</v>
      </c>
      <c r="E14" s="38"/>
      <c r="F14" s="33"/>
      <c r="G14" s="33"/>
      <c r="H14" s="38" t="s">
        <v>245</v>
      </c>
      <c r="I14" s="38"/>
      <c r="L14" s="38" t="s">
        <v>227</v>
      </c>
      <c r="M14" s="38"/>
      <c r="N14" s="33"/>
      <c r="O14" s="33"/>
      <c r="P14" s="31" t="s">
        <v>211</v>
      </c>
      <c r="Q14" s="31"/>
      <c r="T14" s="31" t="s">
        <v>193</v>
      </c>
      <c r="U14" s="31"/>
      <c r="V14" s="33"/>
      <c r="W14" s="33"/>
      <c r="X14" s="31" t="s">
        <v>177</v>
      </c>
      <c r="Y14" s="31"/>
      <c r="AB14" s="38" t="s">
        <v>159</v>
      </c>
      <c r="AC14" s="38"/>
      <c r="AD14" s="33"/>
      <c r="AE14" s="33"/>
      <c r="AF14" s="38" t="s">
        <v>143</v>
      </c>
      <c r="AG14" s="38"/>
      <c r="AJ14" s="38" t="s">
        <v>124</v>
      </c>
      <c r="AK14" s="38"/>
      <c r="AL14" s="33"/>
      <c r="AM14" s="33"/>
      <c r="AN14" s="38" t="s">
        <v>103</v>
      </c>
      <c r="AO14" s="38"/>
      <c r="AP14" s="1"/>
      <c r="AQ14" s="32"/>
    </row>
    <row r="15" spans="2:50">
      <c r="B15" s="24"/>
      <c r="D15" s="38" t="s">
        <v>262</v>
      </c>
      <c r="E15" s="38"/>
      <c r="F15" s="33"/>
      <c r="G15" s="33"/>
      <c r="H15" s="38" t="s">
        <v>246</v>
      </c>
      <c r="I15" s="38"/>
      <c r="L15" s="38" t="s">
        <v>228</v>
      </c>
      <c r="M15" s="38"/>
      <c r="N15" s="33"/>
      <c r="O15" s="33"/>
      <c r="P15" s="31" t="s">
        <v>212</v>
      </c>
      <c r="Q15" s="31"/>
      <c r="T15" s="31" t="s">
        <v>194</v>
      </c>
      <c r="U15" s="31"/>
      <c r="V15" s="33"/>
      <c r="W15" s="33"/>
      <c r="X15" s="52" t="s">
        <v>178</v>
      </c>
      <c r="Y15" s="53"/>
      <c r="AB15" s="38" t="s">
        <v>160</v>
      </c>
      <c r="AC15" s="38"/>
      <c r="AD15" s="33"/>
      <c r="AE15" s="33"/>
      <c r="AF15" s="38" t="s">
        <v>144</v>
      </c>
      <c r="AG15" s="38"/>
      <c r="AJ15" s="38" t="s">
        <v>125</v>
      </c>
      <c r="AK15" s="38"/>
      <c r="AL15" s="33"/>
      <c r="AM15" s="33"/>
      <c r="AN15" s="38" t="s">
        <v>104</v>
      </c>
      <c r="AO15" s="38"/>
      <c r="AP15" s="1"/>
      <c r="AQ15" s="32"/>
    </row>
    <row r="16" spans="2:50">
      <c r="B16" s="24"/>
      <c r="D16" s="38" t="s">
        <v>263</v>
      </c>
      <c r="E16" s="38"/>
      <c r="F16" s="33"/>
      <c r="G16" s="33"/>
      <c r="H16" s="38" t="s">
        <v>247</v>
      </c>
      <c r="I16" s="38"/>
      <c r="L16" s="38" t="s">
        <v>229</v>
      </c>
      <c r="M16" s="38"/>
      <c r="N16" s="33"/>
      <c r="O16" s="33"/>
      <c r="P16" s="31" t="s">
        <v>213</v>
      </c>
      <c r="Q16" s="31"/>
      <c r="T16" s="31" t="s">
        <v>195</v>
      </c>
      <c r="U16" s="31"/>
      <c r="V16" s="33"/>
      <c r="W16" s="33"/>
      <c r="X16" s="31" t="s">
        <v>179</v>
      </c>
      <c r="Y16" s="31"/>
      <c r="AB16" s="31" t="s">
        <v>161</v>
      </c>
      <c r="AC16" s="31"/>
      <c r="AD16" s="33"/>
      <c r="AE16" s="33"/>
      <c r="AF16" s="31" t="s">
        <v>145</v>
      </c>
      <c r="AG16" s="31"/>
      <c r="AJ16" s="31" t="s">
        <v>126</v>
      </c>
      <c r="AK16" s="31"/>
      <c r="AL16" s="33"/>
      <c r="AM16" s="33"/>
      <c r="AN16" s="31" t="s">
        <v>105</v>
      </c>
      <c r="AO16" s="31"/>
      <c r="AP16" s="1"/>
      <c r="AQ16" s="32"/>
    </row>
    <row r="17" spans="2:43">
      <c r="B17" s="24"/>
      <c r="D17" s="38" t="s">
        <v>264</v>
      </c>
      <c r="E17" s="38"/>
      <c r="F17" s="33"/>
      <c r="G17" s="33"/>
      <c r="H17" s="38" t="s">
        <v>248</v>
      </c>
      <c r="I17" s="38"/>
      <c r="L17" s="38" t="s">
        <v>230</v>
      </c>
      <c r="M17" s="38"/>
      <c r="N17" s="33"/>
      <c r="O17" s="33"/>
      <c r="P17" s="31" t="s">
        <v>214</v>
      </c>
      <c r="Q17" s="31"/>
      <c r="T17" s="31" t="s">
        <v>196</v>
      </c>
      <c r="U17" s="31"/>
      <c r="V17" s="33"/>
      <c r="W17" s="33"/>
      <c r="X17" s="31" t="s">
        <v>180</v>
      </c>
      <c r="Y17" s="31"/>
      <c r="AB17" s="38" t="s">
        <v>162</v>
      </c>
      <c r="AC17" s="38"/>
      <c r="AD17" s="33"/>
      <c r="AE17" s="33"/>
      <c r="AF17" s="38" t="s">
        <v>146</v>
      </c>
      <c r="AG17" s="38"/>
      <c r="AJ17" s="38" t="s">
        <v>127</v>
      </c>
      <c r="AK17" s="38"/>
      <c r="AL17" s="33"/>
      <c r="AM17" s="33"/>
      <c r="AN17" s="31" t="s">
        <v>106</v>
      </c>
      <c r="AO17" s="31"/>
      <c r="AP17" s="1"/>
      <c r="AQ17" s="32"/>
    </row>
    <row r="18" spans="2:43">
      <c r="B18" s="24"/>
      <c r="D18" s="38" t="s">
        <v>265</v>
      </c>
      <c r="E18" s="38"/>
      <c r="F18" s="33"/>
      <c r="G18" s="33"/>
      <c r="H18" s="38" t="s">
        <v>249</v>
      </c>
      <c r="I18" s="38"/>
      <c r="L18" s="38" t="s">
        <v>231</v>
      </c>
      <c r="M18" s="38"/>
      <c r="N18" s="33"/>
      <c r="O18" s="33"/>
      <c r="P18" s="38" t="s">
        <v>215</v>
      </c>
      <c r="Q18" s="38"/>
      <c r="T18" s="31" t="s">
        <v>197</v>
      </c>
      <c r="U18" s="31"/>
      <c r="V18" s="33"/>
      <c r="W18" s="33"/>
      <c r="X18" s="31" t="s">
        <v>181</v>
      </c>
      <c r="Y18" s="31"/>
      <c r="AB18" s="31" t="s">
        <v>163</v>
      </c>
      <c r="AC18" s="31"/>
      <c r="AD18" s="33"/>
      <c r="AE18" s="33"/>
      <c r="AF18" s="38" t="s">
        <v>147</v>
      </c>
      <c r="AG18" s="38"/>
      <c r="AJ18" s="31" t="s">
        <v>128</v>
      </c>
      <c r="AK18" s="31"/>
      <c r="AL18" s="33"/>
      <c r="AM18" s="33"/>
      <c r="AN18" s="31" t="s">
        <v>107</v>
      </c>
      <c r="AO18" s="31"/>
      <c r="AP18" s="1"/>
      <c r="AQ18" s="32"/>
    </row>
    <row r="19" spans="2:43">
      <c r="B19" s="24"/>
      <c r="D19" s="38" t="s">
        <v>266</v>
      </c>
      <c r="E19" s="38"/>
      <c r="F19" s="33"/>
      <c r="G19" s="33"/>
      <c r="H19" s="36"/>
      <c r="I19" s="36"/>
      <c r="L19" s="38" t="s">
        <v>232</v>
      </c>
      <c r="M19" s="38"/>
      <c r="N19" s="33"/>
      <c r="O19" s="33"/>
      <c r="P19" s="36"/>
      <c r="Q19" s="36"/>
      <c r="T19" s="31" t="s">
        <v>198</v>
      </c>
      <c r="U19" s="31"/>
      <c r="V19" s="33"/>
      <c r="W19" s="33"/>
      <c r="X19" s="36"/>
      <c r="Y19" s="36"/>
      <c r="AB19" s="38" t="s">
        <v>164</v>
      </c>
      <c r="AC19" s="38"/>
      <c r="AD19" s="33"/>
      <c r="AE19" s="33"/>
      <c r="AF19" s="36"/>
      <c r="AG19" s="36"/>
      <c r="AJ19" s="31" t="s">
        <v>129</v>
      </c>
      <c r="AK19" s="31"/>
      <c r="AL19" s="33"/>
      <c r="AM19" s="33"/>
      <c r="AN19" s="36"/>
      <c r="AO19" s="36"/>
      <c r="AP19" s="1"/>
      <c r="AQ19" s="32"/>
    </row>
    <row r="20" spans="2:43">
      <c r="B20" s="24"/>
      <c r="D20" s="38" t="s">
        <v>267</v>
      </c>
      <c r="E20" s="38"/>
      <c r="F20" s="33"/>
      <c r="G20" s="33"/>
      <c r="H20" s="36"/>
      <c r="I20" s="36"/>
      <c r="L20" s="38" t="s">
        <v>233</v>
      </c>
      <c r="M20" s="38"/>
      <c r="N20" s="33"/>
      <c r="O20" s="33"/>
      <c r="P20" s="36"/>
      <c r="Q20" s="36"/>
      <c r="T20" s="31" t="s">
        <v>199</v>
      </c>
      <c r="U20" s="31"/>
      <c r="V20" s="33"/>
      <c r="W20" s="33"/>
      <c r="X20" s="36"/>
      <c r="Y20" s="36"/>
      <c r="AB20" s="38" t="s">
        <v>165</v>
      </c>
      <c r="AC20" s="38"/>
      <c r="AD20" s="33"/>
      <c r="AE20" s="33"/>
      <c r="AF20" s="36"/>
      <c r="AG20" s="36"/>
      <c r="AJ20" s="31" t="s">
        <v>130</v>
      </c>
      <c r="AK20" s="31"/>
      <c r="AL20" s="33"/>
      <c r="AM20" s="33"/>
      <c r="AN20" s="36"/>
      <c r="AO20" s="36"/>
      <c r="AP20" s="37"/>
      <c r="AQ20" s="32"/>
    </row>
    <row r="21" spans="2:43">
      <c r="B21" s="24"/>
      <c r="D21" s="38" t="s">
        <v>268</v>
      </c>
      <c r="E21" s="38"/>
      <c r="F21" s="33"/>
      <c r="G21" s="33"/>
      <c r="H21" s="38" t="s">
        <v>250</v>
      </c>
      <c r="I21" s="38"/>
      <c r="L21" s="38" t="s">
        <v>234</v>
      </c>
      <c r="M21" s="38"/>
      <c r="N21" s="33"/>
      <c r="O21" s="33"/>
      <c r="P21" s="38" t="s">
        <v>216</v>
      </c>
      <c r="Q21" s="38"/>
      <c r="T21" s="31" t="s">
        <v>200</v>
      </c>
      <c r="U21" s="31"/>
      <c r="V21" s="33"/>
      <c r="W21" s="33"/>
      <c r="X21" s="31" t="s">
        <v>182</v>
      </c>
      <c r="Y21" s="31"/>
      <c r="AB21" s="31" t="s">
        <v>166</v>
      </c>
      <c r="AC21" s="31"/>
      <c r="AD21" s="33"/>
      <c r="AE21" s="33"/>
      <c r="AF21" s="31" t="s">
        <v>148</v>
      </c>
      <c r="AG21" s="31"/>
      <c r="AJ21" s="31" t="s">
        <v>131</v>
      </c>
      <c r="AK21" s="31"/>
      <c r="AL21" s="33"/>
      <c r="AM21" s="33"/>
      <c r="AN21" s="31" t="s">
        <v>108</v>
      </c>
      <c r="AO21" s="31"/>
      <c r="AP21" s="1"/>
      <c r="AQ21" s="32"/>
    </row>
    <row r="22" spans="2:43">
      <c r="B22" s="24"/>
      <c r="D22" s="38" t="s">
        <v>269</v>
      </c>
      <c r="E22" s="38"/>
      <c r="F22" s="33"/>
      <c r="G22" s="33"/>
      <c r="H22" s="38" t="s">
        <v>251</v>
      </c>
      <c r="I22" s="38"/>
      <c r="L22" s="38" t="s">
        <v>235</v>
      </c>
      <c r="M22" s="38"/>
      <c r="N22" s="33"/>
      <c r="O22" s="33"/>
      <c r="P22" s="38" t="s">
        <v>217</v>
      </c>
      <c r="Q22" s="38"/>
      <c r="T22" s="31" t="s">
        <v>201</v>
      </c>
      <c r="U22" s="31"/>
      <c r="V22" s="33"/>
      <c r="W22" s="33"/>
      <c r="X22" s="31" t="s">
        <v>183</v>
      </c>
      <c r="Y22" s="31"/>
      <c r="AB22" s="31" t="s">
        <v>167</v>
      </c>
      <c r="AC22" s="31"/>
      <c r="AD22" s="33"/>
      <c r="AE22" s="33"/>
      <c r="AF22" s="31" t="s">
        <v>149</v>
      </c>
      <c r="AG22" s="31"/>
      <c r="AH22" s="20"/>
      <c r="AI22" s="20"/>
      <c r="AJ22" s="31" t="s">
        <v>132</v>
      </c>
      <c r="AK22" s="31"/>
      <c r="AL22" s="33"/>
      <c r="AM22" s="33"/>
      <c r="AN22" s="31" t="s">
        <v>109</v>
      </c>
      <c r="AO22" s="31"/>
      <c r="AP22" s="1"/>
      <c r="AQ22" s="32"/>
    </row>
    <row r="23" spans="2:43">
      <c r="B23" s="24"/>
      <c r="D23" s="38" t="s">
        <v>270</v>
      </c>
      <c r="E23" s="38"/>
      <c r="F23" s="33"/>
      <c r="G23" s="33"/>
      <c r="H23" s="38" t="s">
        <v>252</v>
      </c>
      <c r="I23" s="38"/>
      <c r="L23" s="38" t="s">
        <v>236</v>
      </c>
      <c r="M23" s="38"/>
      <c r="N23" s="33"/>
      <c r="O23" s="33"/>
      <c r="P23" s="38" t="s">
        <v>218</v>
      </c>
      <c r="Q23" s="38"/>
      <c r="T23" s="31" t="s">
        <v>202</v>
      </c>
      <c r="U23" s="31"/>
      <c r="V23" s="33"/>
      <c r="W23" s="33"/>
      <c r="X23" s="31" t="s">
        <v>184</v>
      </c>
      <c r="Y23" s="31"/>
      <c r="AB23" s="3"/>
      <c r="AC23" s="3"/>
      <c r="AD23" s="56"/>
      <c r="AE23" s="56"/>
      <c r="AF23" s="3"/>
      <c r="AG23" s="3"/>
      <c r="AH23" s="56"/>
      <c r="AI23" s="56"/>
      <c r="AJ23" s="3"/>
      <c r="AK23" s="3"/>
      <c r="AL23" s="56"/>
      <c r="AM23" s="56"/>
      <c r="AN23" s="3"/>
      <c r="AO23" s="3"/>
      <c r="AP23" s="1"/>
      <c r="AQ23" s="32"/>
    </row>
    <row r="24" spans="2:43">
      <c r="B24" s="24"/>
      <c r="D24" s="38" t="s">
        <v>271</v>
      </c>
      <c r="E24" s="38"/>
      <c r="F24" s="33"/>
      <c r="G24" s="33"/>
      <c r="H24" s="38" t="s">
        <v>253</v>
      </c>
      <c r="I24" s="38"/>
      <c r="L24" s="38" t="s">
        <v>237</v>
      </c>
      <c r="M24" s="38"/>
      <c r="N24" s="33"/>
      <c r="O24" s="33"/>
      <c r="P24" s="38" t="s">
        <v>219</v>
      </c>
      <c r="Q24" s="38"/>
      <c r="T24" s="38" t="s">
        <v>203</v>
      </c>
      <c r="U24" s="38"/>
      <c r="V24" s="33"/>
      <c r="W24" s="33"/>
      <c r="X24" s="31" t="s">
        <v>185</v>
      </c>
      <c r="Y24" s="31"/>
      <c r="AB24" s="3"/>
      <c r="AC24" s="3"/>
      <c r="AD24" s="56"/>
      <c r="AE24" s="56"/>
      <c r="AF24" s="3"/>
      <c r="AG24" s="3"/>
      <c r="AH24" s="56"/>
      <c r="AI24" s="56"/>
      <c r="AJ24" s="3"/>
      <c r="AK24" s="3"/>
      <c r="AL24" s="56"/>
      <c r="AM24" s="56"/>
      <c r="AN24" s="3"/>
      <c r="AO24" s="3"/>
      <c r="AP24" s="1"/>
      <c r="AQ24" s="32"/>
    </row>
    <row r="25" spans="2:43">
      <c r="B25" s="24"/>
      <c r="D25" s="38" t="s">
        <v>272</v>
      </c>
      <c r="E25" s="38"/>
      <c r="F25" s="33"/>
      <c r="G25" s="33"/>
      <c r="H25" s="38" t="s">
        <v>254</v>
      </c>
      <c r="I25" s="38"/>
      <c r="L25" s="38" t="s">
        <v>238</v>
      </c>
      <c r="M25" s="38"/>
      <c r="N25" s="33"/>
      <c r="O25" s="33"/>
      <c r="P25" s="38" t="s">
        <v>220</v>
      </c>
      <c r="Q25" s="38"/>
      <c r="T25" s="38" t="s">
        <v>204</v>
      </c>
      <c r="U25" s="38"/>
      <c r="V25" s="33"/>
      <c r="W25" s="33"/>
      <c r="X25" s="31" t="s">
        <v>186</v>
      </c>
      <c r="Y25" s="31"/>
      <c r="AB25" s="3"/>
      <c r="AC25" s="3"/>
      <c r="AD25" s="56"/>
      <c r="AE25" s="56"/>
      <c r="AF25" s="3"/>
      <c r="AG25" s="3"/>
      <c r="AH25" s="56"/>
      <c r="AI25" s="56"/>
      <c r="AJ25" s="3"/>
      <c r="AK25" s="3"/>
      <c r="AL25" s="56"/>
      <c r="AM25" s="56"/>
      <c r="AN25" s="3"/>
      <c r="AO25" s="3"/>
      <c r="AP25" s="1"/>
      <c r="AQ25" s="32"/>
    </row>
    <row r="26" spans="2:43">
      <c r="B26" s="24"/>
      <c r="D26" s="38" t="s">
        <v>273</v>
      </c>
      <c r="E26" s="38"/>
      <c r="F26" s="33"/>
      <c r="G26" s="33"/>
      <c r="H26" s="38" t="s">
        <v>255</v>
      </c>
      <c r="I26" s="38"/>
      <c r="L26" s="38" t="s">
        <v>239</v>
      </c>
      <c r="M26" s="38"/>
      <c r="N26" s="33"/>
      <c r="O26" s="33"/>
      <c r="P26" s="38" t="s">
        <v>221</v>
      </c>
      <c r="Q26" s="38"/>
      <c r="T26" s="38" t="s">
        <v>205</v>
      </c>
      <c r="U26" s="38"/>
      <c r="V26" s="33"/>
      <c r="W26" s="33"/>
      <c r="X26" s="38" t="s">
        <v>187</v>
      </c>
      <c r="Y26" s="38"/>
      <c r="AB26" s="3"/>
      <c r="AC26" s="3"/>
      <c r="AD26" s="56"/>
      <c r="AE26" s="56"/>
      <c r="AF26" s="3"/>
      <c r="AG26" s="3"/>
      <c r="AH26" s="56"/>
      <c r="AI26" s="56"/>
      <c r="AJ26" s="3"/>
      <c r="AK26" s="3"/>
      <c r="AL26" s="56"/>
      <c r="AM26" s="56"/>
      <c r="AN26" s="3"/>
      <c r="AO26" s="3"/>
      <c r="AP26" s="1"/>
      <c r="AQ26" s="32"/>
    </row>
    <row r="27" spans="2:43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3">
      <c r="B28" s="8"/>
      <c r="C28" s="9"/>
      <c r="D28" s="9"/>
      <c r="E28" s="9"/>
      <c r="F28" s="9"/>
      <c r="G28" s="21" t="s">
        <v>290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291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292</v>
      </c>
      <c r="AN28" s="22"/>
      <c r="AO28" s="9"/>
      <c r="AP28" s="9"/>
      <c r="AQ28" s="10"/>
    </row>
    <row r="29" spans="2:43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4" customHeight="1" spans="2:43">
      <c r="B30" s="11" t="s">
        <v>377</v>
      </c>
      <c r="C30" s="12"/>
      <c r="D30" s="1"/>
      <c r="E30" s="1"/>
      <c r="F30" s="1"/>
      <c r="G30" s="1"/>
      <c r="H30" s="1"/>
      <c r="I30" s="11" t="s">
        <v>378</v>
      </c>
      <c r="J30" s="12"/>
      <c r="K30" s="11" t="s">
        <v>379</v>
      </c>
      <c r="L30" s="12"/>
      <c r="M30" s="1"/>
      <c r="N30" s="1"/>
      <c r="O30" s="1"/>
      <c r="P30" s="11" t="s">
        <v>380</v>
      </c>
      <c r="Q30" s="12"/>
      <c r="R30" s="1"/>
      <c r="S30" s="1"/>
      <c r="T30" s="11" t="s">
        <v>381</v>
      </c>
      <c r="U30" s="12"/>
      <c r="V30" s="1"/>
      <c r="W30" s="1"/>
      <c r="X30" s="1"/>
      <c r="Y30" s="11" t="s">
        <v>382</v>
      </c>
      <c r="Z30" s="12"/>
      <c r="AA30" s="11" t="s">
        <v>383</v>
      </c>
      <c r="AB30" s="12"/>
      <c r="AC30" s="1"/>
      <c r="AD30" s="1"/>
      <c r="AE30" s="1"/>
      <c r="AF30" s="1"/>
      <c r="AG30" s="11" t="s">
        <v>384</v>
      </c>
      <c r="AH30" s="12"/>
      <c r="AI30" s="1"/>
      <c r="AJ30" s="1"/>
      <c r="AK30" s="11" t="s">
        <v>385</v>
      </c>
      <c r="AL30" s="12"/>
      <c r="AM30" s="1"/>
      <c r="AN30" s="1"/>
      <c r="AO30" s="1"/>
      <c r="AP30" s="11" t="s">
        <v>386</v>
      </c>
      <c r="AQ30" s="12"/>
    </row>
    <row r="31" spans="2:43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387</v>
      </c>
      <c r="C33" s="39"/>
      <c r="D33" s="39"/>
      <c r="E33" s="39"/>
      <c r="F33" s="39"/>
      <c r="G33" s="40"/>
      <c r="H33" s="57" t="e">
        <f>getcolorcount($D$9:$AO$26,G33)</f>
        <v>#NAME?</v>
      </c>
    </row>
    <row r="34" spans="2:11">
      <c r="B34" s="39"/>
      <c r="C34" s="39"/>
      <c r="D34" s="39"/>
      <c r="E34" s="39"/>
      <c r="F34" s="39"/>
      <c r="G34" s="42"/>
      <c r="H34" s="57" t="e">
        <f>getcolorcount($D$9:$AO$26,G34)</f>
        <v>#NAME?</v>
      </c>
    </row>
    <row r="35" spans="2:11">
      <c r="B35" s="39"/>
      <c r="C35" s="39"/>
      <c r="D35" s="39"/>
      <c r="E35" s="39"/>
      <c r="F35" s="39"/>
      <c r="G35" s="43"/>
      <c r="H35" s="57" t="e">
        <f>getcolorcount($D$9:$AO$26,G35)</f>
        <v>#NAME?</v>
      </c>
    </row>
    <row r="36" spans="2:11">
      <c r="B36" s="39"/>
      <c r="C36" s="39"/>
      <c r="D36" s="39"/>
      <c r="E36" s="39"/>
      <c r="F36" s="39"/>
      <c r="G36" s="44"/>
      <c r="H36" s="57" t="e">
        <f>getcolorcount($D$9:$AO$26,G36)</f>
        <v>#NAME?</v>
      </c>
      <c r="I36" s="1"/>
      <c r="J36" s="2"/>
      <c r="K36" s="45"/>
    </row>
    <row r="37" spans="2:11">
      <c r="B37" s="46"/>
      <c r="C37" s="46"/>
      <c r="D37" s="46"/>
      <c r="E37" s="46"/>
      <c r="F37" s="46"/>
      <c r="G37" s="47"/>
      <c r="H37" s="1"/>
      <c r="I37" s="1"/>
      <c r="J37" s="35"/>
      <c r="K37" s="45"/>
    </row>
    <row r="38" spans="2:11">
      <c r="B38" s="48" t="s">
        <v>321</v>
      </c>
      <c r="C38" s="48"/>
      <c r="D38" s="48"/>
      <c r="E38" s="48"/>
      <c r="F38" s="41">
        <v>154</v>
      </c>
      <c r="G38" s="1"/>
      <c r="H38" s="1"/>
      <c r="I38" s="1"/>
    </row>
    <row r="39" spans="2:11">
      <c r="B39" s="48" t="s">
        <v>322</v>
      </c>
      <c r="C39" s="48"/>
      <c r="D39" s="48"/>
      <c r="E39" s="48"/>
      <c r="F39" s="41" t="e">
        <f>H36/2</f>
        <v>#NAME?</v>
      </c>
      <c r="G39" s="49"/>
      <c r="H39" s="1"/>
      <c r="I39" s="1"/>
    </row>
    <row r="40" spans="2:11">
      <c r="B40" s="48" t="s">
        <v>323</v>
      </c>
      <c r="C40" s="48"/>
      <c r="D40" s="48"/>
      <c r="E40" s="48"/>
      <c r="F40" s="41" t="e">
        <f>F38-F39</f>
        <v>#NAME?</v>
      </c>
      <c r="G40" s="43"/>
      <c r="H40" s="1"/>
      <c r="I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B1:AX40"/>
  <sheetViews>
    <sheetView showGridLines="0" zoomScale="85" zoomScaleNormal="85" workbookViewId="0">
      <selection activeCell="P39" sqref="P39"/>
    </sheetView>
  </sheetViews>
  <sheetFormatPr defaultColWidth="9" defaultRowHeight="14"/>
  <cols>
    <col min="1" max="3" width="3.66363636363636" customWidth="1"/>
    <col min="4" max="5" width="5.44545454545455" customWidth="1"/>
    <col min="6" max="6" width="6.78181818181818" customWidth="1"/>
    <col min="7" max="7" width="3.66363636363636" customWidth="1"/>
    <col min="8" max="8" width="7.44545454545455" customWidth="1"/>
    <col min="9" max="9" width="5.44545454545455" customWidth="1"/>
    <col min="10" max="11" width="3.66363636363636" customWidth="1"/>
    <col min="12" max="13" width="5.44545454545455" customWidth="1"/>
    <col min="14" max="15" width="3.66363636363636" customWidth="1"/>
    <col min="16" max="17" width="5.44545454545455" customWidth="1"/>
    <col min="18" max="19" width="3.66363636363636" customWidth="1"/>
    <col min="20" max="20" width="5.44545454545455" customWidth="1"/>
    <col min="21" max="21" width="5.10909090909091" customWidth="1"/>
    <col min="22" max="23" width="3.66363636363636" customWidth="1"/>
    <col min="24" max="25" width="5.44545454545455" customWidth="1"/>
    <col min="26" max="27" width="3.66363636363636" customWidth="1"/>
    <col min="28" max="29" width="5.44545454545455" customWidth="1"/>
    <col min="30" max="31" width="3.66363636363636" customWidth="1"/>
    <col min="32" max="33" width="5.44545454545455" customWidth="1"/>
    <col min="34" max="35" width="3.66363636363636" customWidth="1"/>
    <col min="36" max="37" width="5.44545454545455" customWidth="1"/>
    <col min="38" max="39" width="3.66363636363636" customWidth="1"/>
    <col min="40" max="41" width="5.44545454545455" customWidth="1"/>
    <col min="42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1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.05" customHeight="1" spans="2:50">
      <c r="B3" s="11" t="s">
        <v>388</v>
      </c>
      <c r="C3" s="12"/>
      <c r="D3" s="1"/>
      <c r="E3" s="1"/>
      <c r="F3" s="1"/>
      <c r="G3" s="1"/>
      <c r="H3" s="1"/>
      <c r="I3" s="11" t="s">
        <v>389</v>
      </c>
      <c r="J3" s="12"/>
      <c r="K3" s="11" t="s">
        <v>390</v>
      </c>
      <c r="L3" s="12"/>
      <c r="M3" s="1"/>
      <c r="N3" s="1"/>
      <c r="O3" s="1"/>
      <c r="P3" s="11" t="s">
        <v>391</v>
      </c>
      <c r="Q3" s="12"/>
      <c r="R3" s="1"/>
      <c r="S3" s="1"/>
      <c r="T3" s="11" t="s">
        <v>392</v>
      </c>
      <c r="U3" s="12"/>
      <c r="V3" s="1"/>
      <c r="W3" s="1"/>
      <c r="X3" s="1"/>
      <c r="Y3" s="11" t="s">
        <v>393</v>
      </c>
      <c r="Z3" s="12"/>
      <c r="AA3" s="11" t="s">
        <v>394</v>
      </c>
      <c r="AB3" s="12"/>
      <c r="AC3" s="1"/>
      <c r="AD3" s="1"/>
      <c r="AE3" s="1"/>
      <c r="AF3" s="1"/>
      <c r="AG3" s="11" t="s">
        <v>395</v>
      </c>
      <c r="AH3" s="12"/>
      <c r="AI3" s="1"/>
      <c r="AJ3" s="1"/>
      <c r="AK3" s="11" t="s">
        <v>396</v>
      </c>
      <c r="AL3" s="12"/>
      <c r="AM3" s="1"/>
      <c r="AN3" s="1"/>
      <c r="AO3" s="1"/>
      <c r="AP3" s="11" t="s">
        <v>397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290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291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292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25" t="s">
        <v>398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6"/>
      <c r="C7" s="27"/>
      <c r="D7" s="28" t="s">
        <v>294</v>
      </c>
      <c r="E7" s="28"/>
      <c r="F7" s="27"/>
      <c r="G7" s="27"/>
      <c r="H7" s="28" t="s">
        <v>295</v>
      </c>
      <c r="I7" s="28"/>
      <c r="J7" s="27"/>
      <c r="K7" s="27"/>
      <c r="L7" s="28" t="s">
        <v>296</v>
      </c>
      <c r="M7" s="28"/>
      <c r="N7" s="27"/>
      <c r="O7" s="27"/>
      <c r="P7" s="28" t="s">
        <v>297</v>
      </c>
      <c r="Q7" s="28"/>
      <c r="R7" s="27"/>
      <c r="S7" s="27"/>
      <c r="T7" s="28" t="s">
        <v>298</v>
      </c>
      <c r="U7" s="28"/>
      <c r="V7" s="27"/>
      <c r="W7" s="27"/>
      <c r="X7" s="28" t="s">
        <v>299</v>
      </c>
      <c r="Y7" s="28"/>
      <c r="Z7" s="27"/>
      <c r="AA7" s="27"/>
      <c r="AB7" s="28" t="s">
        <v>300</v>
      </c>
      <c r="AC7" s="28"/>
      <c r="AD7" s="27"/>
      <c r="AE7" s="27"/>
      <c r="AF7" s="28" t="s">
        <v>301</v>
      </c>
      <c r="AG7" s="28"/>
      <c r="AH7" s="27"/>
      <c r="AI7" s="27"/>
      <c r="AJ7" s="28" t="s">
        <v>302</v>
      </c>
      <c r="AK7" s="28"/>
      <c r="AL7" s="27"/>
      <c r="AM7" s="27"/>
      <c r="AN7" s="28" t="s">
        <v>303</v>
      </c>
      <c r="AO7" s="28"/>
      <c r="AP7" s="27"/>
      <c r="AQ7" s="29"/>
      <c r="AR7" s="30"/>
      <c r="AU7" s="6"/>
      <c r="AV7" s="6"/>
      <c r="AW7" s="1"/>
    </row>
    <row r="8" spans="2:50">
      <c r="B8" s="24"/>
      <c r="D8" s="31" t="s">
        <v>304</v>
      </c>
      <c r="E8" s="31" t="s">
        <v>305</v>
      </c>
      <c r="F8" s="4"/>
      <c r="G8" s="4"/>
      <c r="H8" s="31" t="s">
        <v>305</v>
      </c>
      <c r="I8" s="31" t="s">
        <v>304</v>
      </c>
      <c r="J8" s="4"/>
      <c r="K8" s="4"/>
      <c r="L8" s="31" t="s">
        <v>304</v>
      </c>
      <c r="M8" s="31" t="s">
        <v>305</v>
      </c>
      <c r="N8" s="4"/>
      <c r="O8" s="4"/>
      <c r="P8" s="31" t="s">
        <v>305</v>
      </c>
      <c r="Q8" s="31" t="s">
        <v>304</v>
      </c>
      <c r="R8" s="4"/>
      <c r="S8" s="4"/>
      <c r="T8" s="31" t="s">
        <v>304</v>
      </c>
      <c r="U8" s="31" t="s">
        <v>305</v>
      </c>
      <c r="V8" s="4"/>
      <c r="W8" s="4"/>
      <c r="X8" s="31" t="s">
        <v>305</v>
      </c>
      <c r="Y8" s="31" t="s">
        <v>304</v>
      </c>
      <c r="Z8" s="4"/>
      <c r="AA8" s="4"/>
      <c r="AB8" s="31" t="s">
        <v>304</v>
      </c>
      <c r="AC8" s="31" t="s">
        <v>305</v>
      </c>
      <c r="AD8" s="4"/>
      <c r="AE8" s="4"/>
      <c r="AF8" s="31" t="s">
        <v>305</v>
      </c>
      <c r="AG8" s="31" t="s">
        <v>304</v>
      </c>
      <c r="AH8" s="4"/>
      <c r="AI8" s="4"/>
      <c r="AJ8" s="31" t="s">
        <v>304</v>
      </c>
      <c r="AK8" s="31" t="s">
        <v>305</v>
      </c>
      <c r="AL8" s="4"/>
      <c r="AM8" s="4"/>
      <c r="AN8" s="31" t="s">
        <v>305</v>
      </c>
      <c r="AO8" s="31" t="s">
        <v>304</v>
      </c>
      <c r="AP8" s="1"/>
      <c r="AQ8" s="32"/>
      <c r="AU8" s="6"/>
      <c r="AV8" s="6"/>
      <c r="AW8" s="1"/>
    </row>
    <row r="9" spans="2:50">
      <c r="B9" s="24"/>
      <c r="D9" s="31" t="s">
        <v>96</v>
      </c>
      <c r="E9" s="31"/>
      <c r="F9" s="33"/>
      <c r="G9" s="33"/>
      <c r="H9" s="31" t="s">
        <v>114</v>
      </c>
      <c r="I9" s="31"/>
      <c r="L9" s="38" t="s">
        <v>137</v>
      </c>
      <c r="M9" s="38"/>
      <c r="N9" s="33"/>
      <c r="O9" s="33"/>
      <c r="P9" s="31" t="s">
        <v>154</v>
      </c>
      <c r="Q9" s="31"/>
      <c r="T9" s="38" t="s">
        <v>172</v>
      </c>
      <c r="U9" s="38"/>
      <c r="V9" s="33"/>
      <c r="W9" s="33"/>
      <c r="X9" s="31" t="s">
        <v>188</v>
      </c>
      <c r="Y9" s="31"/>
      <c r="AB9" s="38" t="s">
        <v>206</v>
      </c>
      <c r="AC9" s="38"/>
      <c r="AD9" s="33"/>
      <c r="AE9" s="33"/>
      <c r="AF9" s="31" t="s">
        <v>222</v>
      </c>
      <c r="AG9" s="31"/>
      <c r="AJ9" s="38" t="s">
        <v>240</v>
      </c>
      <c r="AK9" s="38"/>
      <c r="AL9" s="33"/>
      <c r="AM9" s="33"/>
      <c r="AN9" s="38" t="s">
        <v>256</v>
      </c>
      <c r="AO9" s="38"/>
      <c r="AP9" s="1"/>
      <c r="AQ9" s="32"/>
      <c r="AU9" s="6"/>
      <c r="AV9" s="6"/>
      <c r="AW9" s="1"/>
    </row>
    <row r="10" spans="2:50">
      <c r="B10" s="24"/>
      <c r="D10" s="31" t="s">
        <v>98</v>
      </c>
      <c r="E10" s="31"/>
      <c r="F10" s="33"/>
      <c r="G10" s="33"/>
      <c r="H10" s="31" t="s">
        <v>118</v>
      </c>
      <c r="I10" s="31"/>
      <c r="L10" s="38" t="s">
        <v>139</v>
      </c>
      <c r="M10" s="38"/>
      <c r="N10" s="33"/>
      <c r="O10" s="33"/>
      <c r="P10" s="38" t="s">
        <v>155</v>
      </c>
      <c r="Q10" s="38"/>
      <c r="T10" s="38" t="s">
        <v>173</v>
      </c>
      <c r="U10" s="38"/>
      <c r="V10" s="33"/>
      <c r="W10" s="33"/>
      <c r="X10" s="38" t="s">
        <v>189</v>
      </c>
      <c r="Y10" s="38"/>
      <c r="AB10" s="38" t="s">
        <v>207</v>
      </c>
      <c r="AC10" s="38"/>
      <c r="AD10" s="33"/>
      <c r="AE10" s="33"/>
      <c r="AF10" s="38" t="s">
        <v>223</v>
      </c>
      <c r="AG10" s="38"/>
      <c r="AJ10" s="38" t="s">
        <v>241</v>
      </c>
      <c r="AK10" s="38"/>
      <c r="AL10" s="33"/>
      <c r="AM10" s="33"/>
      <c r="AN10" s="38" t="s">
        <v>257</v>
      </c>
      <c r="AO10" s="38"/>
      <c r="AP10" s="1"/>
      <c r="AQ10" s="32"/>
      <c r="AR10" s="35"/>
      <c r="AU10" s="6"/>
    </row>
    <row r="11" spans="2:50">
      <c r="B11" s="24"/>
      <c r="D11" s="31" t="s">
        <v>100</v>
      </c>
      <c r="E11" s="31"/>
      <c r="F11" s="33"/>
      <c r="G11" s="33"/>
      <c r="H11" s="31" t="s">
        <v>119</v>
      </c>
      <c r="I11" s="31"/>
      <c r="L11" s="38" t="s">
        <v>140</v>
      </c>
      <c r="M11" s="38"/>
      <c r="N11" s="33"/>
      <c r="O11" s="33"/>
      <c r="P11" s="38" t="s">
        <v>156</v>
      </c>
      <c r="Q11" s="38"/>
      <c r="T11" s="38" t="s">
        <v>174</v>
      </c>
      <c r="U11" s="38"/>
      <c r="V11" s="33"/>
      <c r="W11" s="33"/>
      <c r="X11" s="38" t="s">
        <v>190</v>
      </c>
      <c r="Y11" s="38"/>
      <c r="AB11" s="38" t="s">
        <v>208</v>
      </c>
      <c r="AC11" s="38"/>
      <c r="AD11" s="33"/>
      <c r="AE11" s="33"/>
      <c r="AF11" s="38" t="s">
        <v>224</v>
      </c>
      <c r="AG11" s="38"/>
      <c r="AJ11" s="38" t="s">
        <v>242</v>
      </c>
      <c r="AK11" s="38"/>
      <c r="AL11" s="33"/>
      <c r="AM11" s="33"/>
      <c r="AN11" s="38" t="s">
        <v>258</v>
      </c>
      <c r="AO11" s="38"/>
      <c r="AP11" s="1"/>
      <c r="AQ11" s="32"/>
      <c r="AU11" s="6"/>
    </row>
    <row r="12" spans="2:50">
      <c r="B12" s="24"/>
      <c r="D12" s="31" t="s">
        <v>101</v>
      </c>
      <c r="E12" s="31"/>
      <c r="F12" s="33"/>
      <c r="G12" s="33"/>
      <c r="H12" s="31" t="s">
        <v>122</v>
      </c>
      <c r="I12" s="31"/>
      <c r="L12" s="31" t="s">
        <v>141</v>
      </c>
      <c r="M12" s="31"/>
      <c r="N12" s="33"/>
      <c r="O12" s="33"/>
      <c r="P12" s="38" t="s">
        <v>157</v>
      </c>
      <c r="Q12" s="38"/>
      <c r="T12" s="38" t="s">
        <v>175</v>
      </c>
      <c r="U12" s="38"/>
      <c r="V12" s="33"/>
      <c r="W12" s="33"/>
      <c r="X12" s="38" t="s">
        <v>191</v>
      </c>
      <c r="Y12" s="38"/>
      <c r="AB12" s="38" t="s">
        <v>209</v>
      </c>
      <c r="AC12" s="38"/>
      <c r="AD12" s="33"/>
      <c r="AE12" s="33"/>
      <c r="AF12" s="38" t="s">
        <v>225</v>
      </c>
      <c r="AG12" s="38"/>
      <c r="AJ12" s="38" t="s">
        <v>243</v>
      </c>
      <c r="AK12" s="38"/>
      <c r="AL12" s="33"/>
      <c r="AM12" s="33"/>
      <c r="AN12" s="38" t="s">
        <v>259</v>
      </c>
      <c r="AO12" s="38"/>
      <c r="AP12" s="1"/>
      <c r="AQ12" s="32"/>
      <c r="AU12" s="6"/>
    </row>
    <row r="13" spans="2:50">
      <c r="B13" s="24"/>
      <c r="D13" s="31" t="s">
        <v>102</v>
      </c>
      <c r="E13" s="31"/>
      <c r="F13" s="33"/>
      <c r="G13" s="33"/>
      <c r="H13" s="31" t="s">
        <v>123</v>
      </c>
      <c r="I13" s="31"/>
      <c r="L13" s="31" t="s">
        <v>142</v>
      </c>
      <c r="M13" s="31"/>
      <c r="N13" s="33"/>
      <c r="O13" s="33"/>
      <c r="P13" s="38" t="s">
        <v>158</v>
      </c>
      <c r="Q13" s="38"/>
      <c r="T13" s="38" t="s">
        <v>176</v>
      </c>
      <c r="U13" s="38"/>
      <c r="V13" s="33"/>
      <c r="W13" s="33"/>
      <c r="X13" s="38" t="s">
        <v>192</v>
      </c>
      <c r="Y13" s="38"/>
      <c r="AB13" s="38" t="s">
        <v>210</v>
      </c>
      <c r="AC13" s="38"/>
      <c r="AD13" s="33"/>
      <c r="AE13" s="33"/>
      <c r="AF13" s="38" t="s">
        <v>226</v>
      </c>
      <c r="AG13" s="38"/>
      <c r="AJ13" s="38" t="s">
        <v>244</v>
      </c>
      <c r="AK13" s="38"/>
      <c r="AL13" s="33"/>
      <c r="AM13" s="33"/>
      <c r="AN13" s="38" t="s">
        <v>260</v>
      </c>
      <c r="AO13" s="38"/>
      <c r="AP13" s="1"/>
      <c r="AQ13" s="32"/>
    </row>
    <row r="14" spans="2:50">
      <c r="B14" s="24"/>
      <c r="D14" s="31" t="s">
        <v>103</v>
      </c>
      <c r="E14" s="31"/>
      <c r="F14" s="33"/>
      <c r="G14" s="33"/>
      <c r="H14" s="31" t="s">
        <v>124</v>
      </c>
      <c r="I14" s="31"/>
      <c r="L14" s="31" t="s">
        <v>143</v>
      </c>
      <c r="M14" s="31"/>
      <c r="N14" s="33"/>
      <c r="O14" s="33"/>
      <c r="P14" s="38" t="s">
        <v>159</v>
      </c>
      <c r="Q14" s="38"/>
      <c r="T14" s="38" t="s">
        <v>177</v>
      </c>
      <c r="U14" s="38"/>
      <c r="V14" s="33"/>
      <c r="W14" s="33"/>
      <c r="X14" s="38" t="s">
        <v>193</v>
      </c>
      <c r="Y14" s="38"/>
      <c r="AB14" s="38" t="s">
        <v>211</v>
      </c>
      <c r="AC14" s="38"/>
      <c r="AD14" s="33"/>
      <c r="AE14" s="33"/>
      <c r="AF14" s="38" t="s">
        <v>227</v>
      </c>
      <c r="AG14" s="38"/>
      <c r="AJ14" s="38" t="s">
        <v>245</v>
      </c>
      <c r="AK14" s="38"/>
      <c r="AL14" s="33"/>
      <c r="AM14" s="33"/>
      <c r="AN14" s="38" t="s">
        <v>261</v>
      </c>
      <c r="AO14" s="38"/>
      <c r="AP14" s="1"/>
      <c r="AQ14" s="32"/>
    </row>
    <row r="15" spans="2:50">
      <c r="B15" s="24"/>
      <c r="D15" s="31" t="s">
        <v>104</v>
      </c>
      <c r="E15" s="31"/>
      <c r="F15" s="33"/>
      <c r="G15" s="33"/>
      <c r="H15" s="31" t="s">
        <v>125</v>
      </c>
      <c r="I15" s="31"/>
      <c r="L15" s="31" t="s">
        <v>144</v>
      </c>
      <c r="M15" s="31"/>
      <c r="N15" s="33"/>
      <c r="O15" s="33"/>
      <c r="P15" s="38" t="s">
        <v>160</v>
      </c>
      <c r="Q15" s="38"/>
      <c r="T15" s="38" t="s">
        <v>178</v>
      </c>
      <c r="U15" s="38"/>
      <c r="V15" s="33"/>
      <c r="W15" s="33"/>
      <c r="X15" s="38" t="s">
        <v>194</v>
      </c>
      <c r="Y15" s="38"/>
      <c r="AB15" s="38" t="s">
        <v>212</v>
      </c>
      <c r="AC15" s="38"/>
      <c r="AD15" s="33"/>
      <c r="AE15" s="33"/>
      <c r="AF15" s="38" t="s">
        <v>228</v>
      </c>
      <c r="AG15" s="38"/>
      <c r="AJ15" s="38" t="s">
        <v>246</v>
      </c>
      <c r="AK15" s="38"/>
      <c r="AL15" s="33"/>
      <c r="AM15" s="33"/>
      <c r="AN15" s="38" t="s">
        <v>262</v>
      </c>
      <c r="AO15" s="38"/>
      <c r="AP15" s="1"/>
      <c r="AQ15" s="32"/>
    </row>
    <row r="16" spans="2:50">
      <c r="B16" s="24"/>
      <c r="D16" s="31" t="s">
        <v>105</v>
      </c>
      <c r="E16" s="31"/>
      <c r="F16" s="33"/>
      <c r="G16" s="33"/>
      <c r="H16" s="31" t="s">
        <v>126</v>
      </c>
      <c r="I16" s="31"/>
      <c r="L16" s="50" t="s">
        <v>145</v>
      </c>
      <c r="M16" s="31"/>
      <c r="N16" s="33"/>
      <c r="O16" s="33"/>
      <c r="P16" s="38" t="s">
        <v>161</v>
      </c>
      <c r="Q16" s="38"/>
      <c r="T16" s="38" t="s">
        <v>179</v>
      </c>
      <c r="U16" s="38"/>
      <c r="V16" s="33"/>
      <c r="W16" s="33"/>
      <c r="X16" s="38" t="s">
        <v>195</v>
      </c>
      <c r="Y16" s="38"/>
      <c r="AB16" s="38" t="s">
        <v>213</v>
      </c>
      <c r="AC16" s="38"/>
      <c r="AD16" s="33"/>
      <c r="AE16" s="33"/>
      <c r="AF16" s="38" t="s">
        <v>229</v>
      </c>
      <c r="AG16" s="38"/>
      <c r="AJ16" s="38" t="s">
        <v>247</v>
      </c>
      <c r="AK16" s="38"/>
      <c r="AL16" s="33"/>
      <c r="AM16" s="33"/>
      <c r="AN16" s="38" t="s">
        <v>263</v>
      </c>
      <c r="AO16" s="38"/>
      <c r="AP16" s="1"/>
      <c r="AQ16" s="32"/>
    </row>
    <row r="17" spans="2:43">
      <c r="B17" s="24"/>
      <c r="D17" s="31" t="s">
        <v>106</v>
      </c>
      <c r="E17" s="31"/>
      <c r="F17" s="33"/>
      <c r="G17" s="33"/>
      <c r="H17" s="31" t="s">
        <v>127</v>
      </c>
      <c r="I17" s="31"/>
      <c r="L17" s="50" t="s">
        <v>146</v>
      </c>
      <c r="M17" s="31"/>
      <c r="N17" s="33"/>
      <c r="O17" s="33"/>
      <c r="P17" s="38" t="s">
        <v>162</v>
      </c>
      <c r="Q17" s="38"/>
      <c r="T17" s="38" t="s">
        <v>180</v>
      </c>
      <c r="U17" s="38"/>
      <c r="V17" s="33"/>
      <c r="W17" s="33"/>
      <c r="X17" s="38" t="s">
        <v>196</v>
      </c>
      <c r="Y17" s="38"/>
      <c r="AB17" s="38" t="s">
        <v>214</v>
      </c>
      <c r="AC17" s="38"/>
      <c r="AD17" s="33"/>
      <c r="AE17" s="33"/>
      <c r="AF17" s="38" t="s">
        <v>230</v>
      </c>
      <c r="AG17" s="38"/>
      <c r="AJ17" s="38" t="s">
        <v>248</v>
      </c>
      <c r="AK17" s="38"/>
      <c r="AL17" s="33"/>
      <c r="AM17" s="33"/>
      <c r="AN17" s="38" t="s">
        <v>264</v>
      </c>
      <c r="AO17" s="38"/>
      <c r="AP17" s="1"/>
      <c r="AQ17" s="32"/>
    </row>
    <row r="18" spans="2:43">
      <c r="B18" s="24"/>
      <c r="D18" s="31" t="s">
        <v>107</v>
      </c>
      <c r="E18" s="31"/>
      <c r="F18" s="33"/>
      <c r="G18" s="33"/>
      <c r="H18" s="31" t="s">
        <v>128</v>
      </c>
      <c r="I18" s="31"/>
      <c r="L18" s="31" t="s">
        <v>147</v>
      </c>
      <c r="M18" s="31"/>
      <c r="N18" s="33"/>
      <c r="O18" s="33"/>
      <c r="P18" s="38" t="s">
        <v>163</v>
      </c>
      <c r="Q18" s="38"/>
      <c r="T18" s="38" t="s">
        <v>181</v>
      </c>
      <c r="U18" s="38"/>
      <c r="V18" s="33"/>
      <c r="W18" s="33"/>
      <c r="X18" s="38" t="s">
        <v>197</v>
      </c>
      <c r="Y18" s="38"/>
      <c r="AB18" s="38" t="s">
        <v>215</v>
      </c>
      <c r="AC18" s="38"/>
      <c r="AD18" s="33"/>
      <c r="AE18" s="33"/>
      <c r="AF18" s="38" t="s">
        <v>231</v>
      </c>
      <c r="AG18" s="38"/>
      <c r="AJ18" s="38" t="s">
        <v>249</v>
      </c>
      <c r="AK18" s="38"/>
      <c r="AL18" s="33"/>
      <c r="AM18" s="33"/>
      <c r="AN18" s="38" t="s">
        <v>265</v>
      </c>
      <c r="AO18" s="38"/>
      <c r="AP18" s="1"/>
      <c r="AQ18" s="32"/>
    </row>
    <row r="19" spans="2:43">
      <c r="B19" s="24"/>
      <c r="D19" s="36"/>
      <c r="E19" s="36"/>
      <c r="F19" s="33"/>
      <c r="G19" s="33"/>
      <c r="H19" s="31" t="s">
        <v>129</v>
      </c>
      <c r="I19" s="31"/>
      <c r="L19" s="36"/>
      <c r="M19" s="36"/>
      <c r="N19" s="33"/>
      <c r="O19" s="33"/>
      <c r="P19" s="38" t="s">
        <v>164</v>
      </c>
      <c r="Q19" s="38"/>
      <c r="T19" s="36"/>
      <c r="U19" s="36"/>
      <c r="V19" s="33"/>
      <c r="W19" s="33"/>
      <c r="X19" s="38" t="s">
        <v>198</v>
      </c>
      <c r="Y19" s="38"/>
      <c r="AB19" s="36"/>
      <c r="AC19" s="36"/>
      <c r="AD19" s="33"/>
      <c r="AE19" s="33"/>
      <c r="AF19" s="38" t="s">
        <v>232</v>
      </c>
      <c r="AG19" s="38"/>
      <c r="AJ19" s="36"/>
      <c r="AK19" s="36"/>
      <c r="AL19" s="33"/>
      <c r="AM19" s="33"/>
      <c r="AN19" s="38" t="s">
        <v>266</v>
      </c>
      <c r="AO19" s="38"/>
      <c r="AP19" s="1"/>
      <c r="AQ19" s="32"/>
    </row>
    <row r="20" spans="2:43">
      <c r="B20" s="24"/>
      <c r="D20" s="36"/>
      <c r="E20" s="36"/>
      <c r="F20" s="33"/>
      <c r="G20" s="33"/>
      <c r="H20" s="31" t="s">
        <v>130</v>
      </c>
      <c r="I20" s="31"/>
      <c r="L20" s="36"/>
      <c r="M20" s="36"/>
      <c r="N20" s="33"/>
      <c r="O20" s="33"/>
      <c r="P20" s="38" t="s">
        <v>165</v>
      </c>
      <c r="Q20" s="38"/>
      <c r="T20" s="36"/>
      <c r="U20" s="36"/>
      <c r="V20" s="33"/>
      <c r="W20" s="33"/>
      <c r="X20" s="38" t="s">
        <v>199</v>
      </c>
      <c r="Y20" s="38"/>
      <c r="AB20" s="36"/>
      <c r="AC20" s="36"/>
      <c r="AD20" s="33"/>
      <c r="AE20" s="33"/>
      <c r="AF20" s="38" t="s">
        <v>233</v>
      </c>
      <c r="AG20" s="38"/>
      <c r="AJ20" s="36"/>
      <c r="AK20" s="36"/>
      <c r="AL20" s="33"/>
      <c r="AM20" s="33"/>
      <c r="AN20" s="38" t="s">
        <v>267</v>
      </c>
      <c r="AO20" s="38"/>
      <c r="AP20" s="37"/>
      <c r="AQ20" s="32"/>
    </row>
    <row r="21" spans="2:43">
      <c r="B21" s="24"/>
      <c r="D21" s="31" t="s">
        <v>108</v>
      </c>
      <c r="E21" s="31"/>
      <c r="F21" s="33"/>
      <c r="G21" s="33"/>
      <c r="H21" s="31" t="s">
        <v>131</v>
      </c>
      <c r="I21" s="31"/>
      <c r="L21" s="50" t="s">
        <v>148</v>
      </c>
      <c r="M21" s="31"/>
      <c r="N21" s="33"/>
      <c r="O21" s="33"/>
      <c r="P21" s="38" t="s">
        <v>166</v>
      </c>
      <c r="Q21" s="38"/>
      <c r="T21" s="38" t="s">
        <v>182</v>
      </c>
      <c r="U21" s="38"/>
      <c r="V21" s="33"/>
      <c r="W21" s="33"/>
      <c r="X21" s="38" t="s">
        <v>200</v>
      </c>
      <c r="Y21" s="38"/>
      <c r="AB21" s="38" t="s">
        <v>216</v>
      </c>
      <c r="AC21" s="38"/>
      <c r="AD21" s="33"/>
      <c r="AE21" s="33"/>
      <c r="AF21" s="38" t="s">
        <v>234</v>
      </c>
      <c r="AG21" s="38"/>
      <c r="AJ21" s="38" t="s">
        <v>250</v>
      </c>
      <c r="AK21" s="38"/>
      <c r="AL21" s="33"/>
      <c r="AM21" s="33"/>
      <c r="AN21" s="38" t="s">
        <v>268</v>
      </c>
      <c r="AO21" s="38"/>
      <c r="AP21" s="1"/>
      <c r="AQ21" s="32"/>
    </row>
    <row r="22" spans="2:43">
      <c r="B22" s="24"/>
      <c r="D22" s="31" t="s">
        <v>109</v>
      </c>
      <c r="E22" s="31"/>
      <c r="F22" s="33"/>
      <c r="G22" s="33"/>
      <c r="H22" s="31" t="s">
        <v>132</v>
      </c>
      <c r="I22" s="31"/>
      <c r="L22" s="50" t="s">
        <v>149</v>
      </c>
      <c r="M22" s="31"/>
      <c r="N22" s="33"/>
      <c r="O22" s="33"/>
      <c r="P22" s="38" t="s">
        <v>167</v>
      </c>
      <c r="Q22" s="38"/>
      <c r="T22" s="38" t="s">
        <v>183</v>
      </c>
      <c r="U22" s="38"/>
      <c r="V22" s="33"/>
      <c r="W22" s="33"/>
      <c r="X22" s="38" t="s">
        <v>201</v>
      </c>
      <c r="Y22" s="38"/>
      <c r="AB22" s="38" t="s">
        <v>217</v>
      </c>
      <c r="AC22" s="38"/>
      <c r="AD22" s="33"/>
      <c r="AE22" s="33"/>
      <c r="AF22" s="38" t="s">
        <v>235</v>
      </c>
      <c r="AG22" s="38"/>
      <c r="AJ22" s="38" t="s">
        <v>251</v>
      </c>
      <c r="AK22" s="38"/>
      <c r="AL22" s="33"/>
      <c r="AM22" s="33"/>
      <c r="AN22" s="38" t="s">
        <v>269</v>
      </c>
      <c r="AO22" s="38"/>
      <c r="AP22" s="1"/>
      <c r="AQ22" s="32"/>
    </row>
    <row r="23" spans="2:43">
      <c r="B23" s="24"/>
      <c r="D23" s="31" t="s">
        <v>110</v>
      </c>
      <c r="E23" s="31"/>
      <c r="F23" s="33"/>
      <c r="G23" s="33"/>
      <c r="H23" s="31" t="s">
        <v>133</v>
      </c>
      <c r="I23" s="31"/>
      <c r="L23" s="31" t="s">
        <v>150</v>
      </c>
      <c r="M23" s="31"/>
      <c r="N23" s="33"/>
      <c r="O23" s="33"/>
      <c r="P23" s="38" t="s">
        <v>168</v>
      </c>
      <c r="Q23" s="38"/>
      <c r="T23" s="38" t="s">
        <v>184</v>
      </c>
      <c r="U23" s="38"/>
      <c r="V23" s="33"/>
      <c r="W23" s="33"/>
      <c r="X23" s="38" t="s">
        <v>202</v>
      </c>
      <c r="Y23" s="38"/>
      <c r="AB23" s="38" t="s">
        <v>218</v>
      </c>
      <c r="AC23" s="38"/>
      <c r="AD23" s="33"/>
      <c r="AE23" s="33"/>
      <c r="AF23" s="38" t="s">
        <v>236</v>
      </c>
      <c r="AG23" s="38"/>
      <c r="AJ23" s="38" t="s">
        <v>252</v>
      </c>
      <c r="AK23" s="38"/>
      <c r="AL23" s="33"/>
      <c r="AM23" s="33"/>
      <c r="AN23" s="38" t="s">
        <v>270</v>
      </c>
      <c r="AO23" s="38"/>
      <c r="AP23" s="1"/>
      <c r="AQ23" s="32"/>
    </row>
    <row r="24" spans="2:43">
      <c r="B24" s="24"/>
      <c r="D24" s="31" t="s">
        <v>111</v>
      </c>
      <c r="E24" s="31"/>
      <c r="F24" s="33"/>
      <c r="G24" s="33"/>
      <c r="H24" s="31" t="s">
        <v>134</v>
      </c>
      <c r="I24" s="31"/>
      <c r="L24" s="50" t="s">
        <v>151</v>
      </c>
      <c r="M24" s="31"/>
      <c r="N24" s="33"/>
      <c r="O24" s="33"/>
      <c r="P24" s="38" t="s">
        <v>169</v>
      </c>
      <c r="Q24" s="38"/>
      <c r="T24" s="38" t="s">
        <v>185</v>
      </c>
      <c r="U24" s="38"/>
      <c r="V24" s="33"/>
      <c r="W24" s="33"/>
      <c r="X24" s="38" t="s">
        <v>203</v>
      </c>
      <c r="Y24" s="38"/>
      <c r="AB24" s="38" t="s">
        <v>219</v>
      </c>
      <c r="AC24" s="38"/>
      <c r="AD24" s="33"/>
      <c r="AE24" s="33"/>
      <c r="AF24" s="38" t="s">
        <v>237</v>
      </c>
      <c r="AG24" s="38"/>
      <c r="AJ24" s="38" t="s">
        <v>253</v>
      </c>
      <c r="AK24" s="38"/>
      <c r="AL24" s="33"/>
      <c r="AM24" s="33"/>
      <c r="AN24" s="38" t="s">
        <v>271</v>
      </c>
      <c r="AO24" s="38"/>
      <c r="AP24" s="1"/>
      <c r="AQ24" s="32"/>
    </row>
    <row r="25" spans="2:43">
      <c r="B25" s="24"/>
      <c r="D25" s="31" t="s">
        <v>112</v>
      </c>
      <c r="E25" s="31"/>
      <c r="F25" s="33"/>
      <c r="G25" s="33"/>
      <c r="H25" s="31" t="s">
        <v>135</v>
      </c>
      <c r="I25" s="31"/>
      <c r="L25" s="50" t="s">
        <v>152</v>
      </c>
      <c r="M25" s="31"/>
      <c r="N25" s="33"/>
      <c r="O25" s="33"/>
      <c r="P25" s="38" t="s">
        <v>170</v>
      </c>
      <c r="Q25" s="38"/>
      <c r="T25" s="38" t="s">
        <v>186</v>
      </c>
      <c r="U25" s="38"/>
      <c r="V25" s="33"/>
      <c r="W25" s="33"/>
      <c r="X25" s="38" t="s">
        <v>204</v>
      </c>
      <c r="Y25" s="38"/>
      <c r="AB25" s="38" t="s">
        <v>220</v>
      </c>
      <c r="AC25" s="38"/>
      <c r="AD25" s="33"/>
      <c r="AE25" s="33"/>
      <c r="AF25" s="38" t="s">
        <v>238</v>
      </c>
      <c r="AG25" s="38"/>
      <c r="AJ25" s="38" t="s">
        <v>254</v>
      </c>
      <c r="AK25" s="38"/>
      <c r="AL25" s="33"/>
      <c r="AM25" s="33"/>
      <c r="AN25" s="38" t="s">
        <v>272</v>
      </c>
      <c r="AO25" s="38"/>
      <c r="AP25" s="1"/>
      <c r="AQ25" s="32"/>
    </row>
    <row r="26" spans="2:43">
      <c r="B26" s="24"/>
      <c r="D26" s="38" t="s">
        <v>113</v>
      </c>
      <c r="E26" s="38"/>
      <c r="F26" s="33"/>
      <c r="G26" s="33"/>
      <c r="H26" s="31" t="s">
        <v>136</v>
      </c>
      <c r="I26" s="31"/>
      <c r="L26" s="50" t="s">
        <v>153</v>
      </c>
      <c r="M26" s="31"/>
      <c r="N26" s="33"/>
      <c r="O26" s="33"/>
      <c r="P26" s="38" t="s">
        <v>171</v>
      </c>
      <c r="Q26" s="38"/>
      <c r="T26" s="38" t="s">
        <v>187</v>
      </c>
      <c r="U26" s="38"/>
      <c r="V26" s="33"/>
      <c r="W26" s="33"/>
      <c r="X26" s="38" t="s">
        <v>205</v>
      </c>
      <c r="Y26" s="38"/>
      <c r="AB26" s="38" t="s">
        <v>221</v>
      </c>
      <c r="AC26" s="38"/>
      <c r="AD26" s="33"/>
      <c r="AE26" s="33"/>
      <c r="AF26" s="38" t="s">
        <v>239</v>
      </c>
      <c r="AG26" s="38"/>
      <c r="AJ26" s="38" t="s">
        <v>255</v>
      </c>
      <c r="AK26" s="38"/>
      <c r="AL26" s="33"/>
      <c r="AM26" s="33"/>
      <c r="AN26" s="38" t="s">
        <v>273</v>
      </c>
      <c r="AO26" s="38"/>
      <c r="AP26" s="1"/>
      <c r="AQ26" s="32"/>
    </row>
    <row r="27" spans="2:43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3">
      <c r="B28" s="8"/>
      <c r="C28" s="9"/>
      <c r="D28" s="9"/>
      <c r="E28" s="9"/>
      <c r="F28" s="9"/>
      <c r="G28" s="21" t="s">
        <v>290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291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292</v>
      </c>
      <c r="AN28" s="22"/>
      <c r="AO28" s="9"/>
      <c r="AP28" s="9"/>
      <c r="AQ28" s="10"/>
    </row>
    <row r="29" spans="2:43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2.2" customHeight="1" spans="2:43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</row>
    <row r="31" spans="2:43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320</v>
      </c>
      <c r="C33" s="39"/>
      <c r="D33" s="39"/>
      <c r="E33" s="39"/>
      <c r="F33" s="39"/>
      <c r="G33" s="40"/>
      <c r="H33" s="51" t="e">
        <f>getcolorcount($D$9:$AO$27,G33)</f>
        <v>#NAME?</v>
      </c>
    </row>
    <row r="34" spans="2:11">
      <c r="B34" s="39"/>
      <c r="C34" s="39"/>
      <c r="D34" s="39"/>
      <c r="E34" s="39"/>
      <c r="F34" s="39"/>
      <c r="G34" s="42"/>
      <c r="H34" s="51" t="e">
        <f>getcolorcount($D$9:$AO$27,G34)</f>
        <v>#NAME?</v>
      </c>
    </row>
    <row r="35" spans="2:11">
      <c r="B35" s="39"/>
      <c r="C35" s="39"/>
      <c r="D35" s="39"/>
      <c r="E35" s="39"/>
      <c r="F35" s="39"/>
      <c r="G35" s="43"/>
      <c r="H35" s="51" t="e">
        <f>getcolorcount($D$9:$AO$27,G35)</f>
        <v>#NAME?</v>
      </c>
    </row>
    <row r="36" spans="2:11">
      <c r="B36" s="39"/>
      <c r="C36" s="39"/>
      <c r="D36" s="39"/>
      <c r="E36" s="39"/>
      <c r="F36" s="39"/>
      <c r="G36" s="44"/>
      <c r="H36" s="51" t="e">
        <f>getcolorcount($D$9:$AO$27,G36)</f>
        <v>#NAME?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5"/>
      <c r="K37" s="45"/>
    </row>
    <row r="38" spans="2:11">
      <c r="B38" s="48" t="s">
        <v>321</v>
      </c>
      <c r="C38" s="48"/>
      <c r="D38" s="48"/>
      <c r="E38" s="48"/>
      <c r="F38" s="48">
        <v>170</v>
      </c>
      <c r="G38" s="1"/>
      <c r="H38" s="1"/>
    </row>
    <row r="39" spans="2:11">
      <c r="B39" s="48" t="s">
        <v>322</v>
      </c>
      <c r="C39" s="48"/>
      <c r="D39" s="48"/>
      <c r="E39" s="48"/>
      <c r="F39" s="48" t="e">
        <f>H36/2</f>
        <v>#NAME?</v>
      </c>
      <c r="G39" s="49"/>
      <c r="H39" s="1"/>
    </row>
    <row r="40" spans="2:11">
      <c r="B40" s="48" t="s">
        <v>323</v>
      </c>
      <c r="C40" s="48"/>
      <c r="D40" s="48"/>
      <c r="E40" s="48"/>
      <c r="F40" s="48" t="e">
        <f>F38-F39</f>
        <v>#NAME?</v>
      </c>
      <c r="G40" s="43"/>
      <c r="H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fitToPage="1"/>
  </sheetPr>
  <dimension ref="B1:AX40"/>
  <sheetViews>
    <sheetView showGridLines="0" zoomScale="85" zoomScaleNormal="85" topLeftCell="A4" workbookViewId="0">
      <selection activeCell="L37" sqref="L37"/>
    </sheetView>
  </sheetViews>
  <sheetFormatPr defaultColWidth="9" defaultRowHeight="14"/>
  <cols>
    <col min="1" max="3" width="3.66363636363636" customWidth="1"/>
    <col min="4" max="5" width="5.44545454545455" customWidth="1"/>
    <col min="6" max="6" width="7.44545454545455" customWidth="1"/>
    <col min="7" max="7" width="3.66363636363636" customWidth="1"/>
    <col min="8" max="8" width="7.44545454545455" customWidth="1"/>
    <col min="9" max="9" width="5.44545454545455" customWidth="1"/>
    <col min="10" max="11" width="3.66363636363636" customWidth="1"/>
    <col min="12" max="13" width="5.44545454545455" customWidth="1"/>
    <col min="14" max="15" width="3.66363636363636" customWidth="1"/>
    <col min="16" max="17" width="5.44545454545455" customWidth="1"/>
    <col min="18" max="19" width="3.66363636363636" customWidth="1"/>
    <col min="20" max="20" width="4.44545454545455" customWidth="1"/>
    <col min="21" max="21" width="5" customWidth="1"/>
    <col min="22" max="23" width="3.66363636363636" customWidth="1"/>
    <col min="24" max="25" width="5.44545454545455" customWidth="1"/>
    <col min="26" max="27" width="3.66363636363636" customWidth="1"/>
    <col min="28" max="29" width="5.44545454545455" customWidth="1"/>
    <col min="30" max="31" width="3.66363636363636" customWidth="1"/>
    <col min="32" max="33" width="5.44545454545455" customWidth="1"/>
    <col min="34" max="35" width="3.66363636363636" customWidth="1"/>
    <col min="36" max="37" width="5.44545454545455" customWidth="1"/>
    <col min="38" max="39" width="3.66363636363636" customWidth="1"/>
    <col min="40" max="41" width="5.44545454545455" customWidth="1"/>
    <col min="42" max="43" width="3.66363636363636" customWidth="1"/>
    <col min="44" max="44" width="3.66363636363636" style="2" customWidth="1"/>
    <col min="45" max="45" width="16.1090909090909" style="2" customWidth="1"/>
    <col min="46" max="46" width="16.1090909090909" style="3" customWidth="1"/>
    <col min="47" max="47" width="16.1090909090909" style="4" customWidth="1"/>
    <col min="48" max="48" width="4.44545454545455" style="4" customWidth="1"/>
    <col min="49" max="49" width="5.1090909090909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409</v>
      </c>
      <c r="C3" s="12"/>
      <c r="D3" s="1"/>
      <c r="E3" s="1"/>
      <c r="F3" s="1"/>
      <c r="G3" s="1"/>
      <c r="H3" s="1"/>
      <c r="I3" s="11" t="s">
        <v>410</v>
      </c>
      <c r="J3" s="12"/>
      <c r="K3" s="11" t="s">
        <v>411</v>
      </c>
      <c r="L3" s="12"/>
      <c r="M3" s="1"/>
      <c r="N3" s="1"/>
      <c r="O3" s="1"/>
      <c r="P3" s="11" t="s">
        <v>412</v>
      </c>
      <c r="Q3" s="12"/>
      <c r="R3" s="1"/>
      <c r="S3" s="1"/>
      <c r="T3" s="11" t="s">
        <v>413</v>
      </c>
      <c r="U3" s="12"/>
      <c r="V3" s="1"/>
      <c r="W3" s="1"/>
      <c r="X3" s="1"/>
      <c r="Y3" s="11" t="s">
        <v>414</v>
      </c>
      <c r="Z3" s="12"/>
      <c r="AA3" s="11" t="s">
        <v>415</v>
      </c>
      <c r="AB3" s="12"/>
      <c r="AC3" s="1"/>
      <c r="AD3" s="1"/>
      <c r="AE3" s="1"/>
      <c r="AF3" s="1"/>
      <c r="AG3" s="11" t="s">
        <v>416</v>
      </c>
      <c r="AH3" s="12"/>
      <c r="AI3" s="1"/>
      <c r="AJ3" s="1"/>
      <c r="AK3" s="11" t="s">
        <v>417</v>
      </c>
      <c r="AL3" s="12"/>
      <c r="AM3" s="1"/>
      <c r="AN3" s="1"/>
      <c r="AO3" s="1"/>
      <c r="AP3" s="11" t="s">
        <v>418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290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291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292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25" t="s">
        <v>419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6"/>
      <c r="C7" s="27"/>
      <c r="D7" s="28" t="s">
        <v>303</v>
      </c>
      <c r="E7" s="28"/>
      <c r="F7" s="27"/>
      <c r="G7" s="27"/>
      <c r="H7" s="28" t="s">
        <v>302</v>
      </c>
      <c r="I7" s="28"/>
      <c r="J7" s="27"/>
      <c r="K7" s="27"/>
      <c r="L7" s="28" t="s">
        <v>301</v>
      </c>
      <c r="M7" s="28"/>
      <c r="N7" s="27"/>
      <c r="O7" s="27"/>
      <c r="P7" s="28" t="s">
        <v>300</v>
      </c>
      <c r="Q7" s="28"/>
      <c r="R7" s="27"/>
      <c r="S7" s="27"/>
      <c r="T7" s="28" t="s">
        <v>299</v>
      </c>
      <c r="U7" s="28"/>
      <c r="V7" s="27"/>
      <c r="W7" s="27"/>
      <c r="X7" s="28" t="s">
        <v>298</v>
      </c>
      <c r="Y7" s="28"/>
      <c r="Z7" s="27"/>
      <c r="AA7" s="27"/>
      <c r="AB7" s="28" t="s">
        <v>297</v>
      </c>
      <c r="AC7" s="28"/>
      <c r="AD7" s="27"/>
      <c r="AE7" s="27"/>
      <c r="AF7" s="28" t="s">
        <v>296</v>
      </c>
      <c r="AG7" s="28"/>
      <c r="AH7" s="27"/>
      <c r="AI7" s="27"/>
      <c r="AJ7" s="28" t="s">
        <v>295</v>
      </c>
      <c r="AK7" s="28"/>
      <c r="AL7" s="27"/>
      <c r="AM7" s="27"/>
      <c r="AN7" s="28" t="s">
        <v>294</v>
      </c>
      <c r="AO7" s="28"/>
      <c r="AP7" s="27"/>
      <c r="AQ7" s="29"/>
      <c r="AR7" s="30"/>
      <c r="AU7" s="6"/>
      <c r="AV7" s="6"/>
      <c r="AW7" s="1"/>
    </row>
    <row r="8" ht="14.25" customHeight="1" spans="2:50">
      <c r="B8" s="24"/>
      <c r="D8" s="31" t="s">
        <v>304</v>
      </c>
      <c r="E8" s="31" t="s">
        <v>305</v>
      </c>
      <c r="F8" s="4"/>
      <c r="G8" s="4"/>
      <c r="H8" s="31" t="s">
        <v>305</v>
      </c>
      <c r="I8" s="31" t="s">
        <v>304</v>
      </c>
      <c r="J8" s="4"/>
      <c r="K8" s="4"/>
      <c r="L8" s="31" t="s">
        <v>304</v>
      </c>
      <c r="M8" s="31" t="s">
        <v>305</v>
      </c>
      <c r="N8" s="4"/>
      <c r="O8" s="4"/>
      <c r="P8" s="31" t="s">
        <v>305</v>
      </c>
      <c r="Q8" s="31" t="s">
        <v>304</v>
      </c>
      <c r="R8" s="4"/>
      <c r="S8" s="4"/>
      <c r="T8" s="31" t="s">
        <v>304</v>
      </c>
      <c r="U8" s="31" t="s">
        <v>305</v>
      </c>
      <c r="V8" s="4"/>
      <c r="W8" s="4"/>
      <c r="X8" s="31" t="s">
        <v>305</v>
      </c>
      <c r="Y8" s="31" t="s">
        <v>304</v>
      </c>
      <c r="Z8" s="4"/>
      <c r="AA8" s="4"/>
      <c r="AB8" s="31" t="s">
        <v>304</v>
      </c>
      <c r="AC8" s="31" t="s">
        <v>305</v>
      </c>
      <c r="AD8" s="4"/>
      <c r="AE8" s="4"/>
      <c r="AF8" s="31" t="s">
        <v>305</v>
      </c>
      <c r="AG8" s="31" t="s">
        <v>304</v>
      </c>
      <c r="AH8" s="4"/>
      <c r="AI8" s="4"/>
      <c r="AJ8" s="31" t="s">
        <v>304</v>
      </c>
      <c r="AK8" s="31" t="s">
        <v>305</v>
      </c>
      <c r="AL8" s="4"/>
      <c r="AM8" s="4"/>
      <c r="AN8" s="31" t="s">
        <v>305</v>
      </c>
      <c r="AO8" s="31" t="s">
        <v>304</v>
      </c>
      <c r="AP8" s="1"/>
      <c r="AQ8" s="32"/>
      <c r="AU8" s="6"/>
      <c r="AV8" s="6"/>
      <c r="AW8" s="1"/>
    </row>
    <row r="9" spans="2:50">
      <c r="B9" s="24"/>
      <c r="D9" s="31" t="s">
        <v>256</v>
      </c>
      <c r="E9" s="31"/>
      <c r="F9" s="33"/>
      <c r="G9" s="33"/>
      <c r="H9" s="34" t="s">
        <v>240</v>
      </c>
      <c r="I9" s="31"/>
      <c r="L9" s="31" t="s">
        <v>222</v>
      </c>
      <c r="M9" s="31"/>
      <c r="N9" s="33"/>
      <c r="O9" s="33"/>
      <c r="P9" s="31" t="s">
        <v>206</v>
      </c>
      <c r="Q9" s="31"/>
      <c r="T9" s="31" t="s">
        <v>188</v>
      </c>
      <c r="U9" s="31"/>
      <c r="V9" s="33"/>
      <c r="W9" s="33"/>
      <c r="X9" s="31" t="s">
        <v>172</v>
      </c>
      <c r="Y9" s="31"/>
      <c r="AB9" s="31" t="s">
        <v>154</v>
      </c>
      <c r="AC9" s="31"/>
      <c r="AD9" s="33"/>
      <c r="AE9" s="33"/>
      <c r="AF9" s="31" t="s">
        <v>137</v>
      </c>
      <c r="AG9" s="31"/>
      <c r="AJ9" s="31" t="s">
        <v>114</v>
      </c>
      <c r="AK9" s="31"/>
      <c r="AL9" s="33"/>
      <c r="AM9" s="33"/>
      <c r="AN9" s="31" t="s">
        <v>96</v>
      </c>
      <c r="AO9" s="31"/>
      <c r="AP9" s="1"/>
      <c r="AQ9" s="32"/>
      <c r="AU9" s="6"/>
    </row>
    <row r="10" spans="2:50">
      <c r="B10" s="24"/>
      <c r="D10" s="31" t="s">
        <v>257</v>
      </c>
      <c r="E10" s="31"/>
      <c r="F10" s="33"/>
      <c r="G10" s="33"/>
      <c r="H10" s="34" t="s">
        <v>241</v>
      </c>
      <c r="I10" s="31"/>
      <c r="L10" s="31" t="s">
        <v>223</v>
      </c>
      <c r="M10" s="31"/>
      <c r="N10" s="33"/>
      <c r="O10" s="33"/>
      <c r="P10" s="31" t="s">
        <v>207</v>
      </c>
      <c r="Q10" s="31"/>
      <c r="T10" s="31" t="s">
        <v>189</v>
      </c>
      <c r="U10" s="31"/>
      <c r="V10" s="33"/>
      <c r="W10" s="33"/>
      <c r="X10" s="31" t="s">
        <v>173</v>
      </c>
      <c r="Y10" s="31"/>
      <c r="AB10" s="31" t="s">
        <v>155</v>
      </c>
      <c r="AC10" s="31"/>
      <c r="AD10" s="33"/>
      <c r="AE10" s="33"/>
      <c r="AF10" s="31" t="s">
        <v>139</v>
      </c>
      <c r="AG10" s="31"/>
      <c r="AJ10" s="31" t="s">
        <v>118</v>
      </c>
      <c r="AK10" s="31"/>
      <c r="AL10" s="33"/>
      <c r="AM10" s="33"/>
      <c r="AN10" s="31" t="s">
        <v>98</v>
      </c>
      <c r="AO10" s="31"/>
      <c r="AP10" s="1"/>
      <c r="AQ10" s="32"/>
      <c r="AR10" s="35"/>
      <c r="AU10" s="6"/>
    </row>
    <row r="11" spans="2:50">
      <c r="B11" s="24"/>
      <c r="D11" s="31" t="s">
        <v>258</v>
      </c>
      <c r="E11" s="31"/>
      <c r="F11" s="33"/>
      <c r="G11" s="33"/>
      <c r="H11" s="31" t="s">
        <v>242</v>
      </c>
      <c r="I11" s="31"/>
      <c r="L11" s="31" t="s">
        <v>224</v>
      </c>
      <c r="M11" s="31"/>
      <c r="N11" s="33"/>
      <c r="O11" s="33"/>
      <c r="P11" s="31" t="s">
        <v>208</v>
      </c>
      <c r="Q11" s="31"/>
      <c r="T11" s="31" t="s">
        <v>190</v>
      </c>
      <c r="U11" s="31"/>
      <c r="V11" s="33"/>
      <c r="W11" s="33"/>
      <c r="X11" s="31" t="s">
        <v>174</v>
      </c>
      <c r="Y11" s="31"/>
      <c r="AB11" s="31" t="s">
        <v>156</v>
      </c>
      <c r="AC11" s="31"/>
      <c r="AD11" s="33"/>
      <c r="AE11" s="33"/>
      <c r="AF11" s="31" t="s">
        <v>140</v>
      </c>
      <c r="AG11" s="31"/>
      <c r="AJ11" s="31" t="s">
        <v>119</v>
      </c>
      <c r="AK11" s="31"/>
      <c r="AL11" s="33"/>
      <c r="AM11" s="33"/>
      <c r="AN11" s="31" t="s">
        <v>100</v>
      </c>
      <c r="AO11" s="31"/>
      <c r="AP11" s="1"/>
      <c r="AQ11" s="32"/>
      <c r="AU11" s="6"/>
    </row>
    <row r="12" spans="2:50">
      <c r="B12" s="24"/>
      <c r="D12" s="31" t="s">
        <v>259</v>
      </c>
      <c r="E12" s="31"/>
      <c r="F12" s="33"/>
      <c r="G12" s="33"/>
      <c r="H12" s="31" t="s">
        <v>243</v>
      </c>
      <c r="I12" s="31"/>
      <c r="L12" s="31" t="s">
        <v>225</v>
      </c>
      <c r="M12" s="31"/>
      <c r="N12" s="33"/>
      <c r="O12" s="33"/>
      <c r="P12" s="31" t="s">
        <v>209</v>
      </c>
      <c r="Q12" s="31"/>
      <c r="T12" s="31" t="s">
        <v>191</v>
      </c>
      <c r="U12" s="31"/>
      <c r="V12" s="33"/>
      <c r="W12" s="33"/>
      <c r="X12" s="31" t="s">
        <v>175</v>
      </c>
      <c r="Y12" s="31"/>
      <c r="AB12" s="31" t="s">
        <v>157</v>
      </c>
      <c r="AC12" s="31"/>
      <c r="AD12" s="33"/>
      <c r="AE12" s="33"/>
      <c r="AF12" s="31" t="s">
        <v>141</v>
      </c>
      <c r="AG12" s="31"/>
      <c r="AJ12" s="31" t="s">
        <v>122</v>
      </c>
      <c r="AK12" s="31"/>
      <c r="AL12" s="33"/>
      <c r="AM12" s="33"/>
      <c r="AN12" s="31" t="s">
        <v>101</v>
      </c>
      <c r="AO12" s="31"/>
      <c r="AP12" s="1"/>
      <c r="AQ12" s="32"/>
      <c r="AU12" s="6"/>
    </row>
    <row r="13" spans="2:50">
      <c r="B13" s="24"/>
      <c r="D13" s="31" t="s">
        <v>260</v>
      </c>
      <c r="E13" s="31"/>
      <c r="F13" s="33"/>
      <c r="G13" s="33"/>
      <c r="H13" s="31" t="s">
        <v>244</v>
      </c>
      <c r="I13" s="31"/>
      <c r="L13" s="31" t="s">
        <v>226</v>
      </c>
      <c r="M13" s="31"/>
      <c r="N13" s="33"/>
      <c r="O13" s="33"/>
      <c r="P13" s="31" t="s">
        <v>210</v>
      </c>
      <c r="Q13" s="31"/>
      <c r="T13" s="31" t="s">
        <v>192</v>
      </c>
      <c r="U13" s="31"/>
      <c r="V13" s="33"/>
      <c r="W13" s="33"/>
      <c r="X13" s="31" t="s">
        <v>176</v>
      </c>
      <c r="Y13" s="31"/>
      <c r="AB13" s="31" t="s">
        <v>158</v>
      </c>
      <c r="AC13" s="31"/>
      <c r="AD13" s="33"/>
      <c r="AE13" s="33"/>
      <c r="AF13" s="31" t="s">
        <v>142</v>
      </c>
      <c r="AG13" s="31"/>
      <c r="AJ13" s="31" t="s">
        <v>123</v>
      </c>
      <c r="AK13" s="31"/>
      <c r="AL13" s="33"/>
      <c r="AM13" s="33"/>
      <c r="AN13" s="31" t="s">
        <v>102</v>
      </c>
      <c r="AO13" s="31"/>
      <c r="AP13" s="1"/>
      <c r="AQ13" s="32"/>
    </row>
    <row r="14" spans="2:50">
      <c r="B14" s="24"/>
      <c r="D14" s="31" t="s">
        <v>261</v>
      </c>
      <c r="E14" s="31"/>
      <c r="F14" s="33"/>
      <c r="G14" s="33"/>
      <c r="H14" s="31" t="s">
        <v>245</v>
      </c>
      <c r="I14" s="31"/>
      <c r="L14" s="31" t="s">
        <v>227</v>
      </c>
      <c r="M14" s="31"/>
      <c r="N14" s="33"/>
      <c r="O14" s="33"/>
      <c r="P14" s="31" t="s">
        <v>211</v>
      </c>
      <c r="Q14" s="31"/>
      <c r="T14" s="31" t="s">
        <v>193</v>
      </c>
      <c r="U14" s="31"/>
      <c r="V14" s="33"/>
      <c r="W14" s="33"/>
      <c r="X14" s="31" t="s">
        <v>177</v>
      </c>
      <c r="Y14" s="31"/>
      <c r="AB14" s="31" t="s">
        <v>159</v>
      </c>
      <c r="AC14" s="31"/>
      <c r="AD14" s="33"/>
      <c r="AE14" s="33"/>
      <c r="AF14" s="31" t="s">
        <v>143</v>
      </c>
      <c r="AG14" s="31"/>
      <c r="AJ14" s="31" t="s">
        <v>124</v>
      </c>
      <c r="AK14" s="31"/>
      <c r="AL14" s="33"/>
      <c r="AM14" s="33"/>
      <c r="AN14" s="31" t="s">
        <v>103</v>
      </c>
      <c r="AO14" s="31"/>
      <c r="AP14" s="1"/>
      <c r="AQ14" s="32"/>
    </row>
    <row r="15" spans="2:50">
      <c r="B15" s="24"/>
      <c r="D15" s="31" t="s">
        <v>262</v>
      </c>
      <c r="E15" s="31"/>
      <c r="F15" s="33"/>
      <c r="G15" s="33"/>
      <c r="H15" s="31" t="s">
        <v>246</v>
      </c>
      <c r="I15" s="31"/>
      <c r="L15" s="31" t="s">
        <v>228</v>
      </c>
      <c r="M15" s="31"/>
      <c r="N15" s="33"/>
      <c r="O15" s="33"/>
      <c r="P15" s="31" t="s">
        <v>212</v>
      </c>
      <c r="Q15" s="31"/>
      <c r="T15" s="31" t="s">
        <v>194</v>
      </c>
      <c r="U15" s="31"/>
      <c r="V15" s="33"/>
      <c r="W15" s="33"/>
      <c r="X15" s="31" t="s">
        <v>178</v>
      </c>
      <c r="Y15" s="31"/>
      <c r="AB15" s="31" t="s">
        <v>160</v>
      </c>
      <c r="AC15" s="31"/>
      <c r="AD15" s="33"/>
      <c r="AE15" s="33"/>
      <c r="AF15" s="31" t="s">
        <v>144</v>
      </c>
      <c r="AG15" s="31"/>
      <c r="AJ15" s="31" t="s">
        <v>125</v>
      </c>
      <c r="AK15" s="31"/>
      <c r="AL15" s="33"/>
      <c r="AM15" s="33"/>
      <c r="AN15" s="31" t="s">
        <v>104</v>
      </c>
      <c r="AO15" s="31"/>
      <c r="AP15" s="1"/>
      <c r="AQ15" s="32"/>
    </row>
    <row r="16" spans="2:50">
      <c r="B16" s="24"/>
      <c r="D16" s="31" t="s">
        <v>263</v>
      </c>
      <c r="E16" s="31"/>
      <c r="F16" s="33"/>
      <c r="G16" s="33"/>
      <c r="H16" s="31" t="s">
        <v>247</v>
      </c>
      <c r="I16" s="31"/>
      <c r="L16" s="31" t="s">
        <v>229</v>
      </c>
      <c r="M16" s="31"/>
      <c r="N16" s="33"/>
      <c r="O16" s="33"/>
      <c r="P16" s="31" t="s">
        <v>213</v>
      </c>
      <c r="Q16" s="31"/>
      <c r="T16" s="31" t="s">
        <v>195</v>
      </c>
      <c r="U16" s="31"/>
      <c r="V16" s="33"/>
      <c r="W16" s="33"/>
      <c r="X16" s="31" t="s">
        <v>179</v>
      </c>
      <c r="Y16" s="31"/>
      <c r="AB16" s="31" t="s">
        <v>161</v>
      </c>
      <c r="AC16" s="31"/>
      <c r="AD16" s="33"/>
      <c r="AE16" s="33"/>
      <c r="AF16" s="31" t="s">
        <v>145</v>
      </c>
      <c r="AG16" s="31"/>
      <c r="AJ16" s="31" t="s">
        <v>126</v>
      </c>
      <c r="AK16" s="31"/>
      <c r="AL16" s="33"/>
      <c r="AM16" s="33"/>
      <c r="AN16" s="31" t="s">
        <v>105</v>
      </c>
      <c r="AO16" s="31"/>
      <c r="AP16" s="1"/>
      <c r="AQ16" s="32"/>
    </row>
    <row r="17" spans="2:43">
      <c r="B17" s="24"/>
      <c r="D17" s="31" t="s">
        <v>264</v>
      </c>
      <c r="E17" s="31"/>
      <c r="F17" s="33"/>
      <c r="G17" s="33"/>
      <c r="H17" s="31" t="s">
        <v>248</v>
      </c>
      <c r="I17" s="31"/>
      <c r="L17" s="31" t="s">
        <v>230</v>
      </c>
      <c r="M17" s="31"/>
      <c r="N17" s="33"/>
      <c r="O17" s="33"/>
      <c r="P17" s="31" t="s">
        <v>214</v>
      </c>
      <c r="Q17" s="31"/>
      <c r="T17" s="31" t="s">
        <v>196</v>
      </c>
      <c r="U17" s="31"/>
      <c r="V17" s="33"/>
      <c r="W17" s="33"/>
      <c r="X17" s="31" t="s">
        <v>180</v>
      </c>
      <c r="Y17" s="31"/>
      <c r="AB17" s="31" t="s">
        <v>162</v>
      </c>
      <c r="AC17" s="31"/>
      <c r="AD17" s="33"/>
      <c r="AE17" s="33"/>
      <c r="AF17" s="31" t="s">
        <v>146</v>
      </c>
      <c r="AG17" s="31"/>
      <c r="AJ17" s="31" t="s">
        <v>127</v>
      </c>
      <c r="AK17" s="31"/>
      <c r="AL17" s="33"/>
      <c r="AM17" s="33"/>
      <c r="AN17" s="31" t="s">
        <v>106</v>
      </c>
      <c r="AO17" s="31"/>
      <c r="AP17" s="1"/>
      <c r="AQ17" s="32"/>
    </row>
    <row r="18" spans="2:43">
      <c r="B18" s="24"/>
      <c r="D18" s="31" t="s">
        <v>265</v>
      </c>
      <c r="E18" s="31"/>
      <c r="F18" s="33"/>
      <c r="G18" s="33"/>
      <c r="H18" s="31" t="s">
        <v>249</v>
      </c>
      <c r="I18" s="31"/>
      <c r="L18" s="31" t="s">
        <v>231</v>
      </c>
      <c r="M18" s="31"/>
      <c r="N18" s="33"/>
      <c r="O18" s="33"/>
      <c r="P18" s="31" t="s">
        <v>215</v>
      </c>
      <c r="Q18" s="31"/>
      <c r="T18" s="31" t="s">
        <v>197</v>
      </c>
      <c r="U18" s="31"/>
      <c r="V18" s="33"/>
      <c r="W18" s="33"/>
      <c r="X18" s="31" t="s">
        <v>181</v>
      </c>
      <c r="Y18" s="31"/>
      <c r="AB18" s="31" t="s">
        <v>163</v>
      </c>
      <c r="AC18" s="31"/>
      <c r="AD18" s="33"/>
      <c r="AE18" s="33"/>
      <c r="AF18" s="31" t="s">
        <v>147</v>
      </c>
      <c r="AG18" s="31"/>
      <c r="AJ18" s="31" t="s">
        <v>128</v>
      </c>
      <c r="AK18" s="31"/>
      <c r="AL18" s="33"/>
      <c r="AM18" s="33"/>
      <c r="AN18" s="31" t="s">
        <v>107</v>
      </c>
      <c r="AO18" s="31"/>
      <c r="AP18" s="1"/>
      <c r="AQ18" s="32"/>
    </row>
    <row r="19" spans="2:43">
      <c r="B19" s="24"/>
      <c r="D19" s="31" t="s">
        <v>266</v>
      </c>
      <c r="E19" s="31"/>
      <c r="F19" s="33"/>
      <c r="G19" s="33"/>
      <c r="H19" s="36"/>
      <c r="I19" s="36"/>
      <c r="L19" s="31" t="s">
        <v>232</v>
      </c>
      <c r="M19" s="31"/>
      <c r="N19" s="33"/>
      <c r="O19" s="33"/>
      <c r="P19" s="36"/>
      <c r="Q19" s="36"/>
      <c r="T19" s="31" t="s">
        <v>198</v>
      </c>
      <c r="U19" s="31"/>
      <c r="V19" s="33"/>
      <c r="W19" s="33"/>
      <c r="X19" s="36"/>
      <c r="Y19" s="36"/>
      <c r="AB19" s="31" t="s">
        <v>164</v>
      </c>
      <c r="AC19" s="31"/>
      <c r="AD19" s="33"/>
      <c r="AE19" s="33"/>
      <c r="AF19" s="36"/>
      <c r="AG19" s="36"/>
      <c r="AJ19" s="31" t="s">
        <v>129</v>
      </c>
      <c r="AK19" s="31"/>
      <c r="AL19" s="33"/>
      <c r="AM19" s="33"/>
      <c r="AN19" s="36"/>
      <c r="AO19" s="36"/>
      <c r="AP19" s="1"/>
      <c r="AQ19" s="32"/>
    </row>
    <row r="20" spans="2:43">
      <c r="B20" s="24"/>
      <c r="D20" s="31" t="s">
        <v>267</v>
      </c>
      <c r="E20" s="31"/>
      <c r="F20" s="33"/>
      <c r="G20" s="33"/>
      <c r="H20" s="36"/>
      <c r="I20" s="36"/>
      <c r="L20" s="31" t="s">
        <v>233</v>
      </c>
      <c r="M20" s="31"/>
      <c r="N20" s="33"/>
      <c r="O20" s="33"/>
      <c r="P20" s="36"/>
      <c r="Q20" s="36"/>
      <c r="T20" s="31" t="s">
        <v>199</v>
      </c>
      <c r="U20" s="31"/>
      <c r="V20" s="33"/>
      <c r="W20" s="33"/>
      <c r="X20" s="36"/>
      <c r="Y20" s="36"/>
      <c r="AB20" s="31" t="s">
        <v>165</v>
      </c>
      <c r="AC20" s="31"/>
      <c r="AD20" s="33"/>
      <c r="AE20" s="33"/>
      <c r="AF20" s="36"/>
      <c r="AG20" s="36"/>
      <c r="AJ20" s="31" t="s">
        <v>130</v>
      </c>
      <c r="AK20" s="31"/>
      <c r="AL20" s="33"/>
      <c r="AM20" s="33"/>
      <c r="AN20" s="36"/>
      <c r="AO20" s="36"/>
      <c r="AP20" s="37"/>
      <c r="AQ20" s="32"/>
    </row>
    <row r="21" spans="2:43">
      <c r="B21" s="24"/>
      <c r="D21" s="31" t="s">
        <v>268</v>
      </c>
      <c r="E21" s="31"/>
      <c r="F21" s="33"/>
      <c r="G21" s="33"/>
      <c r="H21" s="31" t="s">
        <v>250</v>
      </c>
      <c r="I21" s="31"/>
      <c r="L21" s="31" t="s">
        <v>234</v>
      </c>
      <c r="M21" s="31"/>
      <c r="N21" s="33"/>
      <c r="O21" s="33"/>
      <c r="P21" s="31" t="s">
        <v>216</v>
      </c>
      <c r="Q21" s="31"/>
      <c r="T21" s="31" t="s">
        <v>200</v>
      </c>
      <c r="U21" s="31"/>
      <c r="V21" s="33"/>
      <c r="W21" s="33"/>
      <c r="X21" s="31" t="s">
        <v>182</v>
      </c>
      <c r="Y21" s="31"/>
      <c r="AB21" s="31" t="s">
        <v>166</v>
      </c>
      <c r="AC21" s="31"/>
      <c r="AD21" s="33"/>
      <c r="AE21" s="33"/>
      <c r="AF21" s="31" t="s">
        <v>148</v>
      </c>
      <c r="AG21" s="31"/>
      <c r="AJ21" s="31" t="s">
        <v>131</v>
      </c>
      <c r="AK21" s="31"/>
      <c r="AL21" s="33"/>
      <c r="AM21" s="33"/>
      <c r="AN21" s="31" t="s">
        <v>108</v>
      </c>
      <c r="AO21" s="31"/>
      <c r="AP21" s="1"/>
      <c r="AQ21" s="32"/>
    </row>
    <row r="22" spans="2:43">
      <c r="B22" s="24"/>
      <c r="D22" s="31" t="s">
        <v>269</v>
      </c>
      <c r="E22" s="31"/>
      <c r="F22" s="33"/>
      <c r="G22" s="33"/>
      <c r="H22" s="31" t="s">
        <v>251</v>
      </c>
      <c r="I22" s="31"/>
      <c r="L22" s="31" t="s">
        <v>235</v>
      </c>
      <c r="M22" s="31"/>
      <c r="N22" s="33"/>
      <c r="O22" s="33"/>
      <c r="P22" s="31" t="s">
        <v>217</v>
      </c>
      <c r="Q22" s="31"/>
      <c r="T22" s="31" t="s">
        <v>201</v>
      </c>
      <c r="U22" s="31"/>
      <c r="V22" s="33"/>
      <c r="W22" s="33"/>
      <c r="X22" s="31" t="s">
        <v>183</v>
      </c>
      <c r="Y22" s="31"/>
      <c r="AB22" s="31" t="s">
        <v>167</v>
      </c>
      <c r="AC22" s="31"/>
      <c r="AD22" s="33"/>
      <c r="AE22" s="33"/>
      <c r="AF22" s="31" t="s">
        <v>149</v>
      </c>
      <c r="AG22" s="31"/>
      <c r="AJ22" s="31" t="s">
        <v>132</v>
      </c>
      <c r="AK22" s="31"/>
      <c r="AL22" s="33"/>
      <c r="AM22" s="33"/>
      <c r="AN22" s="31" t="s">
        <v>109</v>
      </c>
      <c r="AO22" s="31"/>
      <c r="AP22" s="1"/>
      <c r="AQ22" s="32"/>
    </row>
    <row r="23" spans="2:43">
      <c r="B23" s="24"/>
      <c r="D23" s="31" t="s">
        <v>270</v>
      </c>
      <c r="E23" s="31"/>
      <c r="F23" s="33"/>
      <c r="G23" s="33"/>
      <c r="H23" s="31" t="s">
        <v>252</v>
      </c>
      <c r="I23" s="31"/>
      <c r="L23" s="31" t="s">
        <v>236</v>
      </c>
      <c r="M23" s="31"/>
      <c r="N23" s="33"/>
      <c r="O23" s="33"/>
      <c r="P23" s="31" t="s">
        <v>218</v>
      </c>
      <c r="Q23" s="31"/>
      <c r="T23" s="31" t="s">
        <v>202</v>
      </c>
      <c r="U23" s="31"/>
      <c r="V23" s="33"/>
      <c r="W23" s="33"/>
      <c r="X23" s="31" t="s">
        <v>184</v>
      </c>
      <c r="Y23" s="31"/>
      <c r="AB23" s="31" t="s">
        <v>168</v>
      </c>
      <c r="AC23" s="31"/>
      <c r="AD23" s="33"/>
      <c r="AE23" s="33"/>
      <c r="AF23" s="31" t="s">
        <v>150</v>
      </c>
      <c r="AG23" s="31"/>
      <c r="AJ23" s="31" t="s">
        <v>133</v>
      </c>
      <c r="AK23" s="31"/>
      <c r="AL23" s="33"/>
      <c r="AM23" s="33"/>
      <c r="AN23" s="31" t="s">
        <v>110</v>
      </c>
      <c r="AO23" s="31"/>
      <c r="AP23" s="1"/>
      <c r="AQ23" s="32"/>
    </row>
    <row r="24" spans="2:43">
      <c r="B24" s="24"/>
      <c r="D24" s="38" t="s">
        <v>271</v>
      </c>
      <c r="E24" s="38"/>
      <c r="F24" s="33"/>
      <c r="G24" s="33"/>
      <c r="H24" s="31" t="s">
        <v>253</v>
      </c>
      <c r="I24" s="31"/>
      <c r="L24" s="31" t="s">
        <v>237</v>
      </c>
      <c r="M24" s="31"/>
      <c r="N24" s="33"/>
      <c r="O24" s="33"/>
      <c r="P24" s="31" t="s">
        <v>219</v>
      </c>
      <c r="Q24" s="31"/>
      <c r="T24" s="31" t="s">
        <v>203</v>
      </c>
      <c r="U24" s="31"/>
      <c r="V24" s="33"/>
      <c r="W24" s="33"/>
      <c r="X24" s="31" t="s">
        <v>185</v>
      </c>
      <c r="Y24" s="31"/>
      <c r="AB24" s="31" t="s">
        <v>169</v>
      </c>
      <c r="AC24" s="31"/>
      <c r="AD24" s="33"/>
      <c r="AE24" s="33"/>
      <c r="AF24" s="31" t="s">
        <v>151</v>
      </c>
      <c r="AG24" s="31"/>
      <c r="AJ24" s="31" t="s">
        <v>134</v>
      </c>
      <c r="AK24" s="31"/>
      <c r="AL24" s="33"/>
      <c r="AM24" s="33"/>
      <c r="AN24" s="31" t="s">
        <v>111</v>
      </c>
      <c r="AO24" s="31"/>
      <c r="AP24" s="1"/>
      <c r="AQ24" s="32"/>
    </row>
    <row r="25" spans="2:43">
      <c r="B25" s="24"/>
      <c r="D25" s="38" t="s">
        <v>272</v>
      </c>
      <c r="E25" s="38"/>
      <c r="F25" s="33"/>
      <c r="G25" s="33"/>
      <c r="H25" s="31" t="s">
        <v>254</v>
      </c>
      <c r="I25" s="31"/>
      <c r="L25" s="38" t="s">
        <v>238</v>
      </c>
      <c r="M25" s="38"/>
      <c r="N25" s="33"/>
      <c r="O25" s="33"/>
      <c r="P25" s="31" t="s">
        <v>220</v>
      </c>
      <c r="Q25" s="31"/>
      <c r="T25" s="38" t="s">
        <v>204</v>
      </c>
      <c r="U25" s="38"/>
      <c r="V25" s="33"/>
      <c r="W25" s="33"/>
      <c r="X25" s="31" t="s">
        <v>186</v>
      </c>
      <c r="Y25" s="31"/>
      <c r="AB25" s="38" t="s">
        <v>170</v>
      </c>
      <c r="AC25" s="38"/>
      <c r="AD25" s="33"/>
      <c r="AE25" s="33"/>
      <c r="AF25" s="31" t="s">
        <v>152</v>
      </c>
      <c r="AG25" s="31"/>
      <c r="AJ25" s="38" t="s">
        <v>135</v>
      </c>
      <c r="AK25" s="38"/>
      <c r="AL25" s="33"/>
      <c r="AM25" s="33"/>
      <c r="AN25" s="31" t="s">
        <v>112</v>
      </c>
      <c r="AO25" s="31"/>
      <c r="AP25" s="1"/>
      <c r="AQ25" s="32"/>
    </row>
    <row r="26" spans="2:43">
      <c r="B26" s="24"/>
      <c r="D26" s="38" t="s">
        <v>273</v>
      </c>
      <c r="E26" s="38"/>
      <c r="F26" s="33"/>
      <c r="G26" s="33"/>
      <c r="H26" s="38" t="s">
        <v>255</v>
      </c>
      <c r="I26" s="38"/>
      <c r="L26" s="38" t="s">
        <v>239</v>
      </c>
      <c r="M26" s="38"/>
      <c r="N26" s="33"/>
      <c r="O26" s="33"/>
      <c r="P26" s="38" t="s">
        <v>221</v>
      </c>
      <c r="Q26" s="38"/>
      <c r="T26" s="38" t="s">
        <v>205</v>
      </c>
      <c r="U26" s="38"/>
      <c r="V26" s="33"/>
      <c r="W26" s="33"/>
      <c r="X26" s="38" t="s">
        <v>187</v>
      </c>
      <c r="Y26" s="38"/>
      <c r="AB26" s="38" t="s">
        <v>171</v>
      </c>
      <c r="AC26" s="38"/>
      <c r="AD26" s="33"/>
      <c r="AE26" s="33"/>
      <c r="AF26" s="38" t="s">
        <v>153</v>
      </c>
      <c r="AG26" s="38"/>
      <c r="AJ26" s="38" t="s">
        <v>136</v>
      </c>
      <c r="AK26" s="38"/>
      <c r="AL26" s="33"/>
      <c r="AM26" s="33"/>
      <c r="AN26" s="38" t="s">
        <v>113</v>
      </c>
      <c r="AO26" s="38"/>
      <c r="AP26" s="1"/>
      <c r="AQ26" s="32"/>
    </row>
    <row r="27" spans="2:43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3">
      <c r="B28" s="8"/>
      <c r="C28" s="9"/>
      <c r="D28" s="9"/>
      <c r="E28" s="9"/>
      <c r="F28" s="9"/>
      <c r="G28" s="21" t="s">
        <v>290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291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292</v>
      </c>
      <c r="AN28" s="22"/>
      <c r="AO28" s="9"/>
      <c r="AP28" s="9"/>
      <c r="AQ28" s="10"/>
    </row>
    <row r="29" spans="2:43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8" customHeight="1" spans="2:43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</row>
    <row r="31" spans="2:43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387</v>
      </c>
      <c r="C33" s="39"/>
      <c r="D33" s="39"/>
      <c r="E33" s="39"/>
      <c r="F33" s="39"/>
      <c r="G33" s="40"/>
      <c r="H33" s="41" t="e">
        <f>getcolorcount($D$9:$AO$27,G33)</f>
        <v>#NAME?</v>
      </c>
    </row>
    <row r="34" spans="2:11">
      <c r="B34" s="39"/>
      <c r="C34" s="39"/>
      <c r="D34" s="39"/>
      <c r="E34" s="39"/>
      <c r="F34" s="39"/>
      <c r="G34" s="42"/>
      <c r="H34" s="41" t="e">
        <f>getcolorcount($D$9:$AO$27,G34)</f>
        <v>#NAME?</v>
      </c>
    </row>
    <row r="35" spans="2:11">
      <c r="B35" s="39"/>
      <c r="C35" s="39"/>
      <c r="D35" s="39"/>
      <c r="E35" s="39"/>
      <c r="F35" s="39"/>
      <c r="G35" s="43"/>
      <c r="H35" s="41" t="e">
        <f>getcolorcount($D$9:$AO$27,G35)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getcolorcount($D$9:$AO$27,G36)</f>
        <v>#NAME?</v>
      </c>
      <c r="I36" s="1"/>
      <c r="J36" s="2"/>
      <c r="K36" s="45"/>
    </row>
    <row r="37" spans="2:11">
      <c r="B37" s="46"/>
      <c r="C37" s="46"/>
      <c r="D37" s="46"/>
      <c r="E37" s="46"/>
      <c r="F37" s="46"/>
      <c r="G37" s="47"/>
      <c r="H37" s="1"/>
      <c r="I37" s="1"/>
      <c r="J37" s="35"/>
      <c r="K37" s="45"/>
    </row>
    <row r="38" spans="2:11">
      <c r="B38" s="48" t="s">
        <v>321</v>
      </c>
      <c r="C38" s="48"/>
      <c r="D38" s="48"/>
      <c r="E38" s="48"/>
      <c r="F38" s="41">
        <v>170</v>
      </c>
      <c r="G38" s="1"/>
      <c r="H38" s="1"/>
      <c r="I38" s="1"/>
    </row>
    <row r="39" spans="2:11">
      <c r="B39" s="48" t="s">
        <v>322</v>
      </c>
      <c r="C39" s="48"/>
      <c r="D39" s="48"/>
      <c r="E39" s="48"/>
      <c r="F39" s="41" t="e">
        <f>H36/2</f>
        <v>#NAME?</v>
      </c>
      <c r="G39" s="49"/>
      <c r="H39" s="1"/>
      <c r="I39" s="1"/>
    </row>
    <row r="40" spans="2:11">
      <c r="B40" s="48" t="s">
        <v>323</v>
      </c>
      <c r="C40" s="48"/>
      <c r="D40" s="48"/>
      <c r="E40" s="48"/>
      <c r="F40" s="41" t="e">
        <f>F38-F39</f>
        <v>#NAME?</v>
      </c>
      <c r="G40" s="43"/>
      <c r="H40" s="1"/>
      <c r="I40" s="1"/>
    </row>
  </sheetData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机柜上电汇总表</vt:lpstr>
      <vt:lpstr>机柜上下电时间统计</vt:lpstr>
      <vt:lpstr>201-M2机柜平面图 </vt:lpstr>
      <vt:lpstr>202-M1机柜平面图</vt:lpstr>
      <vt:lpstr>301-M4机柜平面图</vt:lpstr>
      <vt:lpstr>302-M3机柜平面图 </vt:lpstr>
      <vt:lpstr>401-M6机柜平面图</vt:lpstr>
      <vt:lpstr>402-M5机柜平面图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皮皮瞎</cp:lastModifiedBy>
  <dcterms:created xsi:type="dcterms:W3CDTF">2006-09-16T00:00:00Z</dcterms:created>
  <dcterms:modified xsi:type="dcterms:W3CDTF">2026-09-20T10:56:27Z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4F5B6F79C2B14B368BE584DF93C169A3_12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