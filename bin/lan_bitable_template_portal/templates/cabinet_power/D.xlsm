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重要\1、平时处理工作文件\5.机柜上电情况\D楼机柜上电情况\"/>
    </mc:Choice>
  </mc:AlternateContent>
  <bookViews>
    <workbookView xWindow="0" yWindow="0" windowWidth="22188" windowHeight="8736" tabRatio="745" activeTab="1"/>
  </bookViews>
  <sheets>
    <sheet name="机柜上电汇总表" sheetId="3" r:id="rId1"/>
    <sheet name="机柜上下电时间统计" sheetId="17" r:id="rId2"/>
    <sheet name="201-M2机柜平面图 " sheetId="4" r:id="rId3"/>
    <sheet name="202-M1机柜平面图" sheetId="10" r:id="rId4"/>
    <sheet name="301-M4机柜平面图" sheetId="16" r:id="rId5"/>
    <sheet name="302-M3机柜平面图 " sheetId="13" r:id="rId6"/>
    <sheet name="401-M6机柜平面图" sheetId="15" r:id="rId7"/>
    <sheet name="402-M5机柜平面图" sheetId="14" r:id="rId8"/>
  </sheets>
  <functionGroups builtInGroupCount="18"/>
  <definedNames>
    <definedName name="_xlnm._FilterDatabase" localSheetId="2" hidden="1">'201-M2机柜平面图 '!$D$8:$AO$8</definedName>
    <definedName name="_xlnm._FilterDatabase" localSheetId="3" hidden="1">'202-M1机柜平面图'!$D$8:$AO$8</definedName>
    <definedName name="_xlnm._FilterDatabase" localSheetId="4" hidden="1">'301-M4机柜平面图'!$D$8:$AO$8</definedName>
    <definedName name="_xlnm._FilterDatabase" localSheetId="5" hidden="1">'302-M3机柜平面图 '!$D$8:$AO$8</definedName>
    <definedName name="_xlnm._FilterDatabase" localSheetId="6" hidden="1">'401-M6机柜平面图'!$D$8:$AO$8</definedName>
    <definedName name="_xlnm._FilterDatabase" localSheetId="7" hidden="1">'402-M5机柜平面图'!$D$8:$AO$8</definedName>
    <definedName name="_xlnm._FilterDatabase" localSheetId="1" hidden="1">机柜上下电时间统计!$A$1:$J$989</definedName>
    <definedName name="颜色" localSheetId="3">'202-M1机柜平面图'!$J$9</definedName>
    <definedName name="颜色" localSheetId="4">'301-M4机柜平面图'!$J$9</definedName>
    <definedName name="颜色" localSheetId="5">'302-M3机柜平面图 '!$J$9</definedName>
    <definedName name="颜色" localSheetId="6">'401-M6机柜平面图'!$J$9</definedName>
    <definedName name="颜色" localSheetId="7">'402-M5机柜平面图'!$J$9</definedName>
    <definedName name="颜色">'201-M2机柜平面图 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" i="3" l="1"/>
  <c r="J40" i="3"/>
  <c r="E72" i="3"/>
  <c r="E71" i="3"/>
  <c r="K40" i="3" l="1"/>
  <c r="I39" i="3"/>
  <c r="E70" i="3"/>
  <c r="K39" i="3" l="1"/>
  <c r="J39" i="3"/>
  <c r="E69" i="3"/>
  <c r="I38" i="3" l="1"/>
  <c r="K38" i="3" s="1"/>
  <c r="J38" i="3"/>
  <c r="E68" i="3"/>
  <c r="I37" i="3" l="1"/>
  <c r="E67" i="3"/>
  <c r="E66" i="3" l="1"/>
  <c r="K37" i="3"/>
  <c r="J37" i="3"/>
  <c r="I36" i="3" l="1"/>
  <c r="J36" i="3"/>
  <c r="K36" i="3" s="1"/>
  <c r="E65" i="3"/>
  <c r="I35" i="3" l="1"/>
  <c r="K35" i="3"/>
  <c r="J35" i="3"/>
  <c r="E64" i="3"/>
  <c r="I34" i="3" l="1"/>
  <c r="AZ36" i="10"/>
  <c r="AZ35" i="10"/>
  <c r="AZ34" i="10"/>
  <c r="AZ33" i="10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K34" i="3"/>
  <c r="J34" i="3"/>
  <c r="E34" i="3"/>
  <c r="K33" i="3"/>
  <c r="J33" i="3"/>
  <c r="I33" i="3"/>
  <c r="E33" i="3"/>
  <c r="K32" i="3"/>
  <c r="J32" i="3"/>
  <c r="I32" i="3"/>
  <c r="E32" i="3"/>
  <c r="K31" i="3"/>
  <c r="J31" i="3"/>
  <c r="I31" i="3"/>
  <c r="E31" i="3"/>
  <c r="K30" i="3"/>
  <c r="J30" i="3"/>
  <c r="I30" i="3"/>
  <c r="E30" i="3"/>
  <c r="K29" i="3"/>
  <c r="J29" i="3"/>
  <c r="I29" i="3"/>
  <c r="E29" i="3"/>
  <c r="K28" i="3"/>
  <c r="J28" i="3"/>
  <c r="I28" i="3"/>
  <c r="E28" i="3"/>
  <c r="K27" i="3"/>
  <c r="J27" i="3"/>
  <c r="I27" i="3"/>
  <c r="E27" i="3"/>
  <c r="K26" i="3"/>
  <c r="J26" i="3"/>
  <c r="I26" i="3"/>
  <c r="E26" i="3"/>
  <c r="K25" i="3"/>
  <c r="E25" i="3"/>
  <c r="K24" i="3"/>
  <c r="J24" i="3"/>
  <c r="I24" i="3"/>
  <c r="E24" i="3"/>
  <c r="K23" i="3"/>
  <c r="J23" i="3"/>
  <c r="I23" i="3"/>
  <c r="E23" i="3"/>
  <c r="K22" i="3"/>
  <c r="E22" i="3"/>
  <c r="K21" i="3"/>
  <c r="J21" i="3"/>
  <c r="I21" i="3"/>
  <c r="K20" i="3"/>
  <c r="J20" i="3"/>
  <c r="I20" i="3"/>
  <c r="K19" i="3"/>
  <c r="K18" i="3"/>
  <c r="I18" i="3"/>
  <c r="K17" i="3"/>
  <c r="K16" i="3"/>
  <c r="I16" i="3"/>
  <c r="K15" i="3"/>
  <c r="I15" i="3"/>
  <c r="K14" i="3"/>
  <c r="I14" i="3"/>
  <c r="I10" i="3"/>
  <c r="H10" i="3"/>
  <c r="F10" i="3"/>
  <c r="E10" i="3"/>
  <c r="B10" i="3"/>
  <c r="J9" i="3"/>
  <c r="H9" i="3"/>
  <c r="G9" i="3"/>
  <c r="G10" i="3" s="1"/>
  <c r="J8" i="3"/>
  <c r="H8" i="3"/>
  <c r="G8" i="3"/>
  <c r="J7" i="3"/>
  <c r="H7" i="3"/>
  <c r="G7" i="3"/>
  <c r="J6" i="3"/>
  <c r="H6" i="3"/>
  <c r="G6" i="3"/>
  <c r="J5" i="3"/>
  <c r="H5" i="3"/>
  <c r="G5" i="3"/>
  <c r="J4" i="3"/>
  <c r="H4" i="3"/>
  <c r="G4" i="3"/>
  <c r="H36" i="14"/>
  <c r="H35" i="14"/>
  <c r="H34" i="14"/>
  <c r="H33" i="14"/>
  <c r="H37" i="10"/>
  <c r="H36" i="10"/>
  <c r="H35" i="10"/>
  <c r="H34" i="10"/>
  <c r="H34" i="13"/>
  <c r="H33" i="13"/>
  <c r="H36" i="13"/>
  <c r="H35" i="13"/>
  <c r="H35" i="15"/>
  <c r="H36" i="15"/>
  <c r="H34" i="15"/>
  <c r="H33" i="15"/>
  <c r="H33" i="16"/>
  <c r="H36" i="16"/>
  <c r="H35" i="16"/>
  <c r="H34" i="16"/>
  <c r="H33" i="4"/>
  <c r="H35" i="4"/>
  <c r="H36" i="4"/>
  <c r="H34" i="4"/>
  <c r="K10" i="3" l="1"/>
  <c r="J10" i="3"/>
  <c r="F39" i="14"/>
  <c r="F39" i="15"/>
  <c r="F39" i="13"/>
  <c r="F39" i="16"/>
  <c r="F39" i="4"/>
  <c r="F40" i="10"/>
  <c r="F40" i="14" l="1"/>
  <c r="D8" i="3" s="1"/>
  <c r="C8" i="3"/>
  <c r="C9" i="3"/>
  <c r="F40" i="15"/>
  <c r="D9" i="3" s="1"/>
  <c r="C6" i="3"/>
  <c r="F40" i="13"/>
  <c r="D6" i="3" s="1"/>
  <c r="F40" i="16"/>
  <c r="D7" i="3" s="1"/>
  <c r="C7" i="3"/>
  <c r="F40" i="4"/>
  <c r="D5" i="3" s="1"/>
  <c r="C5" i="3"/>
  <c r="F41" i="10"/>
  <c r="D4" i="3" s="1"/>
  <c r="C4" i="3"/>
  <c r="C10" i="3" l="1"/>
  <c r="D10" i="3"/>
</calcChain>
</file>

<file path=xl/comments1.xml><?xml version="1.0" encoding="utf-8"?>
<comments xmlns="http://schemas.openxmlformats.org/spreadsheetml/2006/main">
  <authors>
    <author>作者</author>
  </authors>
  <commentList>
    <comment ref="F3" authorId="0" shape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此列需手动填写</t>
        </r>
      </text>
    </comment>
    <comment ref="I3" authorId="0" shapeId="0">
      <text>
        <r>
          <rPr>
            <b/>
            <sz val="9"/>
            <rFont val="宋体"/>
            <charset val="134"/>
          </rPr>
          <t>汪建波:此列需手动填写</t>
        </r>
      </text>
    </comment>
  </commentList>
</comments>
</file>

<file path=xl/comments2.xml><?xml version="1.0" encoding="utf-8"?>
<comments xmlns="http://schemas.openxmlformats.org/spreadsheetml/2006/main">
  <authors>
    <author>陶必亮</author>
  </authors>
  <commentList>
    <comment ref="M482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因自服务安装问题5月17号上电失败，结单邮件于21日发送实际上电时间5月21日</t>
        </r>
      </text>
    </comment>
    <comment ref="S923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40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41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M956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57" authorId="0" shape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</commentList>
</comments>
</file>

<file path=xl/sharedStrings.xml><?xml version="1.0" encoding="utf-8"?>
<sst xmlns="http://schemas.openxmlformats.org/spreadsheetml/2006/main" count="8390" uniqueCount="430">
  <si>
    <t>D楼机柜上电情况汇总表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</si>
  <si>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</si>
  <si>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</si>
  <si>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</si>
  <si>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</si>
  <si>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</si>
  <si>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</si>
  <si>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</si>
  <si>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</si>
  <si>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</si>
  <si>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</si>
  <si>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</si>
  <si>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</si>
  <si>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</si>
  <si>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</si>
  <si>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</si>
  <si>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r>
      <rPr>
        <b/>
        <sz val="11"/>
        <color theme="1"/>
        <rFont val="宋体"/>
        <charset val="134"/>
        <scheme val="minor"/>
      </rPr>
      <t>D栋202</t>
    </r>
    <r>
      <rPr>
        <b/>
        <sz val="11"/>
        <color theme="1"/>
        <rFont val="宋体"/>
        <charset val="134"/>
        <scheme val="minor"/>
      </rPr>
      <t>4</t>
    </r>
    <r>
      <rPr>
        <b/>
        <sz val="11"/>
        <color theme="1"/>
        <rFont val="宋体"/>
        <charset val="134"/>
        <scheme val="minor"/>
      </rPr>
      <t>年上、下电总数量统计</t>
    </r>
  </si>
  <si>
    <t>序号</t>
  </si>
  <si>
    <t>日期</t>
  </si>
  <si>
    <t>上电数量（个）</t>
  </si>
  <si>
    <t>下电数量（个）</t>
  </si>
  <si>
    <t>现场上电总数量（个）</t>
  </si>
  <si>
    <t>月份</t>
  </si>
  <si>
    <r>
      <rPr>
        <sz val="11"/>
        <color theme="1"/>
        <rFont val="宋体"/>
        <charset val="134"/>
        <scheme val="minor"/>
      </rPr>
      <t>2024.5.1</t>
    </r>
    <r>
      <rPr>
        <sz val="11"/>
        <color theme="1"/>
        <rFont val="宋体"/>
        <charset val="134"/>
        <scheme val="minor"/>
      </rPr>
      <t>7</t>
    </r>
  </si>
  <si>
    <r>
      <rPr>
        <sz val="11"/>
        <color theme="1"/>
        <rFont val="宋体"/>
        <charset val="134"/>
        <scheme val="minor"/>
      </rPr>
      <t>2024.5.1</t>
    </r>
    <r>
      <rPr>
        <sz val="11"/>
        <color theme="1"/>
        <rFont val="宋体"/>
        <charset val="134"/>
        <scheme val="minor"/>
      </rPr>
      <t>8</t>
    </r>
  </si>
  <si>
    <r>
      <rPr>
        <sz val="11"/>
        <color theme="1"/>
        <rFont val="宋体"/>
        <charset val="134"/>
        <scheme val="minor"/>
      </rPr>
      <t>2024.5.</t>
    </r>
    <r>
      <rPr>
        <sz val="11"/>
        <color theme="1"/>
        <rFont val="宋体"/>
        <charset val="134"/>
        <scheme val="minor"/>
      </rPr>
      <t>21</t>
    </r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</si>
  <si>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024.6.7</t>
    </r>
  </si>
  <si>
    <t>2024.6.12</t>
  </si>
  <si>
    <t>2024.6.26</t>
  </si>
  <si>
    <t>2024.7.1</t>
  </si>
  <si>
    <t>2024.9.30</t>
  </si>
  <si>
    <t>2024.11.8</t>
  </si>
  <si>
    <t>2024.11.12</t>
  </si>
  <si>
    <t>2024.11.13</t>
  </si>
  <si>
    <t>2024.11.14</t>
  </si>
  <si>
    <t>2024.11.15</t>
  </si>
  <si>
    <t>2024.11.19</t>
  </si>
  <si>
    <t>2024.11.20</t>
  </si>
  <si>
    <t>2024.11.21</t>
  </si>
  <si>
    <t>2024.11.22</t>
  </si>
  <si>
    <t>2024.11.26</t>
  </si>
  <si>
    <t>2024.12.26</t>
  </si>
  <si>
    <t>2024.12.30</t>
  </si>
  <si>
    <r>
      <rPr>
        <sz val="11"/>
        <color theme="1"/>
        <rFont val="宋体"/>
        <charset val="134"/>
        <scheme val="minor"/>
      </rPr>
      <t>202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.2.</t>
    </r>
    <r>
      <rPr>
        <sz val="11"/>
        <color theme="1"/>
        <rFont val="宋体"/>
        <charset val="134"/>
        <scheme val="minor"/>
      </rPr>
      <t>11</t>
    </r>
  </si>
  <si>
    <t>2025.2.18</t>
  </si>
  <si>
    <t>2025.2.25</t>
  </si>
  <si>
    <t>2025.3.13</t>
  </si>
  <si>
    <t>2025.3.26</t>
  </si>
  <si>
    <t>2025.3.31</t>
  </si>
  <si>
    <t>2025.5.17</t>
  </si>
  <si>
    <t>2025.6.4</t>
  </si>
  <si>
    <t>2025.6.11</t>
  </si>
  <si>
    <t>2025.6.25</t>
  </si>
  <si>
    <t>2025.7.21</t>
  </si>
  <si>
    <t>2025.7.22</t>
  </si>
  <si>
    <t>2025.7.30</t>
  </si>
  <si>
    <t>2025.7.31</t>
  </si>
  <si>
    <t>2025.8.18</t>
  </si>
  <si>
    <r>
      <rPr>
        <sz val="11"/>
        <color theme="1"/>
        <rFont val="宋体"/>
        <charset val="134"/>
        <scheme val="minor"/>
      </rPr>
      <t>2025.</t>
    </r>
    <r>
      <rPr>
        <sz val="11"/>
        <color theme="1"/>
        <rFont val="宋体"/>
        <charset val="134"/>
        <scheme val="minor"/>
      </rPr>
      <t>9</t>
    </r>
    <r>
      <rPr>
        <sz val="11"/>
        <color theme="1"/>
        <rFont val="宋体"/>
        <charset val="134"/>
        <scheme val="minor"/>
      </rPr>
      <t>.1</t>
    </r>
    <r>
      <rPr>
        <sz val="11"/>
        <color theme="1"/>
        <rFont val="宋体"/>
        <charset val="134"/>
        <scheme val="minor"/>
      </rPr>
      <t>1</t>
    </r>
  </si>
  <si>
    <r>
      <rPr>
        <sz val="11"/>
        <color theme="1"/>
        <rFont val="宋体"/>
        <charset val="134"/>
        <scheme val="minor"/>
      </rPr>
      <t>2025.11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</si>
  <si>
    <r>
      <rPr>
        <sz val="11"/>
        <color theme="1"/>
        <rFont val="宋体"/>
        <charset val="134"/>
        <scheme val="minor"/>
      </rPr>
      <t>2025.11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28</t>
    </r>
  </si>
  <si>
    <r>
      <rPr>
        <sz val="11"/>
        <color theme="1"/>
        <rFont val="宋体"/>
        <charset val="134"/>
        <scheme val="minor"/>
      </rPr>
      <t>2026.1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14</t>
    </r>
  </si>
  <si>
    <r>
      <rPr>
        <sz val="11"/>
        <color theme="1"/>
        <rFont val="宋体"/>
        <charset val="134"/>
        <scheme val="minor"/>
      </rPr>
      <t>2026.1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22-26</t>
    </r>
  </si>
  <si>
    <r>
      <rPr>
        <sz val="11"/>
        <color theme="1"/>
        <rFont val="宋体"/>
        <charset val="134"/>
        <scheme val="minor"/>
      </rPr>
      <t>2026.1.2</t>
    </r>
    <r>
      <rPr>
        <sz val="11"/>
        <color theme="1"/>
        <rFont val="宋体"/>
        <charset val="134"/>
        <scheme val="minor"/>
      </rPr>
      <t>8</t>
    </r>
  </si>
  <si>
    <r>
      <rPr>
        <sz val="11"/>
        <color theme="1"/>
        <rFont val="宋体"/>
        <charset val="134"/>
        <scheme val="minor"/>
      </rPr>
      <t>2026.1.</t>
    </r>
    <r>
      <rPr>
        <sz val="11"/>
        <color theme="1"/>
        <rFont val="宋体"/>
        <charset val="134"/>
        <scheme val="minor"/>
      </rPr>
      <t>30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</si>
  <si>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</si>
  <si>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13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</si>
  <si>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17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</si>
  <si>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19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</si>
  <si>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23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</si>
  <si>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24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</si>
  <si>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27</t>
    </r>
  </si>
  <si>
    <t>2026.3.30</t>
  </si>
  <si>
    <r>
      <rPr>
        <sz val="11"/>
        <color theme="1"/>
        <rFont val="宋体"/>
        <charset val="134"/>
      </rPr>
      <t>序号</t>
    </r>
  </si>
  <si>
    <r>
      <rPr>
        <sz val="11"/>
        <color theme="1"/>
        <rFont val="宋体"/>
        <charset val="134"/>
      </rPr>
      <t>机房</t>
    </r>
  </si>
  <si>
    <r>
      <rPr>
        <sz val="11"/>
        <color theme="1"/>
        <rFont val="宋体"/>
        <charset val="134"/>
      </rPr>
      <t>包间系统名称</t>
    </r>
  </si>
  <si>
    <t>机柜号</t>
  </si>
  <si>
    <r>
      <rPr>
        <sz val="11"/>
        <color theme="1"/>
        <rFont val="宋体"/>
        <charset val="134"/>
      </rPr>
      <t>操作类型</t>
    </r>
  </si>
  <si>
    <t>期望完成时间</t>
  </si>
  <si>
    <r>
      <rPr>
        <sz val="11"/>
        <color theme="1"/>
        <rFont val="宋体"/>
        <charset val="134"/>
      </rPr>
      <t>实际完成时间</t>
    </r>
  </si>
  <si>
    <r>
      <rPr>
        <sz val="11"/>
        <color theme="1"/>
        <rFont val="宋体"/>
        <charset val="134"/>
      </rPr>
      <t>机柜类型</t>
    </r>
  </si>
  <si>
    <r>
      <rPr>
        <sz val="11"/>
        <color theme="1"/>
        <rFont val="宋体"/>
        <charset val="134"/>
      </rPr>
      <t>机柜功率（</t>
    </r>
    <r>
      <rPr>
        <sz val="11"/>
        <color theme="1"/>
        <rFont val="Arial"/>
        <family val="2"/>
      </rPr>
      <t>W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</si>
  <si>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结果</t>
    </r>
  </si>
  <si>
    <t>操作类型</t>
  </si>
  <si>
    <t>实际完成时间</t>
  </si>
  <si>
    <t>EA118</t>
  </si>
  <si>
    <t>EA118-D2-1</t>
  </si>
  <si>
    <t>A01</t>
  </si>
  <si>
    <r>
      <rPr>
        <sz val="11"/>
        <color theme="1"/>
        <rFont val="宋体"/>
        <charset val="134"/>
      </rPr>
      <t>网络机柜</t>
    </r>
  </si>
  <si>
    <t>A02</t>
  </si>
  <si>
    <t>服务器机柜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</si>
  <si>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</si>
  <si>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</si>
  <si>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</si>
  <si>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</si>
  <si>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</si>
  <si>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</si>
  <si>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</si>
  <si>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</si>
  <si>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</si>
  <si>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</si>
  <si>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</si>
  <si>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</si>
  <si>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</si>
  <si>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</si>
  <si>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B01</t>
  </si>
  <si>
    <t>测试电转正式电</t>
  </si>
  <si>
    <t>成功</t>
  </si>
  <si>
    <t>上测试电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</si>
  <si>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</si>
  <si>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</si>
  <si>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</si>
  <si>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</si>
  <si>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</si>
  <si>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</si>
  <si>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</si>
  <si>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</si>
  <si>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</si>
  <si>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</si>
  <si>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</si>
  <si>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</si>
  <si>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</si>
  <si>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</si>
  <si>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</si>
  <si>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</si>
  <si>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</si>
  <si>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C01</t>
  </si>
  <si>
    <t>下测试电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</si>
  <si>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</si>
  <si>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</si>
  <si>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</si>
  <si>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</si>
  <si>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</si>
  <si>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</si>
  <si>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</si>
  <si>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</si>
  <si>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</si>
  <si>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</si>
  <si>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</si>
  <si>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</si>
  <si>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</si>
  <si>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</si>
  <si>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</si>
  <si>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D01</t>
  </si>
  <si>
    <t>D02</t>
  </si>
  <si>
    <t>D03</t>
  </si>
  <si>
    <t>正式电转测试电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</si>
  <si>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</si>
  <si>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</si>
  <si>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</si>
  <si>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</si>
  <si>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</si>
  <si>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</si>
  <si>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</si>
  <si>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</si>
  <si>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</si>
  <si>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</si>
  <si>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</si>
  <si>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</si>
  <si>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</si>
  <si>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</si>
  <si>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</si>
  <si>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</si>
  <si>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</si>
  <si>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</si>
  <si>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</si>
  <si>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</si>
  <si>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</si>
  <si>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</si>
  <si>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</si>
  <si>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</si>
  <si>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</si>
  <si>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</si>
  <si>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</si>
  <si>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</si>
  <si>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</si>
  <si>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</si>
  <si>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</si>
  <si>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</si>
  <si>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</si>
  <si>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</si>
  <si>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</si>
  <si>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</si>
  <si>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</si>
  <si>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</si>
  <si>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</si>
  <si>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</si>
  <si>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</si>
  <si>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</si>
  <si>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</si>
  <si>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</si>
  <si>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</si>
  <si>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</si>
  <si>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</si>
  <si>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</si>
  <si>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</si>
  <si>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</si>
  <si>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</si>
  <si>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</si>
  <si>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</si>
  <si>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</si>
  <si>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</si>
  <si>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</si>
  <si>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</si>
  <si>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</si>
  <si>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</si>
  <si>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</si>
  <si>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</si>
  <si>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</si>
  <si>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</si>
  <si>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</si>
  <si>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</si>
  <si>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</si>
  <si>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</si>
  <si>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</si>
  <si>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</si>
  <si>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</si>
  <si>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</si>
  <si>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</si>
  <si>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</si>
  <si>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</si>
  <si>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</si>
  <si>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</si>
  <si>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</si>
  <si>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</si>
  <si>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</si>
  <si>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</si>
  <si>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</si>
  <si>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</si>
  <si>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</si>
  <si>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I01</t>
  </si>
  <si>
    <t>I02</t>
  </si>
  <si>
    <t>I03</t>
  </si>
  <si>
    <t>I04</t>
  </si>
  <si>
    <t>I05</t>
  </si>
  <si>
    <t>I06</t>
  </si>
  <si>
    <t>I07</t>
  </si>
  <si>
    <t>I08</t>
  </si>
  <si>
    <t>I09</t>
  </si>
  <si>
    <t>I10</t>
  </si>
  <si>
    <t>I11</t>
  </si>
  <si>
    <t>I12</t>
  </si>
  <si>
    <t>I13</t>
  </si>
  <si>
    <t>I14</t>
  </si>
  <si>
    <t>I15</t>
  </si>
  <si>
    <t>I16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</si>
  <si>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</si>
  <si>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</si>
  <si>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</si>
  <si>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</si>
  <si>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</si>
  <si>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</si>
  <si>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</si>
  <si>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</si>
  <si>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</si>
  <si>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</si>
  <si>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</si>
  <si>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</si>
  <si>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</si>
  <si>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</si>
  <si>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</si>
  <si>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</si>
  <si>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</si>
  <si>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</si>
  <si>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EA118-D2-2</t>
  </si>
  <si>
    <t>上正式电</t>
  </si>
  <si>
    <t>下正式电</t>
  </si>
  <si>
    <t>EA118-D3-1</t>
  </si>
  <si>
    <t>EA118-D3-2</t>
  </si>
  <si>
    <t>EA118-D4-1</t>
  </si>
  <si>
    <t>EA118-D4-2</t>
  </si>
  <si>
    <t>D-241
CRAH-1</t>
  </si>
  <si>
    <t>D-241
CRAH-2</t>
  </si>
  <si>
    <t>D-241
CRAH-3</t>
  </si>
  <si>
    <t>D-241
CRAH-4</t>
  </si>
  <si>
    <t>D-241
CRAH-5</t>
  </si>
  <si>
    <t>D-241
CRAH-6</t>
  </si>
  <si>
    <t>D-241
CRAH-7</t>
  </si>
  <si>
    <t>D-241
CRAH-8</t>
  </si>
  <si>
    <t>D-241
CRAH-9</t>
  </si>
  <si>
    <t>D-241
CRAH-10</t>
  </si>
  <si>
    <t>D-212
CRAH-1</t>
  </si>
  <si>
    <t>D-212
CRAH-2</t>
  </si>
  <si>
    <t>D-212
CRAH-3</t>
  </si>
  <si>
    <t>D-212
CRAH-4</t>
  </si>
  <si>
    <t>D-212
CRAH-5</t>
  </si>
  <si>
    <t>D-212
CRAH-6</t>
  </si>
  <si>
    <t>D-212
CRAH-7</t>
  </si>
  <si>
    <t>D-212
CRAH-8</t>
  </si>
  <si>
    <t>D-212
CRAH-9</t>
  </si>
  <si>
    <t>D-212
CRAH-10</t>
  </si>
  <si>
    <t>恒湿机1</t>
  </si>
  <si>
    <t>恒湿机2</t>
  </si>
  <si>
    <t>恒湿机3</t>
  </si>
  <si>
    <t>D-202/M1包间</t>
  </si>
  <si>
    <t>D-201/M2包间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</si>
  <si>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</si>
  <si>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</si>
  <si>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</si>
  <si>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</si>
  <si>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</si>
  <si>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</si>
  <si>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</si>
  <si>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</si>
  <si>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</si>
  <si>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</si>
  <si>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</si>
  <si>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</si>
  <si>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GC</t>
  </si>
  <si>
    <t>DH</t>
  </si>
  <si>
    <t>AH</t>
  </si>
  <si>
    <t>JC</t>
  </si>
  <si>
    <t>D-240
CRAH-1</t>
  </si>
  <si>
    <t>D-240
CRAH-2</t>
  </si>
  <si>
    <t>D-240
CRAH-3</t>
  </si>
  <si>
    <t>D-240
CRAH-4</t>
  </si>
  <si>
    <t>D-240
CRAH-5</t>
  </si>
  <si>
    <t>D-240
CRAH-6</t>
  </si>
  <si>
    <t>D-240
CRAH-7</t>
  </si>
  <si>
    <t>D-240
CRAH-8</t>
  </si>
  <si>
    <t>D-240
CRAH-9</t>
  </si>
  <si>
    <t>D-240
CRAH-10</t>
  </si>
  <si>
    <t>D-211
CRAH-1</t>
  </si>
  <si>
    <t>D-211
CRAH-2</t>
  </si>
  <si>
    <t>D-211
CRAH-3</t>
  </si>
  <si>
    <t>D-211
CRAH-4</t>
  </si>
  <si>
    <t>D-211
CRAH-5</t>
  </si>
  <si>
    <t>D-211
CRAH-6</t>
  </si>
  <si>
    <t>D-211
CRAH-7</t>
  </si>
  <si>
    <t>D-211
CRAH-8</t>
  </si>
  <si>
    <t>D-211
CRAH-9</t>
  </si>
  <si>
    <t>D-211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</si>
  <si>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</si>
  <si>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</si>
  <si>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</si>
  <si>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</si>
  <si>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D-312
CRAH-1</t>
  </si>
  <si>
    <t>D-312
CRAH-2</t>
  </si>
  <si>
    <t>D-312
CRAH-3</t>
  </si>
  <si>
    <t>D-312
CRAH-4</t>
  </si>
  <si>
    <t>D-312
CRAH-5</t>
  </si>
  <si>
    <t>D-312
CRAH-6</t>
  </si>
  <si>
    <t>D-312
CRAH-7</t>
  </si>
  <si>
    <t>D-312
CRAH-8</t>
  </si>
  <si>
    <t>D-312
CRAH-9</t>
  </si>
  <si>
    <t>D-312
CRAH-10</t>
  </si>
  <si>
    <t>D-301/M4包间</t>
  </si>
  <si>
    <t>D-311
CRAH-1</t>
  </si>
  <si>
    <t>D-311
CRAH-2</t>
  </si>
  <si>
    <t>D-311
CRAH-3</t>
  </si>
  <si>
    <t>D-311
CRAH-4</t>
  </si>
  <si>
    <t>D-311
CRAH-5</t>
  </si>
  <si>
    <t>D-311
CRAH-6</t>
  </si>
  <si>
    <t>D-311
CRAH-7</t>
  </si>
  <si>
    <t>D-311
CRAH-8</t>
  </si>
  <si>
    <t>D-311
CRAH-9</t>
  </si>
  <si>
    <t>D-311
CRAH-10</t>
  </si>
  <si>
    <t>D-341
CRAH-1</t>
  </si>
  <si>
    <t>D-341
CRAH-2</t>
  </si>
  <si>
    <t>D-341
CRAH-3</t>
  </si>
  <si>
    <t>D-341
CRAH-4</t>
  </si>
  <si>
    <t>D-341
CRAH-5</t>
  </si>
  <si>
    <t>D-341
CRAH-6</t>
  </si>
  <si>
    <t>D-341
CRAH-7</t>
  </si>
  <si>
    <t>D-341
CRAH-8</t>
  </si>
  <si>
    <t>D-341
CRAH-9</t>
  </si>
  <si>
    <t>D-341
CRAH-10</t>
  </si>
  <si>
    <t>D-302/M3包间</t>
  </si>
  <si>
    <t>D-340
CRAH-1</t>
  </si>
  <si>
    <t>D-340
CRAH-2</t>
  </si>
  <si>
    <t>D-340
CRAH-3</t>
  </si>
  <si>
    <t>D-340
CRAH-4</t>
  </si>
  <si>
    <t>D-340
CRAH-5</t>
  </si>
  <si>
    <t>D-340
CRAH-6</t>
  </si>
  <si>
    <t>D-340
CRAH-7</t>
  </si>
  <si>
    <t>D-340
CRAH-8</t>
  </si>
  <si>
    <t>D-340
CRAH-9</t>
  </si>
  <si>
    <t>D-340
CRAH-10</t>
  </si>
  <si>
    <t>数据统计及备注：E楼机房为双DC列头柜</t>
  </si>
  <si>
    <t>D-412
CRAH-1</t>
  </si>
  <si>
    <t>D-412
CRAH-2</t>
  </si>
  <si>
    <t>D-412
CRAH-3</t>
  </si>
  <si>
    <t>D-412
CRAH-4</t>
  </si>
  <si>
    <t>D-412
CRAH-5</t>
  </si>
  <si>
    <t>D-412
CRAH-6</t>
  </si>
  <si>
    <t>D-412
CRAH-7</t>
  </si>
  <si>
    <t>D-412
CRAH-8</t>
  </si>
  <si>
    <t>D-412
CRAH-9</t>
  </si>
  <si>
    <t>D-412
CRAH-10</t>
  </si>
  <si>
    <t>D-401/M6包间</t>
  </si>
  <si>
    <t>D-411
CRAH-1</t>
  </si>
  <si>
    <t>D-411
CRAH-2</t>
  </si>
  <si>
    <t>D-411
CRAH-3</t>
  </si>
  <si>
    <t>D-411
CRAH-4</t>
  </si>
  <si>
    <t>D-411
CRAH-5</t>
  </si>
  <si>
    <t>D-411
CRAH-6</t>
  </si>
  <si>
    <t>D-411
CRAH-7</t>
  </si>
  <si>
    <t>D-411
CRAH-8</t>
  </si>
  <si>
    <t>D-411
CRAH-9</t>
  </si>
  <si>
    <t>D-411
CRAH-10</t>
  </si>
  <si>
    <t>D-441
CRAH-1</t>
  </si>
  <si>
    <t>D-441
CRAH-2</t>
  </si>
  <si>
    <t>D-441
CRAH-3</t>
  </si>
  <si>
    <t>D-441
CRAH-4</t>
  </si>
  <si>
    <t>D-441
CRAH-5</t>
  </si>
  <si>
    <t>D-441
CRAH-6</t>
  </si>
  <si>
    <t>D-441
CRAH-7</t>
  </si>
  <si>
    <t>D-441
CRAH-8</t>
  </si>
  <si>
    <t>D-441
CRAH-9</t>
  </si>
  <si>
    <t>D-441
CRAH-10</t>
  </si>
  <si>
    <t>D-402/M5包间</t>
  </si>
  <si>
    <r>
      <t>2026.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10</t>
    </r>
    <phoneticPr fontId="27" type="noConversion"/>
  </si>
  <si>
    <r>
      <t>2026.5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11</t>
    </r>
    <r>
      <rPr>
        <sz val="11"/>
        <color theme="1"/>
        <rFont val="宋体"/>
        <family val="2"/>
        <charset val="134"/>
        <scheme val="minor"/>
      </rPr>
      <t/>
    </r>
    <phoneticPr fontId="27" type="noConversion"/>
  </si>
  <si>
    <r>
      <t>2026.6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9</t>
    </r>
    <phoneticPr fontId="27" type="noConversion"/>
  </si>
  <si>
    <r>
      <t>2026.6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18</t>
    </r>
    <phoneticPr fontId="27" type="noConversion"/>
  </si>
  <si>
    <r>
      <t>2026.7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18</t>
    </r>
    <phoneticPr fontId="27" type="noConversion"/>
  </si>
  <si>
    <t>C08</t>
    <phoneticPr fontId="28" type="noConversion"/>
  </si>
  <si>
    <t>C09</t>
    <phoneticPr fontId="28" type="noConversion"/>
  </si>
  <si>
    <t>C11</t>
    <phoneticPr fontId="28" type="noConversion"/>
  </si>
  <si>
    <t>C12</t>
    <phoneticPr fontId="28" type="noConversion"/>
  </si>
  <si>
    <t>C14</t>
    <phoneticPr fontId="28" type="noConversion"/>
  </si>
  <si>
    <t>C15</t>
    <phoneticPr fontId="28" type="noConversion"/>
  </si>
  <si>
    <t>C16</t>
    <phoneticPr fontId="28" type="noConversion"/>
  </si>
  <si>
    <r>
      <t>2026.8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3</t>
    </r>
    <phoneticPr fontId="27" type="noConversion"/>
  </si>
  <si>
    <t>I15</t>
    <phoneticPr fontId="28" type="noConversion"/>
  </si>
  <si>
    <t>J15</t>
    <phoneticPr fontId="28" type="noConversion"/>
  </si>
  <si>
    <r>
      <t>2026.8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18</t>
    </r>
    <phoneticPr fontId="27" type="noConversion"/>
  </si>
  <si>
    <t>成功</t>
    <phoneticPr fontId="28" type="noConversion"/>
  </si>
  <si>
    <r>
      <t>2026.9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1</t>
    </r>
    <phoneticPr fontId="27" type="noConversion"/>
  </si>
  <si>
    <r>
      <t>2026.9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charset val="134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</si>
</sst>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b/>
      <sz val="11"/>
      <color theme="1"/>
      <name val="宋体"/>
      <charset val="134"/>
    </font>
    <font>
      <sz val="11"/>
      <color rgb="FF000000"/>
      <name val="宋体"/>
      <charset val="134"/>
      <scheme val="minor"/>
    </font>
    <font>
      <sz val="11"/>
      <color rgb="FF000000"/>
      <name val="Arial"/>
      <family val="2"/>
    </font>
    <font>
      <sz val="11"/>
      <color theme="1"/>
      <name val="宋体"/>
      <charset val="134"/>
    </font>
    <font>
      <sz val="11"/>
      <color rgb="FF000000"/>
      <name val="宋体"/>
      <charset val="134"/>
    </font>
    <font>
      <sz val="11"/>
      <color rgb="FF000000"/>
      <name val="宋体"/>
      <charset val="134"/>
    </font>
    <font>
      <sz val="11"/>
      <color rgb="FF000000"/>
      <name val="宋体"/>
      <charset val="134"/>
      <scheme val="minor"/>
    </font>
    <font>
      <sz val="10"/>
      <color theme="1"/>
      <name val="Arial"/>
      <family val="2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17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5" xfId="0" applyBorder="1"/>
    <xf numFmtId="0" fontId="0" fillId="0" borderId="2" xfId="0" applyFont="1" applyBorder="1"/>
    <xf numFmtId="0" fontId="5" fillId="0" borderId="5" xfId="0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0" xfId="0" applyFill="1"/>
    <xf numFmtId="0" fontId="3" fillId="0" borderId="0" xfId="0" applyFont="1" applyFill="1" applyBorder="1"/>
    <xf numFmtId="0" fontId="0" fillId="5" borderId="0" xfId="0" applyFill="1" applyBorder="1" applyAlignment="1"/>
    <xf numFmtId="0" fontId="0" fillId="6" borderId="4" xfId="0" applyFill="1" applyBorder="1"/>
    <xf numFmtId="0" fontId="0" fillId="0" borderId="4" xfId="0" applyBorder="1" applyAlignment="1">
      <alignment horizontal="center"/>
    </xf>
    <xf numFmtId="0" fontId="3" fillId="2" borderId="4" xfId="0" applyFont="1" applyFill="1" applyBorder="1"/>
    <xf numFmtId="0" fontId="0" fillId="6" borderId="0" xfId="0" applyFill="1" applyBorder="1"/>
    <xf numFmtId="0" fontId="3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2" fillId="5" borderId="0" xfId="0" applyFont="1" applyFill="1" applyBorder="1" applyAlignment="1">
      <alignment vertical="center" wrapText="1"/>
    </xf>
    <xf numFmtId="0" fontId="7" fillId="0" borderId="4" xfId="0" applyFont="1" applyBorder="1" applyAlignment="1">
      <alignment horizontal="center"/>
    </xf>
    <xf numFmtId="0" fontId="0" fillId="2" borderId="0" xfId="0" applyFill="1" applyBorder="1"/>
    <xf numFmtId="0" fontId="0" fillId="0" borderId="4" xfId="0" applyFont="1" applyBorder="1" applyAlignment="1">
      <alignment horizontal="center"/>
    </xf>
    <xf numFmtId="0" fontId="0" fillId="0" borderId="0" xfId="0" applyFill="1"/>
    <xf numFmtId="0" fontId="0" fillId="0" borderId="4" xfId="0" applyBorder="1" applyAlignment="1"/>
    <xf numFmtId="0" fontId="9" fillId="5" borderId="4" xfId="1" applyFont="1" applyFill="1" applyBorder="1" applyAlignment="1">
      <alignment horizontal="center"/>
    </xf>
    <xf numFmtId="0" fontId="9" fillId="5" borderId="0" xfId="1" applyFont="1" applyFill="1" applyBorder="1" applyAlignment="1">
      <alignment horizontal="center"/>
    </xf>
    <xf numFmtId="0" fontId="9" fillId="3" borderId="0" xfId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10" fillId="5" borderId="0" xfId="1" applyFont="1" applyFill="1" applyBorder="1" applyAlignment="1">
      <alignment horizontal="center"/>
    </xf>
    <xf numFmtId="0" fontId="11" fillId="5" borderId="0" xfId="1" applyFont="1" applyFill="1" applyBorder="1" applyAlignment="1">
      <alignment horizontal="center"/>
    </xf>
    <xf numFmtId="0" fontId="9" fillId="5" borderId="4" xfId="1" applyFont="1" applyFill="1" applyBorder="1" applyAlignment="1">
      <alignment horizontal="center" vertical="center"/>
    </xf>
    <xf numFmtId="22" fontId="9" fillId="8" borderId="4" xfId="1" applyNumberFormat="1" applyFont="1" applyFill="1" applyBorder="1" applyAlignment="1">
      <alignment horizontal="center" vertical="center" wrapText="1"/>
    </xf>
    <xf numFmtId="0" fontId="9" fillId="8" borderId="4" xfId="1" applyFont="1" applyFill="1" applyBorder="1" applyAlignment="1">
      <alignment horizontal="center" vertical="center" wrapText="1"/>
    </xf>
    <xf numFmtId="0" fontId="12" fillId="8" borderId="4" xfId="1" applyFont="1" applyFill="1" applyBorder="1" applyAlignment="1">
      <alignment horizontal="center" vertical="center" wrapText="1"/>
    </xf>
    <xf numFmtId="22" fontId="9" fillId="3" borderId="4" xfId="1" applyNumberFormat="1" applyFont="1" applyFill="1" applyBorder="1" applyAlignment="1">
      <alignment horizontal="center" vertical="center" wrapText="1"/>
    </xf>
    <xf numFmtId="22" fontId="12" fillId="8" borderId="4" xfId="1" applyNumberFormat="1" applyFont="1" applyFill="1" applyBorder="1" applyAlignment="1">
      <alignment horizontal="center" vertical="center" wrapText="1"/>
    </xf>
    <xf numFmtId="0" fontId="12" fillId="2" borderId="4" xfId="1" applyFont="1" applyFill="1" applyBorder="1" applyAlignment="1">
      <alignment horizontal="center" vertical="center" wrapText="1"/>
    </xf>
    <xf numFmtId="22" fontId="13" fillId="8" borderId="4" xfId="1" applyNumberFormat="1" applyFont="1" applyFill="1" applyBorder="1" applyAlignment="1">
      <alignment horizontal="center" vertical="center" wrapText="1"/>
    </xf>
    <xf numFmtId="22" fontId="11" fillId="8" borderId="4" xfId="1" applyNumberFormat="1" applyFont="1" applyFill="1" applyBorder="1" applyAlignment="1">
      <alignment horizontal="center" vertical="center" wrapText="1"/>
    </xf>
    <xf numFmtId="22" fontId="12" fillId="3" borderId="4" xfId="1" applyNumberFormat="1" applyFont="1" applyFill="1" applyBorder="1" applyAlignment="1">
      <alignment horizontal="center" vertical="center" wrapText="1"/>
    </xf>
    <xf numFmtId="22" fontId="9" fillId="5" borderId="4" xfId="1" applyNumberFormat="1" applyFont="1" applyFill="1" applyBorder="1" applyAlignment="1">
      <alignment horizontal="center" vertical="center" wrapText="1"/>
    </xf>
    <xf numFmtId="0" fontId="9" fillId="5" borderId="4" xfId="1" applyFont="1" applyFill="1" applyBorder="1" applyAlignment="1">
      <alignment horizontal="center" vertical="center" wrapText="1"/>
    </xf>
    <xf numFmtId="0" fontId="10" fillId="8" borderId="4" xfId="1" applyFont="1" applyFill="1" applyBorder="1" applyAlignment="1">
      <alignment horizontal="center" vertical="center" wrapText="1"/>
    </xf>
    <xf numFmtId="0" fontId="11" fillId="5" borderId="4" xfId="1" applyFont="1" applyFill="1" applyBorder="1" applyAlignment="1">
      <alignment horizontal="center"/>
    </xf>
    <xf numFmtId="0" fontId="12" fillId="5" borderId="4" xfId="1" applyFont="1" applyFill="1" applyBorder="1" applyAlignment="1">
      <alignment horizontal="center"/>
    </xf>
    <xf numFmtId="22" fontId="14" fillId="8" borderId="13" xfId="0" applyNumberFormat="1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9" fillId="3" borderId="4" xfId="1" applyFont="1" applyFill="1" applyBorder="1" applyAlignment="1">
      <alignment horizontal="center"/>
    </xf>
    <xf numFmtId="0" fontId="9" fillId="2" borderId="4" xfId="1" applyFont="1" applyFill="1" applyBorder="1" applyAlignment="1">
      <alignment horizontal="center"/>
    </xf>
    <xf numFmtId="0" fontId="10" fillId="5" borderId="4" xfId="1" applyFont="1" applyFill="1" applyBorder="1" applyAlignment="1">
      <alignment horizontal="center"/>
    </xf>
    <xf numFmtId="22" fontId="9" fillId="5" borderId="4" xfId="1" applyNumberFormat="1" applyFont="1" applyFill="1" applyBorder="1" applyAlignment="1">
      <alignment horizontal="center"/>
    </xf>
    <xf numFmtId="0" fontId="12" fillId="3" borderId="4" xfId="1" applyFont="1" applyFill="1" applyBorder="1" applyAlignment="1">
      <alignment horizontal="center"/>
    </xf>
    <xf numFmtId="0" fontId="15" fillId="8" borderId="15" xfId="0" applyFont="1" applyFill="1" applyBorder="1" applyAlignment="1">
      <alignment horizontal="center" wrapText="1"/>
    </xf>
    <xf numFmtId="0" fontId="14" fillId="8" borderId="15" xfId="0" applyFont="1" applyFill="1" applyBorder="1" applyAlignment="1">
      <alignment horizontal="center" wrapText="1"/>
    </xf>
    <xf numFmtId="22" fontId="15" fillId="8" borderId="15" xfId="0" applyNumberFormat="1" applyFont="1" applyFill="1" applyBorder="1" applyAlignment="1">
      <alignment horizontal="center" wrapText="1"/>
    </xf>
    <xf numFmtId="0" fontId="9" fillId="8" borderId="15" xfId="0" applyFont="1" applyFill="1" applyBorder="1" applyAlignment="1">
      <alignment horizontal="center" vertical="center" wrapText="1"/>
    </xf>
    <xf numFmtId="0" fontId="16" fillId="8" borderId="15" xfId="0" applyFont="1" applyFill="1" applyBorder="1" applyAlignment="1">
      <alignment horizontal="center" vertical="center" wrapText="1"/>
    </xf>
    <xf numFmtId="22" fontId="9" fillId="8" borderId="15" xfId="0" applyNumberFormat="1" applyFont="1" applyFill="1" applyBorder="1" applyAlignment="1">
      <alignment horizontal="center" vertical="center" wrapText="1"/>
    </xf>
    <xf numFmtId="0" fontId="15" fillId="8" borderId="15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22" fontId="15" fillId="0" borderId="4" xfId="0" applyNumberFormat="1" applyFont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 wrapText="1"/>
    </xf>
    <xf numFmtId="22" fontId="15" fillId="8" borderId="15" xfId="0" applyNumberFormat="1" applyFont="1" applyFill="1" applyBorder="1" applyAlignment="1">
      <alignment horizontal="center" vertical="center" wrapText="1"/>
    </xf>
    <xf numFmtId="0" fontId="14" fillId="8" borderId="16" xfId="0" applyFont="1" applyFill="1" applyBorder="1" applyAlignment="1">
      <alignment horizontal="center" vertical="center" wrapText="1"/>
    </xf>
    <xf numFmtId="22" fontId="15" fillId="8" borderId="16" xfId="0" applyNumberFormat="1" applyFont="1" applyFill="1" applyBorder="1" applyAlignment="1">
      <alignment horizontal="center" vertical="center" wrapText="1"/>
    </xf>
    <xf numFmtId="0" fontId="16" fillId="5" borderId="4" xfId="1" applyFont="1" applyFill="1" applyBorder="1" applyAlignment="1">
      <alignment horizontal="center"/>
    </xf>
    <xf numFmtId="0" fontId="15" fillId="8" borderId="15" xfId="0" applyFont="1" applyFill="1" applyBorder="1" applyAlignment="1">
      <alignment horizontal="center"/>
    </xf>
    <xf numFmtId="22" fontId="15" fillId="8" borderId="15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22" fontId="15" fillId="0" borderId="0" xfId="0" applyNumberFormat="1" applyFont="1" applyAlignment="1">
      <alignment horizontal="center" vertical="center"/>
    </xf>
    <xf numFmtId="0" fontId="19" fillId="8" borderId="15" xfId="0" applyFont="1" applyFill="1" applyBorder="1" applyAlignment="1">
      <alignment horizontal="center" wrapText="1"/>
    </xf>
    <xf numFmtId="0" fontId="20" fillId="5" borderId="4" xfId="1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2" fillId="9" borderId="4" xfId="0" applyFont="1" applyFill="1" applyBorder="1" applyAlignment="1">
      <alignment horizontal="center" vertical="center"/>
    </xf>
    <xf numFmtId="0" fontId="22" fillId="9" borderId="10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3" fillId="0" borderId="10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23" fillId="6" borderId="4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 wrapText="1"/>
    </xf>
    <xf numFmtId="14" fontId="0" fillId="0" borderId="4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57" fontId="0" fillId="0" borderId="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22" fontId="9" fillId="5" borderId="10" xfId="1" applyNumberFormat="1" applyFont="1" applyFill="1" applyBorder="1" applyAlignment="1">
      <alignment horizontal="center" vertical="center" wrapText="1"/>
    </xf>
    <xf numFmtId="0" fontId="9" fillId="8" borderId="18" xfId="1" applyFont="1" applyFill="1" applyBorder="1" applyAlignment="1">
      <alignment horizontal="center" vertical="center" wrapText="1"/>
    </xf>
    <xf numFmtId="0" fontId="9" fillId="5" borderId="18" xfId="1" applyFont="1" applyFill="1" applyBorder="1" applyAlignment="1">
      <alignment horizontal="center"/>
    </xf>
    <xf numFmtId="0" fontId="9" fillId="3" borderId="18" xfId="1" applyFont="1" applyFill="1" applyBorder="1" applyAlignment="1">
      <alignment horizontal="center"/>
    </xf>
    <xf numFmtId="22" fontId="9" fillId="5" borderId="18" xfId="1" applyNumberFormat="1" applyFont="1" applyFill="1" applyBorder="1" applyAlignment="1">
      <alignment horizontal="center"/>
    </xf>
    <xf numFmtId="0" fontId="17" fillId="0" borderId="4" xfId="0" applyFont="1" applyBorder="1" applyAlignment="1">
      <alignment horizontal="center" vertical="top"/>
    </xf>
    <xf numFmtId="22" fontId="15" fillId="0" borderId="4" xfId="0" applyNumberFormat="1" applyFont="1" applyBorder="1" applyAlignment="1">
      <alignment horizontal="center" vertical="top"/>
    </xf>
    <xf numFmtId="0" fontId="29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0" fillId="8" borderId="15" xfId="0" applyFont="1" applyFill="1" applyBorder="1" applyAlignment="1">
      <alignment horizont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0" fillId="8" borderId="15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1" fillId="5" borderId="4" xfId="1" applyFont="1" applyFill="1" applyBorder="1" applyAlignment="1">
      <alignment horizontal="center"/>
    </xf>
    <xf numFmtId="0" fontId="21" fillId="0" borderId="4" xfId="0" applyFont="1" applyFill="1" applyBorder="1" applyAlignment="1">
      <alignment horizontal="center" vertical="center"/>
    </xf>
    <xf numFmtId="0" fontId="22" fillId="9" borderId="9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22" fillId="9" borderId="10" xfId="0" applyFont="1" applyFill="1" applyBorder="1" applyAlignment="1">
      <alignment horizontal="center" vertical="center"/>
    </xf>
    <xf numFmtId="0" fontId="22" fillId="9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4" fillId="0" borderId="6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9" fillId="2" borderId="9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2" fillId="7" borderId="4" xfId="0" applyFont="1" applyFill="1" applyBorder="1" applyAlignment="1">
      <alignment horizontal="left" vertical="center" wrapText="1"/>
    </xf>
    <xf numFmtId="0" fontId="2" fillId="7" borderId="12" xfId="0" applyFont="1" applyFill="1" applyBorder="1" applyAlignment="1">
      <alignment horizontal="left" vertical="center" wrapText="1"/>
    </xf>
    <xf numFmtId="0" fontId="0" fillId="6" borderId="4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9" fillId="2" borderId="4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72"/>
  <sheetViews>
    <sheetView workbookViewId="0">
      <pane ySplit="13" topLeftCell="A38" activePane="bottomLeft" state="frozen"/>
      <selection pane="bottomLeft" activeCell="M39" sqref="M39"/>
    </sheetView>
  </sheetViews>
  <sheetFormatPr defaultColWidth="9" defaultRowHeight="14.4" x14ac:dyDescent="0.25"/>
  <cols>
    <col min="1" max="1" width="11.88671875" style="87" customWidth="1"/>
    <col min="2" max="3" width="10.6640625" style="87" customWidth="1"/>
    <col min="4" max="4" width="13.5546875" style="87" customWidth="1"/>
    <col min="5" max="5" width="14.109375" style="87" customWidth="1"/>
    <col min="6" max="6" width="12.88671875" style="87" customWidth="1"/>
    <col min="7" max="7" width="13.77734375" style="87" customWidth="1"/>
    <col min="8" max="8" width="16.109375" style="87" customWidth="1"/>
    <col min="9" max="10" width="12.88671875" style="87" customWidth="1"/>
    <col min="11" max="11" width="15.109375" style="87" customWidth="1"/>
    <col min="12" max="17" width="13.77734375" style="87" customWidth="1"/>
    <col min="18" max="39" width="3.6640625" style="87" customWidth="1"/>
    <col min="40" max="16384" width="9" style="87"/>
  </cols>
  <sheetData>
    <row r="1" spans="1:41" ht="25.8" x14ac:dyDescent="0.25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</row>
    <row r="2" spans="1:41" ht="18.600000000000001" customHeight="1" x14ac:dyDescent="0.25">
      <c r="A2" s="140" t="s">
        <v>1</v>
      </c>
      <c r="B2" s="140" t="s">
        <v>2</v>
      </c>
      <c r="C2" s="140" t="s">
        <v>3</v>
      </c>
      <c r="D2" s="140" t="s">
        <v>4</v>
      </c>
      <c r="E2" s="137" t="s">
        <v>5</v>
      </c>
      <c r="F2" s="138"/>
      <c r="G2" s="139"/>
      <c r="H2" s="140" t="s">
        <v>6</v>
      </c>
      <c r="I2" s="140"/>
      <c r="J2" s="140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</row>
    <row r="3" spans="1:41" ht="17.100000000000001" customHeight="1" x14ac:dyDescent="0.25">
      <c r="A3" s="140"/>
      <c r="B3" s="140"/>
      <c r="C3" s="140"/>
      <c r="D3" s="140"/>
      <c r="E3" s="89" t="s">
        <v>7</v>
      </c>
      <c r="F3" s="89" t="s">
        <v>3</v>
      </c>
      <c r="G3" s="89" t="s">
        <v>4</v>
      </c>
      <c r="H3" s="90" t="s">
        <v>8</v>
      </c>
      <c r="I3" s="89" t="s">
        <v>3</v>
      </c>
      <c r="J3" s="89" t="s">
        <v>4</v>
      </c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</row>
    <row r="4" spans="1:41" ht="21" customHeight="1" x14ac:dyDescent="0.25">
      <c r="A4" s="91" t="s">
        <v>9</v>
      </c>
      <c r="B4" s="92">
        <v>170</v>
      </c>
      <c r="C4" s="92">
        <f>'202-M1机柜平面图'!F40</f>
        <v>147</v>
      </c>
      <c r="D4" s="92">
        <f>'202-M1机柜平面图'!F41</f>
        <v>23</v>
      </c>
      <c r="E4" s="92">
        <v>10</v>
      </c>
      <c r="F4" s="93">
        <v>10</v>
      </c>
      <c r="G4" s="94">
        <f t="shared" ref="G4:G9" si="0">E4-F4</f>
        <v>0</v>
      </c>
      <c r="H4" s="95">
        <f>B4-E4</f>
        <v>160</v>
      </c>
      <c r="I4" s="93">
        <v>137</v>
      </c>
      <c r="J4" s="94">
        <f>H4-I4</f>
        <v>23</v>
      </c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</row>
    <row r="5" spans="1:41" ht="21" customHeight="1" x14ac:dyDescent="0.25">
      <c r="A5" s="91" t="s">
        <v>10</v>
      </c>
      <c r="B5" s="92">
        <v>170</v>
      </c>
      <c r="C5" s="92">
        <f>'201-M2机柜平面图 '!F39</f>
        <v>144</v>
      </c>
      <c r="D5" s="92">
        <f>'201-M2机柜平面图 '!F40</f>
        <v>26</v>
      </c>
      <c r="E5" s="92">
        <v>10</v>
      </c>
      <c r="F5" s="93">
        <v>9</v>
      </c>
      <c r="G5" s="94">
        <f t="shared" si="0"/>
        <v>1</v>
      </c>
      <c r="H5" s="95">
        <f t="shared" ref="H5:H10" si="1">B5-E5</f>
        <v>160</v>
      </c>
      <c r="I5" s="93">
        <v>135</v>
      </c>
      <c r="J5" s="94">
        <f t="shared" ref="J5:J10" si="2">H5-I5</f>
        <v>25</v>
      </c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</row>
    <row r="6" spans="1:41" ht="21" customHeight="1" x14ac:dyDescent="0.25">
      <c r="A6" s="91" t="s">
        <v>11</v>
      </c>
      <c r="B6" s="92">
        <v>154</v>
      </c>
      <c r="C6" s="92">
        <f>'302-M3机柜平面图 '!F39</f>
        <v>63</v>
      </c>
      <c r="D6" s="92">
        <f>'302-M3机柜平面图 '!F40</f>
        <v>91</v>
      </c>
      <c r="E6" s="92">
        <v>58</v>
      </c>
      <c r="F6" s="96">
        <v>27</v>
      </c>
      <c r="G6" s="94">
        <f t="shared" si="0"/>
        <v>31</v>
      </c>
      <c r="H6" s="95">
        <f t="shared" si="1"/>
        <v>96</v>
      </c>
      <c r="I6" s="96">
        <v>36</v>
      </c>
      <c r="J6" s="94">
        <f t="shared" si="2"/>
        <v>60</v>
      </c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</row>
    <row r="7" spans="1:41" ht="21" customHeight="1" x14ac:dyDescent="0.25">
      <c r="A7" s="91" t="s">
        <v>12</v>
      </c>
      <c r="B7" s="92">
        <v>154</v>
      </c>
      <c r="C7" s="92">
        <f>'301-M4机柜平面图'!F39</f>
        <v>116</v>
      </c>
      <c r="D7" s="92">
        <f>'301-M4机柜平面图'!F40</f>
        <v>38</v>
      </c>
      <c r="E7" s="92">
        <v>58</v>
      </c>
      <c r="F7" s="93">
        <v>28</v>
      </c>
      <c r="G7" s="94">
        <f t="shared" si="0"/>
        <v>30</v>
      </c>
      <c r="H7" s="95">
        <f t="shared" si="1"/>
        <v>96</v>
      </c>
      <c r="I7" s="93">
        <v>88</v>
      </c>
      <c r="J7" s="94">
        <f t="shared" si="2"/>
        <v>8</v>
      </c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</row>
    <row r="8" spans="1:41" ht="21" customHeight="1" x14ac:dyDescent="0.25">
      <c r="A8" s="91" t="s">
        <v>13</v>
      </c>
      <c r="B8" s="92">
        <v>170</v>
      </c>
      <c r="C8" s="92">
        <f>'402-M5机柜平面图'!F39</f>
        <v>154</v>
      </c>
      <c r="D8" s="92">
        <f>'402-M5机柜平面图'!F40</f>
        <v>16</v>
      </c>
      <c r="E8" s="92">
        <v>10</v>
      </c>
      <c r="F8" s="93">
        <v>10</v>
      </c>
      <c r="G8" s="94">
        <f t="shared" si="0"/>
        <v>0</v>
      </c>
      <c r="H8" s="95">
        <f t="shared" si="1"/>
        <v>160</v>
      </c>
      <c r="I8" s="93">
        <v>144</v>
      </c>
      <c r="J8" s="94">
        <f t="shared" si="2"/>
        <v>16</v>
      </c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</row>
    <row r="9" spans="1:41" ht="21" customHeight="1" x14ac:dyDescent="0.25">
      <c r="A9" s="91" t="s">
        <v>14</v>
      </c>
      <c r="B9" s="92">
        <v>170</v>
      </c>
      <c r="C9" s="92">
        <f>'401-M6机柜平面图'!F39</f>
        <v>49</v>
      </c>
      <c r="D9" s="92">
        <f>'401-M6机柜平面图'!F40</f>
        <v>121</v>
      </c>
      <c r="E9" s="92">
        <v>10</v>
      </c>
      <c r="F9" s="93">
        <v>5</v>
      </c>
      <c r="G9" s="94">
        <f t="shared" si="0"/>
        <v>5</v>
      </c>
      <c r="H9" s="95">
        <f t="shared" si="1"/>
        <v>160</v>
      </c>
      <c r="I9" s="93">
        <v>44</v>
      </c>
      <c r="J9" s="94">
        <f t="shared" si="2"/>
        <v>116</v>
      </c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</row>
    <row r="10" spans="1:41" ht="21" customHeight="1" x14ac:dyDescent="0.25">
      <c r="A10" s="91" t="s">
        <v>15</v>
      </c>
      <c r="B10" s="92">
        <f t="shared" ref="B10:G10" si="3">SUM(B4:B9)</f>
        <v>988</v>
      </c>
      <c r="C10" s="97">
        <f t="shared" si="3"/>
        <v>673</v>
      </c>
      <c r="D10" s="98">
        <f t="shared" si="3"/>
        <v>315</v>
      </c>
      <c r="E10" s="92">
        <f t="shared" si="3"/>
        <v>156</v>
      </c>
      <c r="F10" s="93">
        <f t="shared" si="3"/>
        <v>89</v>
      </c>
      <c r="G10" s="94">
        <f t="shared" si="3"/>
        <v>67</v>
      </c>
      <c r="H10" s="95">
        <f t="shared" si="1"/>
        <v>832</v>
      </c>
      <c r="I10" s="93">
        <f>SUM(I4:I9)</f>
        <v>584</v>
      </c>
      <c r="J10" s="94">
        <f t="shared" si="2"/>
        <v>248</v>
      </c>
      <c r="K10" s="88">
        <f>F10+I10</f>
        <v>673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</row>
    <row r="11" spans="1:41" s="86" customFormat="1" ht="16.2" customHeight="1" x14ac:dyDescent="0.25">
      <c r="A11" s="88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</row>
    <row r="12" spans="1:41" s="86" customFormat="1" ht="35.25" customHeight="1" x14ac:dyDescent="0.25">
      <c r="A12" s="141" t="s">
        <v>16</v>
      </c>
      <c r="B12" s="141"/>
      <c r="C12" s="141"/>
      <c r="D12" s="141"/>
      <c r="E12" s="141"/>
      <c r="F12" s="88"/>
      <c r="G12" s="142"/>
      <c r="H12" s="142"/>
      <c r="I12" s="142"/>
      <c r="J12" s="142"/>
      <c r="K12" s="88"/>
      <c r="L12" s="88"/>
      <c r="M12" s="142"/>
      <c r="N12" s="142"/>
      <c r="O12" s="142"/>
      <c r="P12" s="142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</row>
    <row r="13" spans="1:41" s="86" customFormat="1" ht="29.1" customHeight="1" x14ac:dyDescent="0.25">
      <c r="A13" s="101" t="s">
        <v>17</v>
      </c>
      <c r="B13" s="101" t="s">
        <v>18</v>
      </c>
      <c r="C13" s="102" t="s">
        <v>19</v>
      </c>
      <c r="D13" s="102" t="s">
        <v>20</v>
      </c>
      <c r="E13" s="102" t="s">
        <v>21</v>
      </c>
      <c r="F13" s="88"/>
      <c r="G13" s="103" t="s">
        <v>17</v>
      </c>
      <c r="H13" s="103" t="s">
        <v>22</v>
      </c>
      <c r="I13" s="104" t="s">
        <v>19</v>
      </c>
      <c r="J13" s="104" t="s">
        <v>20</v>
      </c>
      <c r="K13" s="104" t="s">
        <v>21</v>
      </c>
      <c r="L13" s="88"/>
      <c r="M13" s="105"/>
      <c r="N13" s="105"/>
      <c r="O13" s="106"/>
      <c r="P13" s="106"/>
      <c r="Q13" s="106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</row>
    <row r="14" spans="1:41" s="86" customFormat="1" ht="21" customHeight="1" x14ac:dyDescent="0.25">
      <c r="A14" s="99">
        <v>1</v>
      </c>
      <c r="B14" s="107" t="s">
        <v>23</v>
      </c>
      <c r="C14" s="94">
        <v>79</v>
      </c>
      <c r="D14" s="108"/>
      <c r="E14" s="94">
        <v>79</v>
      </c>
      <c r="F14" s="88"/>
      <c r="G14" s="109">
        <v>1</v>
      </c>
      <c r="H14" s="110">
        <v>45413</v>
      </c>
      <c r="I14" s="109">
        <f>SUM(C14:C16)</f>
        <v>100</v>
      </c>
      <c r="J14" s="109">
        <v>0</v>
      </c>
      <c r="K14" s="109">
        <f>I14</f>
        <v>100</v>
      </c>
      <c r="L14" s="88"/>
      <c r="M14" s="100"/>
      <c r="N14" s="111"/>
      <c r="O14" s="111"/>
      <c r="P14" s="111"/>
      <c r="Q14" s="111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</row>
    <row r="15" spans="1:41" s="86" customFormat="1" ht="21" customHeight="1" x14ac:dyDescent="0.25">
      <c r="A15" s="99">
        <v>2</v>
      </c>
      <c r="B15" s="107" t="s">
        <v>24</v>
      </c>
      <c r="C15" s="94">
        <v>20</v>
      </c>
      <c r="D15" s="108"/>
      <c r="E15" s="112">
        <v>99</v>
      </c>
      <c r="F15" s="88"/>
      <c r="G15" s="109">
        <v>2</v>
      </c>
      <c r="H15" s="110">
        <v>45444</v>
      </c>
      <c r="I15" s="109">
        <f>SUM(C17:C19)</f>
        <v>81</v>
      </c>
      <c r="J15" s="109">
        <v>0</v>
      </c>
      <c r="K15" s="109">
        <f t="shared" ref="K15:K22" si="4">K14+I15-J15</f>
        <v>181</v>
      </c>
      <c r="L15" s="88"/>
      <c r="M15" s="100"/>
      <c r="N15" s="113"/>
      <c r="O15" s="111"/>
      <c r="P15" s="111"/>
      <c r="Q15" s="111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</row>
    <row r="16" spans="1:41" s="86" customFormat="1" ht="21" customHeight="1" x14ac:dyDescent="0.25">
      <c r="A16" s="99">
        <v>3</v>
      </c>
      <c r="B16" s="107" t="s">
        <v>25</v>
      </c>
      <c r="C16" s="94">
        <v>1</v>
      </c>
      <c r="D16" s="94"/>
      <c r="E16" s="112">
        <v>100</v>
      </c>
      <c r="F16" s="88"/>
      <c r="G16" s="109">
        <v>3</v>
      </c>
      <c r="H16" s="110">
        <v>45474</v>
      </c>
      <c r="I16" s="114">
        <f>C20</f>
        <v>1</v>
      </c>
      <c r="J16" s="114">
        <v>0</v>
      </c>
      <c r="K16" s="109">
        <f t="shared" si="4"/>
        <v>182</v>
      </c>
      <c r="L16" s="88"/>
      <c r="M16" s="100"/>
      <c r="N16" s="113"/>
      <c r="O16" s="88"/>
      <c r="P16" s="88"/>
      <c r="Q16" s="111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</row>
    <row r="17" spans="1:41" s="86" customFormat="1" ht="21" customHeight="1" x14ac:dyDescent="0.25">
      <c r="A17" s="99">
        <v>4</v>
      </c>
      <c r="B17" s="109" t="s">
        <v>26</v>
      </c>
      <c r="C17" s="94">
        <v>50</v>
      </c>
      <c r="D17" s="108"/>
      <c r="E17" s="112">
        <v>150</v>
      </c>
      <c r="F17" s="88"/>
      <c r="G17" s="109">
        <v>4</v>
      </c>
      <c r="H17" s="110">
        <v>45505</v>
      </c>
      <c r="I17" s="114">
        <v>0</v>
      </c>
      <c r="J17" s="114">
        <v>0</v>
      </c>
      <c r="K17" s="109">
        <f t="shared" si="4"/>
        <v>182</v>
      </c>
      <c r="L17" s="88"/>
      <c r="M17" s="100"/>
      <c r="N17" s="113"/>
      <c r="O17" s="88"/>
      <c r="P17" s="115"/>
      <c r="Q17" s="111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</row>
    <row r="18" spans="1:41" s="86" customFormat="1" ht="21" customHeight="1" x14ac:dyDescent="0.25">
      <c r="A18" s="99">
        <v>5</v>
      </c>
      <c r="B18" s="109" t="s">
        <v>27</v>
      </c>
      <c r="C18" s="94">
        <v>30</v>
      </c>
      <c r="D18" s="108"/>
      <c r="E18" s="112">
        <v>180</v>
      </c>
      <c r="F18" s="88"/>
      <c r="G18" s="109">
        <v>5</v>
      </c>
      <c r="H18" s="110">
        <v>45536</v>
      </c>
      <c r="I18" s="114">
        <f>C21</f>
        <v>2</v>
      </c>
      <c r="J18" s="114">
        <v>0</v>
      </c>
      <c r="K18" s="109">
        <f t="shared" si="4"/>
        <v>184</v>
      </c>
      <c r="L18" s="88"/>
      <c r="M18" s="100"/>
      <c r="N18" s="88"/>
      <c r="O18" s="88"/>
      <c r="P18" s="115"/>
      <c r="Q18" s="111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</row>
    <row r="19" spans="1:41" ht="21" customHeight="1" x14ac:dyDescent="0.25">
      <c r="A19" s="99">
        <v>6</v>
      </c>
      <c r="B19" s="109" t="s">
        <v>28</v>
      </c>
      <c r="C19" s="94">
        <v>1</v>
      </c>
      <c r="D19" s="112"/>
      <c r="E19" s="112">
        <v>181</v>
      </c>
      <c r="F19" s="88"/>
      <c r="G19" s="109">
        <v>6</v>
      </c>
      <c r="H19" s="110">
        <v>45566</v>
      </c>
      <c r="I19" s="114">
        <v>0</v>
      </c>
      <c r="J19" s="114">
        <v>0</v>
      </c>
      <c r="K19" s="109">
        <f t="shared" si="4"/>
        <v>184</v>
      </c>
      <c r="L19" s="88"/>
      <c r="M19" s="100"/>
      <c r="N19" s="88"/>
      <c r="O19" s="88"/>
      <c r="P19" s="111"/>
      <c r="Q19" s="111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</row>
    <row r="20" spans="1:41" ht="21" customHeight="1" x14ac:dyDescent="0.25">
      <c r="A20" s="99">
        <v>7</v>
      </c>
      <c r="B20" s="109" t="s">
        <v>29</v>
      </c>
      <c r="C20" s="94">
        <v>1</v>
      </c>
      <c r="D20" s="112"/>
      <c r="E20" s="112">
        <v>182</v>
      </c>
      <c r="F20" s="88"/>
      <c r="G20" s="109">
        <v>7</v>
      </c>
      <c r="H20" s="110">
        <v>45597</v>
      </c>
      <c r="I20" s="114">
        <f>SUM(C22:C31)</f>
        <v>333</v>
      </c>
      <c r="J20" s="114">
        <f>SUM(D22:D31)</f>
        <v>31</v>
      </c>
      <c r="K20" s="109">
        <f t="shared" si="4"/>
        <v>486</v>
      </c>
      <c r="L20" s="88"/>
      <c r="M20" s="100"/>
      <c r="N20" s="88"/>
      <c r="O20" s="88"/>
      <c r="P20" s="111"/>
      <c r="Q20" s="111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</row>
    <row r="21" spans="1:41" ht="21" customHeight="1" x14ac:dyDescent="0.25">
      <c r="A21" s="99">
        <v>8</v>
      </c>
      <c r="B21" s="109" t="s">
        <v>30</v>
      </c>
      <c r="C21" s="94">
        <v>2</v>
      </c>
      <c r="D21" s="112"/>
      <c r="E21" s="112">
        <v>184</v>
      </c>
      <c r="F21" s="88"/>
      <c r="G21" s="109">
        <v>8</v>
      </c>
      <c r="H21" s="110">
        <v>45627</v>
      </c>
      <c r="I21" s="114">
        <f>SUM(C32:C33)</f>
        <v>0</v>
      </c>
      <c r="J21" s="114">
        <f>SUM(D32:D33)</f>
        <v>245</v>
      </c>
      <c r="K21" s="109">
        <f t="shared" si="4"/>
        <v>241</v>
      </c>
      <c r="L21" s="88"/>
      <c r="M21" s="100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</row>
    <row r="22" spans="1:41" ht="21" customHeight="1" x14ac:dyDescent="0.25">
      <c r="A22" s="99">
        <v>9</v>
      </c>
      <c r="B22" s="109" t="s">
        <v>31</v>
      </c>
      <c r="C22" s="94">
        <v>86</v>
      </c>
      <c r="D22" s="112"/>
      <c r="E22" s="112">
        <f>E21+C22</f>
        <v>270</v>
      </c>
      <c r="F22" s="88"/>
      <c r="G22" s="109">
        <v>9</v>
      </c>
      <c r="H22" s="110">
        <v>45688</v>
      </c>
      <c r="I22" s="112">
        <v>0</v>
      </c>
      <c r="J22" s="112">
        <v>0</v>
      </c>
      <c r="K22" s="109">
        <f t="shared" si="4"/>
        <v>241</v>
      </c>
      <c r="L22" s="88"/>
      <c r="M22" s="100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</row>
    <row r="23" spans="1:41" ht="21" customHeight="1" x14ac:dyDescent="0.25">
      <c r="A23" s="99">
        <v>10</v>
      </c>
      <c r="B23" s="109" t="s">
        <v>32</v>
      </c>
      <c r="C23" s="94">
        <v>52</v>
      </c>
      <c r="D23" s="112"/>
      <c r="E23" s="112">
        <f>E22+C23</f>
        <v>322</v>
      </c>
      <c r="F23" s="88"/>
      <c r="G23" s="109">
        <v>10</v>
      </c>
      <c r="H23" s="110">
        <v>45689</v>
      </c>
      <c r="I23" s="114">
        <f>SUM(C34:C36)</f>
        <v>21</v>
      </c>
      <c r="J23" s="114">
        <f>SUM(D34:D36)</f>
        <v>6</v>
      </c>
      <c r="K23" s="109">
        <f>K21+I23-J23</f>
        <v>256</v>
      </c>
      <c r="L23" s="88"/>
      <c r="M23" s="100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</row>
    <row r="24" spans="1:41" ht="21" customHeight="1" x14ac:dyDescent="0.25">
      <c r="A24" s="99">
        <v>11</v>
      </c>
      <c r="B24" s="109" t="s">
        <v>33</v>
      </c>
      <c r="C24" s="94">
        <v>2</v>
      </c>
      <c r="D24" s="112">
        <v>4</v>
      </c>
      <c r="E24" s="112">
        <f t="shared" ref="E24:E29" si="5">E23+C24-D24</f>
        <v>320</v>
      </c>
      <c r="G24" s="109">
        <v>11</v>
      </c>
      <c r="H24" s="110">
        <v>45717</v>
      </c>
      <c r="I24" s="114">
        <f>SUM(C37:C39)</f>
        <v>10</v>
      </c>
      <c r="J24" s="114">
        <f>SUM(D37:D39)</f>
        <v>4</v>
      </c>
      <c r="K24" s="109">
        <f>K23+I24-J24</f>
        <v>262</v>
      </c>
      <c r="M24" s="100"/>
      <c r="N24" s="88"/>
      <c r="O24" s="111"/>
      <c r="P24" s="111"/>
      <c r="Q24" s="111"/>
    </row>
    <row r="25" spans="1:41" ht="21" customHeight="1" x14ac:dyDescent="0.25">
      <c r="A25" s="99">
        <v>12</v>
      </c>
      <c r="B25" s="109" t="s">
        <v>34</v>
      </c>
      <c r="C25" s="94">
        <v>150</v>
      </c>
      <c r="D25" s="112"/>
      <c r="E25" s="112">
        <f t="shared" si="5"/>
        <v>470</v>
      </c>
      <c r="G25" s="109">
        <v>12</v>
      </c>
      <c r="H25" s="110">
        <v>45749</v>
      </c>
      <c r="I25" s="112">
        <v>0</v>
      </c>
      <c r="J25" s="112">
        <v>0</v>
      </c>
      <c r="K25" s="109">
        <f>K24+I25-J25</f>
        <v>262</v>
      </c>
      <c r="M25" s="100"/>
      <c r="N25" s="88"/>
      <c r="O25" s="111"/>
      <c r="P25" s="111"/>
      <c r="Q25" s="111"/>
    </row>
    <row r="26" spans="1:41" ht="21" customHeight="1" x14ac:dyDescent="0.25">
      <c r="A26" s="99">
        <v>13</v>
      </c>
      <c r="B26" s="109" t="s">
        <v>35</v>
      </c>
      <c r="C26" s="94">
        <v>4</v>
      </c>
      <c r="D26" s="112"/>
      <c r="E26" s="112">
        <f t="shared" si="5"/>
        <v>474</v>
      </c>
      <c r="G26" s="109">
        <v>13</v>
      </c>
      <c r="H26" s="110">
        <v>45808</v>
      </c>
      <c r="I26" s="114">
        <f>SUM(C40:C40)</f>
        <v>9</v>
      </c>
      <c r="J26" s="114">
        <f>SUM(D40:D40)</f>
        <v>0</v>
      </c>
      <c r="K26" s="109">
        <f>K24+I26-J26</f>
        <v>271</v>
      </c>
      <c r="M26" s="100"/>
      <c r="N26" s="113"/>
      <c r="O26" s="111"/>
      <c r="P26" s="111"/>
      <c r="Q26" s="111"/>
    </row>
    <row r="27" spans="1:41" ht="21" customHeight="1" x14ac:dyDescent="0.25">
      <c r="A27" s="99">
        <v>14</v>
      </c>
      <c r="B27" s="109" t="s">
        <v>36</v>
      </c>
      <c r="C27" s="94">
        <v>1</v>
      </c>
      <c r="D27" s="112">
        <v>6</v>
      </c>
      <c r="E27" s="112">
        <f t="shared" si="5"/>
        <v>469</v>
      </c>
      <c r="G27" s="109">
        <v>14</v>
      </c>
      <c r="H27" s="110">
        <v>45838</v>
      </c>
      <c r="I27" s="114">
        <f>SUM(C41:C43)</f>
        <v>12</v>
      </c>
      <c r="J27" s="114">
        <f>SUM(D41:D43)</f>
        <v>2</v>
      </c>
      <c r="K27" s="109">
        <f t="shared" ref="K27:K32" si="6">K26+I27-J27</f>
        <v>281</v>
      </c>
      <c r="M27" s="100"/>
      <c r="N27" s="111"/>
      <c r="O27" s="111"/>
      <c r="P27" s="111"/>
      <c r="Q27" s="111"/>
    </row>
    <row r="28" spans="1:41" ht="18.600000000000001" customHeight="1" x14ac:dyDescent="0.25">
      <c r="A28" s="99">
        <v>15</v>
      </c>
      <c r="B28" s="109" t="s">
        <v>37</v>
      </c>
      <c r="C28" s="94">
        <v>26</v>
      </c>
      <c r="D28" s="112">
        <v>1</v>
      </c>
      <c r="E28" s="112">
        <f t="shared" si="5"/>
        <v>494</v>
      </c>
      <c r="G28" s="109">
        <v>15</v>
      </c>
      <c r="H28" s="110">
        <v>45839</v>
      </c>
      <c r="I28" s="114">
        <f>SUM(C44:C47)</f>
        <v>47</v>
      </c>
      <c r="J28" s="114">
        <f>SUM(D44:D47)</f>
        <v>3</v>
      </c>
      <c r="K28" s="109">
        <f t="shared" si="6"/>
        <v>325</v>
      </c>
    </row>
    <row r="29" spans="1:41" ht="20.399999999999999" customHeight="1" x14ac:dyDescent="0.25">
      <c r="A29" s="99">
        <v>16</v>
      </c>
      <c r="B29" s="109" t="s">
        <v>38</v>
      </c>
      <c r="C29" s="94">
        <v>5</v>
      </c>
      <c r="D29" s="112"/>
      <c r="E29" s="112">
        <f t="shared" si="5"/>
        <v>499</v>
      </c>
      <c r="G29" s="109">
        <v>16</v>
      </c>
      <c r="H29" s="110">
        <v>45887</v>
      </c>
      <c r="I29" s="114">
        <f t="shared" ref="I29:J31" si="7">SUM(C48:C48)</f>
        <v>2</v>
      </c>
      <c r="J29" s="114">
        <f t="shared" si="7"/>
        <v>0</v>
      </c>
      <c r="K29" s="109">
        <f t="shared" si="6"/>
        <v>327</v>
      </c>
    </row>
    <row r="30" spans="1:41" ht="21.6" customHeight="1" x14ac:dyDescent="0.25">
      <c r="A30" s="99">
        <v>17</v>
      </c>
      <c r="B30" s="109" t="s">
        <v>39</v>
      </c>
      <c r="C30" s="94">
        <v>7</v>
      </c>
      <c r="D30" s="112"/>
      <c r="E30" s="112">
        <f t="shared" ref="E30" si="8">E29+C30-D30</f>
        <v>506</v>
      </c>
      <c r="G30" s="109">
        <v>17</v>
      </c>
      <c r="H30" s="110">
        <v>45901</v>
      </c>
      <c r="I30" s="114">
        <f t="shared" si="7"/>
        <v>8</v>
      </c>
      <c r="J30" s="114">
        <f t="shared" si="7"/>
        <v>0</v>
      </c>
      <c r="K30" s="109">
        <f t="shared" si="6"/>
        <v>335</v>
      </c>
    </row>
    <row r="31" spans="1:41" ht="22.2" customHeight="1" x14ac:dyDescent="0.25">
      <c r="A31" s="99">
        <v>18</v>
      </c>
      <c r="B31" s="109" t="s">
        <v>40</v>
      </c>
      <c r="C31" s="94"/>
      <c r="D31" s="112">
        <v>20</v>
      </c>
      <c r="E31" s="112">
        <f t="shared" ref="E31" si="9">E30+C31-D31</f>
        <v>486</v>
      </c>
      <c r="G31" s="109">
        <v>18</v>
      </c>
      <c r="H31" s="110">
        <v>45962</v>
      </c>
      <c r="I31" s="114">
        <f>SUM(C50:C51)</f>
        <v>4</v>
      </c>
      <c r="J31" s="114">
        <f t="shared" si="7"/>
        <v>2</v>
      </c>
      <c r="K31" s="109">
        <f t="shared" si="6"/>
        <v>337</v>
      </c>
    </row>
    <row r="32" spans="1:41" ht="22.2" customHeight="1" x14ac:dyDescent="0.25">
      <c r="A32" s="99">
        <v>19</v>
      </c>
      <c r="B32" s="109" t="s">
        <v>41</v>
      </c>
      <c r="C32" s="94"/>
      <c r="D32" s="112">
        <v>218</v>
      </c>
      <c r="E32" s="112">
        <f t="shared" ref="E32" si="10">E31+C32-D32</f>
        <v>268</v>
      </c>
      <c r="G32" s="109">
        <v>19</v>
      </c>
      <c r="H32" s="110">
        <v>46053</v>
      </c>
      <c r="I32" s="114">
        <f>SUM(C52:C55)</f>
        <v>114</v>
      </c>
      <c r="J32" s="114">
        <f t="shared" ref="J32:J37" si="11">SUM(D52:D52)</f>
        <v>0</v>
      </c>
      <c r="K32" s="109">
        <f t="shared" si="6"/>
        <v>451</v>
      </c>
    </row>
    <row r="33" spans="1:11" ht="22.8" customHeight="1" x14ac:dyDescent="0.25">
      <c r="A33" s="99">
        <v>20</v>
      </c>
      <c r="B33" s="109" t="s">
        <v>42</v>
      </c>
      <c r="C33" s="94"/>
      <c r="D33" s="112">
        <v>27</v>
      </c>
      <c r="E33" s="112">
        <f t="shared" ref="E33:E38" si="12">E32+C33-D33</f>
        <v>241</v>
      </c>
      <c r="G33" s="109">
        <v>20</v>
      </c>
      <c r="H33" s="110">
        <v>46081</v>
      </c>
      <c r="I33" s="114">
        <f>SUM(C56:C56)</f>
        <v>1</v>
      </c>
      <c r="J33" s="114">
        <f t="shared" si="11"/>
        <v>0</v>
      </c>
      <c r="K33" s="109">
        <f t="shared" ref="K33" si="13">K32+I33-J33</f>
        <v>452</v>
      </c>
    </row>
    <row r="34" spans="1:11" ht="25.8" customHeight="1" x14ac:dyDescent="0.25">
      <c r="A34" s="99">
        <v>21</v>
      </c>
      <c r="B34" s="109" t="s">
        <v>43</v>
      </c>
      <c r="C34" s="94">
        <v>19</v>
      </c>
      <c r="D34" s="112"/>
      <c r="E34" s="112">
        <f t="shared" si="12"/>
        <v>260</v>
      </c>
      <c r="G34" s="109">
        <v>21</v>
      </c>
      <c r="H34" s="110">
        <v>46082</v>
      </c>
      <c r="I34" s="114">
        <f>SUM(C57:C63)</f>
        <v>86</v>
      </c>
      <c r="J34" s="114">
        <f t="shared" si="11"/>
        <v>0</v>
      </c>
      <c r="K34" s="109">
        <f t="shared" ref="K34" si="14">K33+I34-J34</f>
        <v>538</v>
      </c>
    </row>
    <row r="35" spans="1:11" ht="23.4" customHeight="1" x14ac:dyDescent="0.25">
      <c r="A35" s="99">
        <v>22</v>
      </c>
      <c r="B35" s="109" t="s">
        <v>44</v>
      </c>
      <c r="C35" s="94">
        <v>1</v>
      </c>
      <c r="D35" s="112">
        <v>6</v>
      </c>
      <c r="E35" s="112">
        <f t="shared" si="12"/>
        <v>255</v>
      </c>
      <c r="G35" s="109">
        <v>22</v>
      </c>
      <c r="H35" s="110">
        <v>46114</v>
      </c>
      <c r="I35" s="114">
        <f>SUM(C64:C64)</f>
        <v>1</v>
      </c>
      <c r="J35" s="114">
        <f t="shared" si="11"/>
        <v>0</v>
      </c>
      <c r="K35" s="109">
        <f t="shared" ref="K35" si="15">K34+I35-J35</f>
        <v>539</v>
      </c>
    </row>
    <row r="36" spans="1:11" ht="23.4" customHeight="1" x14ac:dyDescent="0.25">
      <c r="A36" s="99">
        <v>23</v>
      </c>
      <c r="B36" s="109" t="s">
        <v>45</v>
      </c>
      <c r="C36" s="94">
        <v>1</v>
      </c>
      <c r="D36" s="112"/>
      <c r="E36" s="112">
        <f t="shared" si="12"/>
        <v>256</v>
      </c>
      <c r="G36" s="109">
        <v>23</v>
      </c>
      <c r="H36" s="110">
        <v>46145</v>
      </c>
      <c r="I36" s="114">
        <f>SUM(C65:C65)</f>
        <v>6</v>
      </c>
      <c r="J36" s="114">
        <f t="shared" si="11"/>
        <v>0</v>
      </c>
      <c r="K36" s="109">
        <f t="shared" ref="K36" si="16">K35+I36-J36</f>
        <v>545</v>
      </c>
    </row>
    <row r="37" spans="1:11" ht="23.4" customHeight="1" x14ac:dyDescent="0.25">
      <c r="A37" s="99">
        <v>24</v>
      </c>
      <c r="B37" s="109" t="s">
        <v>46</v>
      </c>
      <c r="C37" s="94">
        <v>6</v>
      </c>
      <c r="D37" s="112"/>
      <c r="E37" s="112">
        <f t="shared" si="12"/>
        <v>262</v>
      </c>
      <c r="G37" s="109">
        <v>24</v>
      </c>
      <c r="H37" s="110">
        <v>46177</v>
      </c>
      <c r="I37" s="114">
        <f>SUM(C66:C67)</f>
        <v>9</v>
      </c>
      <c r="J37" s="114">
        <f t="shared" si="11"/>
        <v>0</v>
      </c>
      <c r="K37" s="109">
        <f t="shared" ref="K37" si="17">K36+I37-J37</f>
        <v>554</v>
      </c>
    </row>
    <row r="38" spans="1:11" ht="23.4" customHeight="1" x14ac:dyDescent="0.25">
      <c r="A38" s="99">
        <v>25</v>
      </c>
      <c r="B38" s="109" t="s">
        <v>47</v>
      </c>
      <c r="C38" s="94"/>
      <c r="D38" s="112">
        <v>4</v>
      </c>
      <c r="E38" s="112">
        <f t="shared" si="12"/>
        <v>258</v>
      </c>
      <c r="G38" s="109">
        <v>25</v>
      </c>
      <c r="H38" s="110">
        <v>46221</v>
      </c>
      <c r="I38" s="114">
        <f>SUM(C68:C68)</f>
        <v>40</v>
      </c>
      <c r="J38" s="114">
        <f t="shared" ref="J38" si="18">SUM(D58:D58)</f>
        <v>0</v>
      </c>
      <c r="K38" s="109">
        <f t="shared" ref="K38" si="19">K37+I38-J38</f>
        <v>594</v>
      </c>
    </row>
    <row r="39" spans="1:11" ht="23.4" customHeight="1" x14ac:dyDescent="0.25">
      <c r="A39" s="99">
        <v>26</v>
      </c>
      <c r="B39" s="109" t="s">
        <v>48</v>
      </c>
      <c r="C39" s="94">
        <v>4</v>
      </c>
      <c r="D39" s="112"/>
      <c r="E39" s="112">
        <f t="shared" ref="E39" si="20">E38+C39-D39</f>
        <v>262</v>
      </c>
      <c r="G39" s="109">
        <v>26</v>
      </c>
      <c r="H39" s="110">
        <v>46237</v>
      </c>
      <c r="I39" s="114">
        <f>SUM(C69:C70)</f>
        <v>40</v>
      </c>
      <c r="J39" s="114">
        <f t="shared" ref="J39" si="21">SUM(D59:D59)</f>
        <v>0</v>
      </c>
      <c r="K39" s="109">
        <f t="shared" ref="K39" si="22">K38+I39-J39</f>
        <v>634</v>
      </c>
    </row>
    <row r="40" spans="1:11" ht="23.4" customHeight="1" x14ac:dyDescent="0.25">
      <c r="A40" s="99">
        <v>27</v>
      </c>
      <c r="B40" s="109" t="s">
        <v>49</v>
      </c>
      <c r="C40" s="94">
        <v>9</v>
      </c>
      <c r="D40" s="112"/>
      <c r="E40" s="112">
        <f t="shared" ref="E40" si="23">E39+C40-D40</f>
        <v>271</v>
      </c>
      <c r="G40" s="109">
        <v>27</v>
      </c>
      <c r="H40" s="110">
        <v>46269</v>
      </c>
      <c r="I40" s="114">
        <f>SUM(C71:C72)</f>
        <v>39</v>
      </c>
      <c r="J40" s="114">
        <f t="shared" ref="J40" si="24">SUM(D60:D60)</f>
        <v>0</v>
      </c>
      <c r="K40" s="109">
        <f t="shared" ref="K40" si="25">K39+I40-J40</f>
        <v>673</v>
      </c>
    </row>
    <row r="41" spans="1:11" ht="23.4" customHeight="1" x14ac:dyDescent="0.25">
      <c r="A41" s="99">
        <v>28</v>
      </c>
      <c r="B41" s="109" t="s">
        <v>50</v>
      </c>
      <c r="C41" s="94">
        <v>10</v>
      </c>
      <c r="D41" s="112">
        <v>1</v>
      </c>
      <c r="E41" s="112">
        <f t="shared" ref="E41" si="26">E40+C41-D41</f>
        <v>280</v>
      </c>
    </row>
    <row r="42" spans="1:11" ht="24.6" customHeight="1" x14ac:dyDescent="0.25">
      <c r="A42" s="99">
        <v>29</v>
      </c>
      <c r="B42" s="109" t="s">
        <v>51</v>
      </c>
      <c r="C42" s="94"/>
      <c r="D42" s="112">
        <v>1</v>
      </c>
      <c r="E42" s="112">
        <f t="shared" ref="E42:E43" si="27">E41+C42-D42</f>
        <v>279</v>
      </c>
    </row>
    <row r="43" spans="1:11" ht="22.8" customHeight="1" x14ac:dyDescent="0.25">
      <c r="A43" s="99">
        <v>30</v>
      </c>
      <c r="B43" s="109" t="s">
        <v>52</v>
      </c>
      <c r="C43" s="94">
        <v>2</v>
      </c>
      <c r="D43" s="112"/>
      <c r="E43" s="112">
        <f t="shared" si="27"/>
        <v>281</v>
      </c>
    </row>
    <row r="44" spans="1:11" ht="22.8" customHeight="1" x14ac:dyDescent="0.25">
      <c r="A44" s="99">
        <v>31</v>
      </c>
      <c r="B44" s="109" t="s">
        <v>53</v>
      </c>
      <c r="C44" s="94">
        <v>8</v>
      </c>
      <c r="D44" s="112"/>
      <c r="E44" s="112">
        <f t="shared" ref="E44" si="28">E43+C44-D44</f>
        <v>289</v>
      </c>
    </row>
    <row r="45" spans="1:11" x14ac:dyDescent="0.25">
      <c r="A45" s="99">
        <v>32</v>
      </c>
      <c r="B45" s="109" t="s">
        <v>54</v>
      </c>
      <c r="C45" s="94"/>
      <c r="D45" s="112">
        <v>3</v>
      </c>
      <c r="E45" s="112">
        <f t="shared" ref="E45" si="29">E44+C45-D45</f>
        <v>286</v>
      </c>
    </row>
    <row r="46" spans="1:11" x14ac:dyDescent="0.25">
      <c r="A46" s="99">
        <v>33</v>
      </c>
      <c r="B46" s="109" t="s">
        <v>55</v>
      </c>
      <c r="C46" s="94">
        <v>38</v>
      </c>
      <c r="D46" s="112"/>
      <c r="E46" s="112">
        <f t="shared" ref="E46" si="30">E45+C46-D46</f>
        <v>324</v>
      </c>
    </row>
    <row r="47" spans="1:11" x14ac:dyDescent="0.25">
      <c r="A47" s="99">
        <v>34</v>
      </c>
      <c r="B47" s="109" t="s">
        <v>56</v>
      </c>
      <c r="C47" s="94">
        <v>1</v>
      </c>
      <c r="D47" s="112"/>
      <c r="E47" s="112">
        <f t="shared" ref="E47" si="31">E46+C47-D47</f>
        <v>325</v>
      </c>
    </row>
    <row r="48" spans="1:11" x14ac:dyDescent="0.25">
      <c r="A48" s="99">
        <v>35</v>
      </c>
      <c r="B48" s="109" t="s">
        <v>57</v>
      </c>
      <c r="C48" s="94">
        <v>2</v>
      </c>
      <c r="D48" s="112"/>
      <c r="E48" s="112">
        <f t="shared" ref="E48" si="32">E47+C48-D48</f>
        <v>327</v>
      </c>
    </row>
    <row r="49" spans="1:5" x14ac:dyDescent="0.25">
      <c r="A49" s="99">
        <v>36</v>
      </c>
      <c r="B49" s="109" t="s">
        <v>58</v>
      </c>
      <c r="C49" s="94">
        <v>8</v>
      </c>
      <c r="D49" s="112"/>
      <c r="E49" s="112">
        <f t="shared" ref="E49" si="33">E48+C49-D49</f>
        <v>335</v>
      </c>
    </row>
    <row r="50" spans="1:5" x14ac:dyDescent="0.25">
      <c r="A50" s="99">
        <v>37</v>
      </c>
      <c r="B50" s="109" t="s">
        <v>59</v>
      </c>
      <c r="C50" s="94"/>
      <c r="D50" s="112">
        <v>2</v>
      </c>
      <c r="E50" s="112">
        <f t="shared" ref="E50" si="34">E49+C50-D50</f>
        <v>333</v>
      </c>
    </row>
    <row r="51" spans="1:5" x14ac:dyDescent="0.25">
      <c r="A51" s="99">
        <v>38</v>
      </c>
      <c r="B51" s="109" t="s">
        <v>60</v>
      </c>
      <c r="C51" s="94">
        <v>4</v>
      </c>
      <c r="D51" s="112"/>
      <c r="E51" s="112">
        <f t="shared" ref="E51" si="35">E50+C51-D51</f>
        <v>337</v>
      </c>
    </row>
    <row r="52" spans="1:5" x14ac:dyDescent="0.25">
      <c r="A52" s="99">
        <v>39</v>
      </c>
      <c r="B52" s="109" t="s">
        <v>61</v>
      </c>
      <c r="C52" s="94">
        <v>10</v>
      </c>
      <c r="D52" s="112"/>
      <c r="E52" s="112">
        <f t="shared" ref="E52" si="36">E51+C52-D52</f>
        <v>347</v>
      </c>
    </row>
    <row r="53" spans="1:5" x14ac:dyDescent="0.25">
      <c r="A53" s="99">
        <v>40</v>
      </c>
      <c r="B53" s="109" t="s">
        <v>62</v>
      </c>
      <c r="C53" s="94">
        <v>70</v>
      </c>
      <c r="D53" s="112"/>
      <c r="E53" s="112">
        <f t="shared" ref="E53" si="37">E52+C53-D53</f>
        <v>417</v>
      </c>
    </row>
    <row r="54" spans="1:5" x14ac:dyDescent="0.25">
      <c r="A54" s="99">
        <v>41</v>
      </c>
      <c r="B54" s="116" t="s">
        <v>63</v>
      </c>
      <c r="C54" s="94">
        <v>33</v>
      </c>
      <c r="D54" s="112"/>
      <c r="E54" s="112">
        <f t="shared" ref="E54" si="38">E53+C54-D54</f>
        <v>450</v>
      </c>
    </row>
    <row r="55" spans="1:5" x14ac:dyDescent="0.25">
      <c r="A55" s="99">
        <v>42</v>
      </c>
      <c r="B55" s="116" t="s">
        <v>64</v>
      </c>
      <c r="C55" s="94">
        <v>1</v>
      </c>
      <c r="D55" s="112"/>
      <c r="E55" s="112">
        <f t="shared" ref="E55" si="39">E54+C55-D55</f>
        <v>451</v>
      </c>
    </row>
    <row r="56" spans="1:5" x14ac:dyDescent="0.25">
      <c r="A56" s="99">
        <v>43</v>
      </c>
      <c r="B56" s="116" t="s">
        <v>65</v>
      </c>
      <c r="C56" s="94">
        <v>1</v>
      </c>
      <c r="D56" s="112"/>
      <c r="E56" s="112">
        <f t="shared" ref="E56" si="40">E55+C56-D56</f>
        <v>452</v>
      </c>
    </row>
    <row r="57" spans="1:5" x14ac:dyDescent="0.25">
      <c r="A57" s="99">
        <v>44</v>
      </c>
      <c r="B57" s="116" t="s">
        <v>66</v>
      </c>
      <c r="C57" s="94">
        <v>51</v>
      </c>
      <c r="D57" s="112"/>
      <c r="E57" s="112">
        <f t="shared" ref="E57" si="41">E56+C57-D57</f>
        <v>503</v>
      </c>
    </row>
    <row r="58" spans="1:5" x14ac:dyDescent="0.25">
      <c r="A58" s="99">
        <v>45</v>
      </c>
      <c r="B58" s="116" t="s">
        <v>67</v>
      </c>
      <c r="C58" s="94">
        <v>1</v>
      </c>
      <c r="D58" s="112"/>
      <c r="E58" s="112">
        <f t="shared" ref="E58" si="42">E57+C58-D58</f>
        <v>504</v>
      </c>
    </row>
    <row r="59" spans="1:5" x14ac:dyDescent="0.25">
      <c r="A59" s="99">
        <v>46</v>
      </c>
      <c r="B59" s="116" t="s">
        <v>68</v>
      </c>
      <c r="C59" s="94">
        <v>3</v>
      </c>
      <c r="D59" s="112"/>
      <c r="E59" s="112">
        <f t="shared" ref="E59" si="43">E58+C59-D59</f>
        <v>507</v>
      </c>
    </row>
    <row r="60" spans="1:5" x14ac:dyDescent="0.25">
      <c r="A60" s="99">
        <v>47</v>
      </c>
      <c r="B60" s="116" t="s">
        <v>69</v>
      </c>
      <c r="C60" s="94">
        <v>19</v>
      </c>
      <c r="D60" s="112"/>
      <c r="E60" s="112">
        <f t="shared" ref="E60:E61" si="44">E59+C60-D60</f>
        <v>526</v>
      </c>
    </row>
    <row r="61" spans="1:5" x14ac:dyDescent="0.25">
      <c r="A61" s="99">
        <v>48</v>
      </c>
      <c r="B61" s="116" t="s">
        <v>70</v>
      </c>
      <c r="C61" s="94">
        <v>4</v>
      </c>
      <c r="D61" s="112"/>
      <c r="E61" s="112">
        <f t="shared" si="44"/>
        <v>530</v>
      </c>
    </row>
    <row r="62" spans="1:5" x14ac:dyDescent="0.25">
      <c r="A62" s="99">
        <v>49</v>
      </c>
      <c r="B62" s="116" t="s">
        <v>71</v>
      </c>
      <c r="C62" s="94">
        <v>6</v>
      </c>
      <c r="D62" s="112"/>
      <c r="E62" s="112">
        <f t="shared" ref="E62" si="45">E61+C62-D62</f>
        <v>536</v>
      </c>
    </row>
    <row r="63" spans="1:5" x14ac:dyDescent="0.25">
      <c r="A63" s="99">
        <v>50</v>
      </c>
      <c r="B63" s="116" t="s">
        <v>72</v>
      </c>
      <c r="C63" s="94">
        <v>2</v>
      </c>
      <c r="D63" s="112"/>
      <c r="E63" s="112">
        <f t="shared" ref="E63:E68" si="46">E62+C63-D63</f>
        <v>538</v>
      </c>
    </row>
    <row r="64" spans="1:5" x14ac:dyDescent="0.25">
      <c r="A64" s="117">
        <v>51</v>
      </c>
      <c r="B64" s="125" t="s">
        <v>411</v>
      </c>
      <c r="C64" s="94">
        <v>1</v>
      </c>
      <c r="D64" s="112"/>
      <c r="E64" s="112">
        <f t="shared" si="46"/>
        <v>539</v>
      </c>
    </row>
    <row r="65" spans="1:5" x14ac:dyDescent="0.25">
      <c r="A65" s="126">
        <v>52</v>
      </c>
      <c r="B65" s="125" t="s">
        <v>412</v>
      </c>
      <c r="C65" s="94">
        <v>6</v>
      </c>
      <c r="D65" s="112"/>
      <c r="E65" s="112">
        <f t="shared" si="46"/>
        <v>545</v>
      </c>
    </row>
    <row r="66" spans="1:5" x14ac:dyDescent="0.25">
      <c r="A66" s="128">
        <v>53</v>
      </c>
      <c r="B66" s="125" t="s">
        <v>413</v>
      </c>
      <c r="C66" s="94">
        <v>1</v>
      </c>
      <c r="D66" s="112"/>
      <c r="E66" s="112">
        <f t="shared" si="46"/>
        <v>546</v>
      </c>
    </row>
    <row r="67" spans="1:5" x14ac:dyDescent="0.25">
      <c r="A67" s="129">
        <v>54</v>
      </c>
      <c r="B67" s="125" t="s">
        <v>414</v>
      </c>
      <c r="C67" s="94">
        <v>8</v>
      </c>
      <c r="D67" s="112"/>
      <c r="E67" s="112">
        <f t="shared" si="46"/>
        <v>554</v>
      </c>
    </row>
    <row r="68" spans="1:5" x14ac:dyDescent="0.25">
      <c r="A68" s="130">
        <v>55</v>
      </c>
      <c r="B68" s="125" t="s">
        <v>415</v>
      </c>
      <c r="C68" s="94">
        <v>40</v>
      </c>
      <c r="D68" s="112"/>
      <c r="E68" s="112">
        <f t="shared" si="46"/>
        <v>594</v>
      </c>
    </row>
    <row r="69" spans="1:5" x14ac:dyDescent="0.25">
      <c r="A69" s="132">
        <v>56</v>
      </c>
      <c r="B69" s="125" t="s">
        <v>423</v>
      </c>
      <c r="C69" s="94">
        <v>20</v>
      </c>
      <c r="D69" s="112"/>
      <c r="E69" s="112">
        <f t="shared" ref="E69" si="47">E68+C69-D69</f>
        <v>614</v>
      </c>
    </row>
    <row r="70" spans="1:5" x14ac:dyDescent="0.25">
      <c r="A70" s="133">
        <v>57</v>
      </c>
      <c r="B70" s="125" t="s">
        <v>426</v>
      </c>
      <c r="C70" s="94">
        <v>20</v>
      </c>
      <c r="D70" s="112"/>
      <c r="E70" s="112">
        <f t="shared" ref="E70" si="48">E69+C70-D70</f>
        <v>634</v>
      </c>
    </row>
    <row r="71" spans="1:5" x14ac:dyDescent="0.25">
      <c r="A71" s="134">
        <v>58</v>
      </c>
      <c r="B71" s="125" t="s">
        <v>428</v>
      </c>
      <c r="C71" s="94">
        <v>37</v>
      </c>
      <c r="D71" s="112"/>
      <c r="E71" s="112">
        <f t="shared" ref="E71" si="49">E70+C71-D71</f>
        <v>671</v>
      </c>
    </row>
    <row r="72" spans="1:5" x14ac:dyDescent="0.25">
      <c r="A72" s="134">
        <v>59</v>
      </c>
      <c r="B72" s="125" t="s">
        <v>429</v>
      </c>
      <c r="C72" s="94">
        <v>2</v>
      </c>
      <c r="D72" s="112"/>
      <c r="E72" s="112">
        <f t="shared" ref="E72" si="50">E71+C72-D72</f>
        <v>673</v>
      </c>
    </row>
  </sheetData>
  <mergeCells count="10">
    <mergeCell ref="M12:P12"/>
    <mergeCell ref="A2:A3"/>
    <mergeCell ref="B2:B3"/>
    <mergeCell ref="C2:C3"/>
    <mergeCell ref="D2:D3"/>
    <mergeCell ref="A1:J1"/>
    <mergeCell ref="E2:G2"/>
    <mergeCell ref="H2:J2"/>
    <mergeCell ref="A12:E12"/>
    <mergeCell ref="G12:J12"/>
  </mergeCells>
  <phoneticPr fontId="2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989"/>
  <sheetViews>
    <sheetView tabSelected="1" zoomScale="70" zoomScaleNormal="70" workbookViewId="0">
      <pane ySplit="1" topLeftCell="A2" activePane="bottomLeft" state="frozen"/>
      <selection pane="bottomLeft" activeCell="J368" sqref="J368"/>
    </sheetView>
  </sheetViews>
  <sheetFormatPr defaultColWidth="8.77734375" defaultRowHeight="14.4" x14ac:dyDescent="0.25"/>
  <cols>
    <col min="1" max="1" width="5.6640625" style="39" customWidth="1"/>
    <col min="2" max="2" width="8.77734375" style="39"/>
    <col min="3" max="3" width="12.33203125" style="39" customWidth="1"/>
    <col min="4" max="4" width="8.88671875" style="39" customWidth="1"/>
    <col min="5" max="5" width="17.109375" style="40" customWidth="1"/>
    <col min="6" max="6" width="18.109375" style="39" customWidth="1"/>
    <col min="7" max="7" width="19" style="39" customWidth="1"/>
    <col min="8" max="8" width="15.21875" style="39" customWidth="1"/>
    <col min="9" max="9" width="8.109375" style="39" customWidth="1"/>
    <col min="10" max="10" width="8.77734375" style="39"/>
    <col min="11" max="11" width="17" style="41" customWidth="1"/>
    <col min="12" max="12" width="18.88671875" style="42" customWidth="1"/>
    <col min="13" max="13" width="20.33203125" style="43" customWidth="1"/>
    <col min="14" max="14" width="15.33203125" style="39" customWidth="1"/>
    <col min="15" max="15" width="18.44140625" style="39" customWidth="1"/>
    <col min="16" max="16" width="16.77734375" style="39" customWidth="1"/>
    <col min="17" max="22" width="17.77734375" style="39" customWidth="1"/>
    <col min="23" max="25" width="19.44140625" style="39" customWidth="1"/>
    <col min="26" max="28" width="17.5546875" style="39" customWidth="1"/>
    <col min="29" max="31" width="19.77734375" style="39" customWidth="1"/>
    <col min="32" max="16384" width="8.77734375" style="39"/>
  </cols>
  <sheetData>
    <row r="1" spans="1:31" s="38" customFormat="1" ht="43.2" x14ac:dyDescent="0.25">
      <c r="A1" s="44" t="s">
        <v>73</v>
      </c>
      <c r="B1" s="45" t="s">
        <v>74</v>
      </c>
      <c r="C1" s="46" t="s">
        <v>75</v>
      </c>
      <c r="D1" s="47" t="s">
        <v>76</v>
      </c>
      <c r="E1" s="48" t="s">
        <v>77</v>
      </c>
      <c r="F1" s="49" t="s">
        <v>78</v>
      </c>
      <c r="G1" s="45" t="s">
        <v>79</v>
      </c>
      <c r="H1" s="45" t="s">
        <v>80</v>
      </c>
      <c r="I1" s="45" t="s">
        <v>81</v>
      </c>
      <c r="J1" s="46" t="s">
        <v>82</v>
      </c>
      <c r="K1" s="50" t="s">
        <v>83</v>
      </c>
      <c r="L1" s="51" t="s">
        <v>78</v>
      </c>
      <c r="M1" s="52" t="s">
        <v>84</v>
      </c>
      <c r="N1" s="50" t="s">
        <v>83</v>
      </c>
      <c r="O1" s="51" t="s">
        <v>78</v>
      </c>
      <c r="P1" s="52" t="s">
        <v>84</v>
      </c>
      <c r="Q1" s="50" t="s">
        <v>83</v>
      </c>
      <c r="R1" s="51" t="s">
        <v>78</v>
      </c>
      <c r="S1" s="52" t="s">
        <v>84</v>
      </c>
      <c r="T1" s="50" t="s">
        <v>83</v>
      </c>
      <c r="U1" s="51" t="s">
        <v>78</v>
      </c>
      <c r="V1" s="52" t="s">
        <v>84</v>
      </c>
      <c r="W1" s="50" t="s">
        <v>83</v>
      </c>
      <c r="X1" s="51" t="s">
        <v>78</v>
      </c>
      <c r="Y1" s="52" t="s">
        <v>84</v>
      </c>
      <c r="Z1" s="50" t="s">
        <v>83</v>
      </c>
      <c r="AA1" s="51" t="s">
        <v>78</v>
      </c>
      <c r="AB1" s="52" t="s">
        <v>84</v>
      </c>
      <c r="AC1" s="50" t="s">
        <v>83</v>
      </c>
      <c r="AD1" s="51" t="s">
        <v>78</v>
      </c>
      <c r="AE1" s="52" t="s">
        <v>84</v>
      </c>
    </row>
    <row r="2" spans="1:31" s="38" customFormat="1" ht="14.4" customHeight="1" x14ac:dyDescent="0.25">
      <c r="A2" s="44">
        <v>1</v>
      </c>
      <c r="B2" s="45" t="s">
        <v>85</v>
      </c>
      <c r="C2" s="46" t="s">
        <v>86</v>
      </c>
      <c r="D2" s="46" t="s">
        <v>87</v>
      </c>
      <c r="E2" s="53"/>
      <c r="F2" s="45"/>
      <c r="G2" s="45"/>
      <c r="H2" s="54" t="s">
        <v>88</v>
      </c>
      <c r="I2" s="55">
        <v>16000</v>
      </c>
      <c r="J2" s="46"/>
      <c r="K2" s="50"/>
      <c r="L2" s="56"/>
      <c r="M2" s="57"/>
      <c r="N2" s="58"/>
    </row>
    <row r="3" spans="1:31" s="38" customFormat="1" ht="14.4" customHeight="1" x14ac:dyDescent="0.25">
      <c r="A3" s="44">
        <v>2</v>
      </c>
      <c r="B3" s="45" t="s">
        <v>85</v>
      </c>
      <c r="C3" s="46" t="s">
        <v>86</v>
      </c>
      <c r="D3" s="46" t="s">
        <v>89</v>
      </c>
      <c r="E3" s="53"/>
      <c r="F3" s="45"/>
      <c r="G3" s="45"/>
      <c r="H3" s="59" t="s">
        <v>90</v>
      </c>
      <c r="I3" s="60">
        <v>12000</v>
      </c>
      <c r="J3" s="46"/>
      <c r="K3" s="50"/>
      <c r="L3" s="56"/>
      <c r="M3" s="57"/>
      <c r="N3" s="58"/>
    </row>
    <row r="4" spans="1:31" s="38" customFormat="1" ht="14.4" customHeight="1" x14ac:dyDescent="0.25">
      <c r="A4" s="44">
        <v>3</v>
      </c>
      <c r="B4" s="45" t="s">
        <v>85</v>
      </c>
      <c r="C4" s="46" t="s">
        <v>86</v>
      </c>
      <c r="D4" s="46" t="s">
        <v>91</v>
      </c>
      <c r="E4" s="53"/>
      <c r="F4" s="45"/>
      <c r="G4" s="45"/>
      <c r="H4" s="59" t="s">
        <v>90</v>
      </c>
      <c r="I4" s="60">
        <v>12000</v>
      </c>
      <c r="J4" s="46"/>
      <c r="K4" s="50"/>
      <c r="L4" s="56"/>
      <c r="M4" s="57"/>
      <c r="N4" s="58"/>
    </row>
    <row r="5" spans="1:31" s="38" customFormat="1" ht="14.4" customHeight="1" x14ac:dyDescent="0.25">
      <c r="A5" s="44">
        <v>4</v>
      </c>
      <c r="B5" s="45" t="s">
        <v>85</v>
      </c>
      <c r="C5" s="46" t="s">
        <v>86</v>
      </c>
      <c r="D5" s="46" t="s">
        <v>92</v>
      </c>
      <c r="E5" s="61"/>
      <c r="H5" s="59" t="s">
        <v>90</v>
      </c>
      <c r="I5" s="60">
        <v>12000</v>
      </c>
      <c r="K5" s="62"/>
      <c r="L5" s="63"/>
      <c r="M5" s="57"/>
    </row>
    <row r="6" spans="1:31" s="38" customFormat="1" ht="14.4" customHeight="1" x14ac:dyDescent="0.25">
      <c r="A6" s="44">
        <v>5</v>
      </c>
      <c r="B6" s="45" t="s">
        <v>85</v>
      </c>
      <c r="C6" s="46" t="s">
        <v>86</v>
      </c>
      <c r="D6" s="46" t="s">
        <v>93</v>
      </c>
      <c r="E6" s="61"/>
      <c r="H6" s="59" t="s">
        <v>90</v>
      </c>
      <c r="I6" s="60">
        <v>12000</v>
      </c>
      <c r="K6" s="62"/>
      <c r="L6" s="63"/>
      <c r="M6" s="57"/>
    </row>
    <row r="7" spans="1:31" s="38" customFormat="1" ht="14.4" customHeight="1" x14ac:dyDescent="0.25">
      <c r="A7" s="44">
        <v>6</v>
      </c>
      <c r="B7" s="45" t="s">
        <v>85</v>
      </c>
      <c r="C7" s="46" t="s">
        <v>86</v>
      </c>
      <c r="D7" s="46" t="s">
        <v>94</v>
      </c>
      <c r="E7" s="61"/>
      <c r="H7" s="59" t="s">
        <v>90</v>
      </c>
      <c r="I7" s="60">
        <v>12000</v>
      </c>
      <c r="K7" s="62"/>
      <c r="L7" s="63"/>
      <c r="M7" s="57"/>
    </row>
    <row r="8" spans="1:31" s="38" customFormat="1" ht="14.4" customHeight="1" x14ac:dyDescent="0.25">
      <c r="A8" s="44">
        <v>7</v>
      </c>
      <c r="B8" s="45" t="s">
        <v>85</v>
      </c>
      <c r="C8" s="46" t="s">
        <v>86</v>
      </c>
      <c r="D8" s="46" t="s">
        <v>95</v>
      </c>
      <c r="E8" s="61"/>
      <c r="H8" s="59" t="s">
        <v>90</v>
      </c>
      <c r="I8" s="60">
        <v>12000</v>
      </c>
      <c r="K8" s="62"/>
      <c r="L8" s="63"/>
      <c r="M8" s="57"/>
    </row>
    <row r="9" spans="1:31" s="38" customFormat="1" ht="14.4" customHeight="1" x14ac:dyDescent="0.25">
      <c r="A9" s="44">
        <v>8</v>
      </c>
      <c r="B9" s="45" t="s">
        <v>85</v>
      </c>
      <c r="C9" s="46" t="s">
        <v>86</v>
      </c>
      <c r="D9" s="46" t="s">
        <v>96</v>
      </c>
      <c r="E9" s="61"/>
      <c r="H9" s="59" t="s">
        <v>90</v>
      </c>
      <c r="I9" s="60">
        <v>12000</v>
      </c>
      <c r="K9" s="62"/>
      <c r="L9" s="63"/>
      <c r="M9" s="57"/>
    </row>
    <row r="10" spans="1:31" s="38" customFormat="1" ht="14.4" customHeight="1" x14ac:dyDescent="0.25">
      <c r="A10" s="44">
        <v>9</v>
      </c>
      <c r="B10" s="45" t="s">
        <v>85</v>
      </c>
      <c r="C10" s="46" t="s">
        <v>86</v>
      </c>
      <c r="D10" s="46" t="s">
        <v>97</v>
      </c>
      <c r="E10" s="61"/>
      <c r="H10" s="59" t="s">
        <v>90</v>
      </c>
      <c r="I10" s="60">
        <v>12000</v>
      </c>
      <c r="K10" s="62"/>
      <c r="L10" s="63"/>
      <c r="M10" s="57"/>
    </row>
    <row r="11" spans="1:31" s="38" customFormat="1" ht="14.4" customHeight="1" x14ac:dyDescent="0.25">
      <c r="A11" s="44">
        <v>10</v>
      </c>
      <c r="B11" s="45" t="s">
        <v>85</v>
      </c>
      <c r="C11" s="46" t="s">
        <v>86</v>
      </c>
      <c r="D11" s="46" t="s">
        <v>98</v>
      </c>
      <c r="E11" s="61"/>
      <c r="H11" s="59" t="s">
        <v>90</v>
      </c>
      <c r="I11" s="60">
        <v>12000</v>
      </c>
      <c r="K11" s="62"/>
      <c r="L11" s="63"/>
      <c r="M11" s="57"/>
    </row>
    <row r="12" spans="1:31" s="38" customFormat="1" ht="14.4" customHeight="1" x14ac:dyDescent="0.25">
      <c r="A12" s="44">
        <v>11</v>
      </c>
      <c r="B12" s="45" t="s">
        <v>85</v>
      </c>
      <c r="C12" s="46" t="s">
        <v>86</v>
      </c>
      <c r="D12" s="46" t="s">
        <v>99</v>
      </c>
      <c r="E12" s="53"/>
      <c r="F12" s="45"/>
      <c r="G12" s="45"/>
      <c r="H12" s="59" t="s">
        <v>90</v>
      </c>
      <c r="I12" s="60">
        <v>12000</v>
      </c>
      <c r="J12" s="46"/>
      <c r="K12" s="50"/>
      <c r="L12" s="56"/>
      <c r="M12" s="57"/>
      <c r="N12" s="58"/>
    </row>
    <row r="13" spans="1:31" s="38" customFormat="1" ht="14.4" customHeight="1" x14ac:dyDescent="0.25">
      <c r="A13" s="44">
        <v>12</v>
      </c>
      <c r="B13" s="45" t="s">
        <v>85</v>
      </c>
      <c r="C13" s="46" t="s">
        <v>86</v>
      </c>
      <c r="D13" s="46" t="s">
        <v>100</v>
      </c>
      <c r="E13" s="61"/>
      <c r="H13" s="59" t="s">
        <v>90</v>
      </c>
      <c r="I13" s="60">
        <v>12000</v>
      </c>
      <c r="K13" s="62"/>
      <c r="L13" s="63"/>
      <c r="M13" s="57"/>
    </row>
    <row r="14" spans="1:31" s="38" customFormat="1" ht="14.4" customHeight="1" x14ac:dyDescent="0.25">
      <c r="A14" s="44">
        <v>13</v>
      </c>
      <c r="B14" s="45" t="s">
        <v>85</v>
      </c>
      <c r="C14" s="46" t="s">
        <v>86</v>
      </c>
      <c r="D14" s="46" t="s">
        <v>101</v>
      </c>
      <c r="E14" s="61"/>
      <c r="H14" s="59" t="s">
        <v>90</v>
      </c>
      <c r="I14" s="60">
        <v>12000</v>
      </c>
      <c r="K14" s="62"/>
      <c r="L14" s="63"/>
      <c r="M14" s="57"/>
    </row>
    <row r="15" spans="1:31" s="38" customFormat="1" ht="14.4" customHeight="1" x14ac:dyDescent="0.25">
      <c r="A15" s="44">
        <v>14</v>
      </c>
      <c r="B15" s="45" t="s">
        <v>85</v>
      </c>
      <c r="C15" s="46" t="s">
        <v>86</v>
      </c>
      <c r="D15" s="46" t="s">
        <v>102</v>
      </c>
      <c r="E15" s="61"/>
      <c r="H15" s="59" t="s">
        <v>90</v>
      </c>
      <c r="I15" s="60">
        <v>12000</v>
      </c>
      <c r="K15" s="62"/>
      <c r="L15" s="63"/>
      <c r="M15" s="57"/>
    </row>
    <row r="16" spans="1:31" s="38" customFormat="1" ht="14.4" customHeight="1" x14ac:dyDescent="0.25">
      <c r="A16" s="44">
        <v>15</v>
      </c>
      <c r="B16" s="45" t="s">
        <v>85</v>
      </c>
      <c r="C16" s="46" t="s">
        <v>86</v>
      </c>
      <c r="D16" s="46" t="s">
        <v>103</v>
      </c>
      <c r="E16" s="61"/>
      <c r="H16" s="59" t="s">
        <v>90</v>
      </c>
      <c r="I16" s="60">
        <v>12000</v>
      </c>
      <c r="K16" s="62"/>
      <c r="L16" s="63"/>
      <c r="M16" s="57"/>
    </row>
    <row r="17" spans="1:13" s="38" customFormat="1" ht="14.4" customHeight="1" x14ac:dyDescent="0.25">
      <c r="A17" s="44">
        <v>16</v>
      </c>
      <c r="B17" s="45" t="s">
        <v>85</v>
      </c>
      <c r="C17" s="46" t="s">
        <v>86</v>
      </c>
      <c r="D17" s="46" t="s">
        <v>104</v>
      </c>
      <c r="E17" s="61"/>
      <c r="H17" s="59" t="s">
        <v>90</v>
      </c>
      <c r="I17" s="60">
        <v>12000</v>
      </c>
      <c r="K17" s="62"/>
      <c r="L17" s="63"/>
      <c r="M17" s="57"/>
    </row>
    <row r="18" spans="1:13" s="38" customFormat="1" ht="14.4" customHeight="1" x14ac:dyDescent="0.25">
      <c r="A18" s="44">
        <v>17</v>
      </c>
      <c r="B18" s="45" t="s">
        <v>85</v>
      </c>
      <c r="C18" s="46" t="s">
        <v>86</v>
      </c>
      <c r="D18" s="46" t="s">
        <v>105</v>
      </c>
      <c r="E18" s="38" t="s">
        <v>106</v>
      </c>
      <c r="F18" s="64">
        <v>45526.707569444399</v>
      </c>
      <c r="G18" s="64">
        <v>45531.3977662037</v>
      </c>
      <c r="H18" s="54" t="s">
        <v>88</v>
      </c>
      <c r="I18" s="55">
        <v>16000</v>
      </c>
      <c r="J18" s="58" t="s">
        <v>107</v>
      </c>
      <c r="K18" s="61" t="s">
        <v>108</v>
      </c>
      <c r="L18" s="64">
        <v>45464.653171296297</v>
      </c>
      <c r="M18" s="64">
        <v>45475.371446759302</v>
      </c>
    </row>
    <row r="19" spans="1:13" s="38" customFormat="1" ht="14.4" customHeight="1" x14ac:dyDescent="0.25">
      <c r="A19" s="44">
        <v>18</v>
      </c>
      <c r="B19" s="45" t="s">
        <v>85</v>
      </c>
      <c r="C19" s="46" t="s">
        <v>86</v>
      </c>
      <c r="D19" s="46" t="s">
        <v>109</v>
      </c>
      <c r="E19" s="61"/>
      <c r="H19" s="59" t="s">
        <v>90</v>
      </c>
      <c r="I19" s="60">
        <v>12000</v>
      </c>
      <c r="K19" s="62"/>
      <c r="L19" s="63"/>
      <c r="M19" s="57"/>
    </row>
    <row r="20" spans="1:13" s="38" customFormat="1" ht="14.4" customHeight="1" x14ac:dyDescent="0.25">
      <c r="A20" s="44">
        <v>19</v>
      </c>
      <c r="B20" s="45" t="s">
        <v>85</v>
      </c>
      <c r="C20" s="72" t="s">
        <v>86</v>
      </c>
      <c r="D20" s="72" t="s">
        <v>110</v>
      </c>
      <c r="E20" s="75" t="s">
        <v>146</v>
      </c>
      <c r="F20" s="76">
        <v>46254.8335532407</v>
      </c>
      <c r="G20" s="76">
        <v>46253.833773148202</v>
      </c>
      <c r="H20" s="59" t="s">
        <v>90</v>
      </c>
      <c r="I20" s="60">
        <v>12000</v>
      </c>
      <c r="J20" s="58" t="s">
        <v>107</v>
      </c>
      <c r="K20" s="67" t="s">
        <v>265</v>
      </c>
      <c r="L20" s="68">
        <v>46249.7258912037</v>
      </c>
      <c r="M20" s="68">
        <v>46252.747951388897</v>
      </c>
    </row>
    <row r="21" spans="1:13" s="38" customFormat="1" ht="14.4" customHeight="1" x14ac:dyDescent="0.25">
      <c r="A21" s="44">
        <v>20</v>
      </c>
      <c r="B21" s="45" t="s">
        <v>85</v>
      </c>
      <c r="C21" s="66" t="s">
        <v>86</v>
      </c>
      <c r="D21" s="66" t="s">
        <v>111</v>
      </c>
      <c r="E21" s="67" t="s">
        <v>108</v>
      </c>
      <c r="F21" s="68">
        <v>46262.836828703701</v>
      </c>
      <c r="G21" s="68">
        <v>46268.394155092603</v>
      </c>
      <c r="H21" s="59" t="s">
        <v>90</v>
      </c>
      <c r="I21" s="60">
        <v>12000</v>
      </c>
      <c r="J21" s="135" t="s">
        <v>427</v>
      </c>
      <c r="K21" s="62"/>
      <c r="L21" s="63"/>
      <c r="M21" s="57"/>
    </row>
    <row r="22" spans="1:13" s="38" customFormat="1" ht="14.4" customHeight="1" x14ac:dyDescent="0.25">
      <c r="A22" s="44">
        <v>21</v>
      </c>
      <c r="B22" s="45" t="s">
        <v>85</v>
      </c>
      <c r="C22" s="66" t="s">
        <v>86</v>
      </c>
      <c r="D22" s="66" t="s">
        <v>112</v>
      </c>
      <c r="E22" s="67" t="s">
        <v>108</v>
      </c>
      <c r="F22" s="68">
        <v>46263.430243055598</v>
      </c>
      <c r="G22" s="68">
        <v>46268.394201388903</v>
      </c>
      <c r="H22" s="59" t="s">
        <v>90</v>
      </c>
      <c r="I22" s="60">
        <v>12000</v>
      </c>
      <c r="J22" s="135" t="s">
        <v>427</v>
      </c>
      <c r="K22" s="62"/>
      <c r="L22" s="63"/>
      <c r="M22" s="57"/>
    </row>
    <row r="23" spans="1:13" s="38" customFormat="1" ht="14.4" customHeight="1" x14ac:dyDescent="0.25">
      <c r="A23" s="44">
        <v>22</v>
      </c>
      <c r="B23" s="45" t="s">
        <v>85</v>
      </c>
      <c r="C23" s="72" t="s">
        <v>86</v>
      </c>
      <c r="D23" s="72" t="s">
        <v>113</v>
      </c>
      <c r="E23" s="75" t="s">
        <v>146</v>
      </c>
      <c r="F23" s="76">
        <v>46254.8335532407</v>
      </c>
      <c r="G23" s="76">
        <v>46253.833773148202</v>
      </c>
      <c r="H23" s="59" t="s">
        <v>90</v>
      </c>
      <c r="I23" s="60">
        <v>12000</v>
      </c>
      <c r="J23" s="58" t="s">
        <v>107</v>
      </c>
      <c r="K23" s="67" t="s">
        <v>265</v>
      </c>
      <c r="L23" s="68">
        <v>46249.7258912037</v>
      </c>
      <c r="M23" s="68">
        <v>46252.747997685197</v>
      </c>
    </row>
    <row r="24" spans="1:13" s="38" customFormat="1" ht="14.4" customHeight="1" x14ac:dyDescent="0.25">
      <c r="A24" s="44">
        <v>23</v>
      </c>
      <c r="B24" s="45" t="s">
        <v>85</v>
      </c>
      <c r="C24" s="66" t="s">
        <v>86</v>
      </c>
      <c r="D24" s="66" t="s">
        <v>114</v>
      </c>
      <c r="E24" s="67" t="s">
        <v>108</v>
      </c>
      <c r="F24" s="68">
        <v>46263.427118055602</v>
      </c>
      <c r="G24" s="68">
        <v>46268.394247685203</v>
      </c>
      <c r="H24" s="59" t="s">
        <v>90</v>
      </c>
      <c r="I24" s="60">
        <v>12000</v>
      </c>
      <c r="J24" s="135" t="s">
        <v>427</v>
      </c>
      <c r="K24" s="62"/>
      <c r="L24" s="63"/>
      <c r="M24" s="57"/>
    </row>
    <row r="25" spans="1:13" s="38" customFormat="1" ht="14.4" customHeight="1" x14ac:dyDescent="0.25">
      <c r="A25" s="44">
        <v>24</v>
      </c>
      <c r="B25" s="45" t="s">
        <v>85</v>
      </c>
      <c r="C25" s="66" t="s">
        <v>86</v>
      </c>
      <c r="D25" s="66" t="s">
        <v>115</v>
      </c>
      <c r="E25" s="67" t="s">
        <v>108</v>
      </c>
      <c r="F25" s="68">
        <v>46263.636481481502</v>
      </c>
      <c r="G25" s="68">
        <v>46268.394293981502</v>
      </c>
      <c r="H25" s="59" t="s">
        <v>90</v>
      </c>
      <c r="I25" s="60">
        <v>12000</v>
      </c>
      <c r="J25" s="135" t="s">
        <v>427</v>
      </c>
      <c r="K25" s="62"/>
      <c r="L25" s="63"/>
      <c r="M25" s="57"/>
    </row>
    <row r="26" spans="1:13" s="38" customFormat="1" ht="14.4" customHeight="1" x14ac:dyDescent="0.25">
      <c r="A26" s="44">
        <v>25</v>
      </c>
      <c r="B26" s="45" t="s">
        <v>85</v>
      </c>
      <c r="C26" s="72" t="s">
        <v>86</v>
      </c>
      <c r="D26" s="72" t="s">
        <v>116</v>
      </c>
      <c r="E26" s="75" t="s">
        <v>146</v>
      </c>
      <c r="F26" s="76">
        <v>46254.8335532407</v>
      </c>
      <c r="G26" s="76">
        <v>46253.833773148202</v>
      </c>
      <c r="H26" s="59" t="s">
        <v>90</v>
      </c>
      <c r="I26" s="60">
        <v>12000</v>
      </c>
      <c r="J26" s="58" t="s">
        <v>107</v>
      </c>
      <c r="K26" s="67" t="s">
        <v>265</v>
      </c>
      <c r="L26" s="68">
        <v>46249.7258912037</v>
      </c>
      <c r="M26" s="68">
        <v>46252.748043981497</v>
      </c>
    </row>
    <row r="27" spans="1:13" s="38" customFormat="1" ht="14.4" customHeight="1" x14ac:dyDescent="0.25">
      <c r="A27" s="44">
        <v>26</v>
      </c>
      <c r="B27" s="45" t="s">
        <v>85</v>
      </c>
      <c r="C27" s="66" t="s">
        <v>86</v>
      </c>
      <c r="D27" s="66" t="s">
        <v>117</v>
      </c>
      <c r="E27" s="67" t="s">
        <v>108</v>
      </c>
      <c r="F27" s="68">
        <v>46263.633506944403</v>
      </c>
      <c r="G27" s="68">
        <v>46268.394340277802</v>
      </c>
      <c r="H27" s="59" t="s">
        <v>90</v>
      </c>
      <c r="I27" s="60">
        <v>12000</v>
      </c>
      <c r="J27" s="135" t="s">
        <v>427</v>
      </c>
      <c r="K27" s="62"/>
      <c r="L27" s="63"/>
      <c r="M27" s="57"/>
    </row>
    <row r="28" spans="1:13" s="38" customFormat="1" ht="14.4" customHeight="1" x14ac:dyDescent="0.25">
      <c r="A28" s="44">
        <v>27</v>
      </c>
      <c r="B28" s="45" t="s">
        <v>85</v>
      </c>
      <c r="C28" s="66" t="s">
        <v>86</v>
      </c>
      <c r="D28" s="66" t="s">
        <v>118</v>
      </c>
      <c r="E28" s="67" t="s">
        <v>108</v>
      </c>
      <c r="F28" s="68">
        <v>46262.837476851899</v>
      </c>
      <c r="G28" s="68">
        <v>46268.394386574102</v>
      </c>
      <c r="H28" s="59" t="s">
        <v>90</v>
      </c>
      <c r="I28" s="60">
        <v>12000</v>
      </c>
      <c r="J28" s="135" t="s">
        <v>427</v>
      </c>
      <c r="K28" s="62"/>
      <c r="L28" s="63"/>
      <c r="M28" s="57"/>
    </row>
    <row r="29" spans="1:13" s="38" customFormat="1" ht="14.4" customHeight="1" x14ac:dyDescent="0.25">
      <c r="A29" s="44">
        <v>28</v>
      </c>
      <c r="B29" s="45" t="s">
        <v>85</v>
      </c>
      <c r="C29" s="72" t="s">
        <v>86</v>
      </c>
      <c r="D29" s="72" t="s">
        <v>119</v>
      </c>
      <c r="E29" s="75" t="s">
        <v>146</v>
      </c>
      <c r="F29" s="76">
        <v>46254.8335532407</v>
      </c>
      <c r="G29" s="76">
        <v>46253.833773148202</v>
      </c>
      <c r="H29" s="59" t="s">
        <v>90</v>
      </c>
      <c r="I29" s="60">
        <v>12000</v>
      </c>
      <c r="J29" s="58" t="s">
        <v>107</v>
      </c>
      <c r="K29" s="67" t="s">
        <v>265</v>
      </c>
      <c r="L29" s="68">
        <v>46249.7258912037</v>
      </c>
      <c r="M29" s="68">
        <v>46252.748090277797</v>
      </c>
    </row>
    <row r="30" spans="1:13" s="38" customFormat="1" ht="14.4" customHeight="1" x14ac:dyDescent="0.25">
      <c r="A30" s="44">
        <v>29</v>
      </c>
      <c r="B30" s="45" t="s">
        <v>85</v>
      </c>
      <c r="C30" s="66" t="s">
        <v>86</v>
      </c>
      <c r="D30" s="66" t="s">
        <v>120</v>
      </c>
      <c r="E30" s="67" t="s">
        <v>108</v>
      </c>
      <c r="F30" s="68">
        <v>46262.8371527778</v>
      </c>
      <c r="G30" s="68">
        <v>46268.394432870402</v>
      </c>
      <c r="H30" s="59" t="s">
        <v>90</v>
      </c>
      <c r="I30" s="60">
        <v>12000</v>
      </c>
      <c r="J30" s="135" t="s">
        <v>427</v>
      </c>
      <c r="K30" s="62"/>
      <c r="L30" s="63"/>
      <c r="M30" s="57"/>
    </row>
    <row r="31" spans="1:13" s="38" customFormat="1" ht="14.4" customHeight="1" x14ac:dyDescent="0.25">
      <c r="A31" s="44">
        <v>30</v>
      </c>
      <c r="B31" s="45" t="s">
        <v>85</v>
      </c>
      <c r="C31" s="66" t="s">
        <v>86</v>
      </c>
      <c r="D31" s="66" t="s">
        <v>121</v>
      </c>
      <c r="E31" s="67" t="s">
        <v>108</v>
      </c>
      <c r="F31" s="68">
        <v>46262.836643518502</v>
      </c>
      <c r="G31" s="68">
        <v>46268.394479166702</v>
      </c>
      <c r="H31" s="59" t="s">
        <v>90</v>
      </c>
      <c r="I31" s="60">
        <v>12000</v>
      </c>
      <c r="J31" s="135" t="s">
        <v>427</v>
      </c>
      <c r="K31" s="62"/>
      <c r="L31" s="63"/>
      <c r="M31" s="57"/>
    </row>
    <row r="32" spans="1:13" s="38" customFormat="1" ht="14.4" customHeight="1" x14ac:dyDescent="0.25">
      <c r="A32" s="44">
        <v>31</v>
      </c>
      <c r="B32" s="45" t="s">
        <v>85</v>
      </c>
      <c r="C32" s="72" t="s">
        <v>86</v>
      </c>
      <c r="D32" s="72" t="s">
        <v>122</v>
      </c>
      <c r="E32" s="75" t="s">
        <v>146</v>
      </c>
      <c r="F32" s="76">
        <v>46254.8335532407</v>
      </c>
      <c r="G32" s="76">
        <v>46253.833773148202</v>
      </c>
      <c r="H32" s="59" t="s">
        <v>90</v>
      </c>
      <c r="I32" s="60">
        <v>12000</v>
      </c>
      <c r="J32" s="58" t="s">
        <v>107</v>
      </c>
      <c r="K32" s="67" t="s">
        <v>265</v>
      </c>
      <c r="L32" s="68">
        <v>46249.7258912037</v>
      </c>
      <c r="M32" s="68">
        <v>46252.748136574097</v>
      </c>
    </row>
    <row r="33" spans="1:19" s="38" customFormat="1" ht="14.4" customHeight="1" x14ac:dyDescent="0.25">
      <c r="A33" s="44">
        <v>32</v>
      </c>
      <c r="B33" s="45" t="s">
        <v>85</v>
      </c>
      <c r="C33" s="66" t="s">
        <v>86</v>
      </c>
      <c r="D33" s="66" t="s">
        <v>123</v>
      </c>
      <c r="E33" s="67" t="s">
        <v>108</v>
      </c>
      <c r="F33" s="68">
        <v>46262.8359837963</v>
      </c>
      <c r="G33" s="68">
        <v>46268.394525463002</v>
      </c>
      <c r="H33" s="59" t="s">
        <v>90</v>
      </c>
      <c r="I33" s="60">
        <v>12000</v>
      </c>
      <c r="J33" s="135" t="s">
        <v>427</v>
      </c>
      <c r="K33" s="62"/>
      <c r="L33" s="63"/>
      <c r="M33" s="57"/>
    </row>
    <row r="34" spans="1:19" s="38" customFormat="1" ht="14.4" customHeight="1" x14ac:dyDescent="0.25">
      <c r="A34" s="44">
        <v>33</v>
      </c>
      <c r="B34" s="45" t="s">
        <v>85</v>
      </c>
      <c r="C34" s="46" t="s">
        <v>86</v>
      </c>
      <c r="D34" s="46" t="s">
        <v>124</v>
      </c>
      <c r="E34" s="61"/>
      <c r="H34" s="59" t="s">
        <v>90</v>
      </c>
      <c r="I34" s="60">
        <v>12000</v>
      </c>
      <c r="K34" s="62"/>
      <c r="L34" s="63"/>
      <c r="M34" s="57"/>
    </row>
    <row r="35" spans="1:19" s="38" customFormat="1" ht="14.4" customHeight="1" x14ac:dyDescent="0.25">
      <c r="A35" s="44">
        <v>34</v>
      </c>
      <c r="B35" s="45" t="s">
        <v>85</v>
      </c>
      <c r="C35" s="46" t="s">
        <v>86</v>
      </c>
      <c r="D35" s="46" t="s">
        <v>125</v>
      </c>
      <c r="E35" s="61"/>
      <c r="H35" s="59" t="s">
        <v>90</v>
      </c>
      <c r="I35" s="60">
        <v>12000</v>
      </c>
      <c r="K35" s="62"/>
      <c r="L35" s="63"/>
      <c r="M35" s="57"/>
    </row>
    <row r="36" spans="1:19" s="38" customFormat="1" ht="14.4" customHeight="1" x14ac:dyDescent="0.25">
      <c r="A36" s="44">
        <v>35</v>
      </c>
      <c r="B36" s="45" t="s">
        <v>85</v>
      </c>
      <c r="C36" s="46" t="s">
        <v>86</v>
      </c>
      <c r="D36" s="38" t="s">
        <v>126</v>
      </c>
      <c r="E36" s="38" t="s">
        <v>106</v>
      </c>
      <c r="F36" s="64">
        <v>45709.694652777798</v>
      </c>
      <c r="G36" s="64">
        <v>45707.6947685185</v>
      </c>
      <c r="H36" s="54" t="s">
        <v>88</v>
      </c>
      <c r="I36" s="55">
        <v>16000</v>
      </c>
      <c r="J36" s="58" t="s">
        <v>107</v>
      </c>
      <c r="K36" s="61" t="s">
        <v>108</v>
      </c>
      <c r="L36" s="64">
        <v>45447.712962963</v>
      </c>
      <c r="M36" s="64">
        <v>45450.710856481499</v>
      </c>
      <c r="N36" s="38" t="s">
        <v>127</v>
      </c>
      <c r="O36" s="64">
        <v>45617.618750000001</v>
      </c>
      <c r="P36" s="64">
        <v>45622.666666666701</v>
      </c>
      <c r="Q36" s="58" t="s">
        <v>108</v>
      </c>
      <c r="R36" s="64">
        <v>45699.479861111096</v>
      </c>
      <c r="S36" s="64">
        <v>45699.479861111096</v>
      </c>
    </row>
    <row r="37" spans="1:19" s="38" customFormat="1" ht="14.4" customHeight="1" x14ac:dyDescent="0.25">
      <c r="A37" s="44">
        <v>36</v>
      </c>
      <c r="B37" s="45" t="s">
        <v>85</v>
      </c>
      <c r="C37" s="46" t="s">
        <v>86</v>
      </c>
      <c r="D37" s="38" t="s">
        <v>128</v>
      </c>
      <c r="E37" s="38" t="s">
        <v>106</v>
      </c>
      <c r="F37" s="64">
        <v>45709.712037037003</v>
      </c>
      <c r="G37" s="64">
        <v>45707.712141203701</v>
      </c>
      <c r="H37" s="59" t="s">
        <v>90</v>
      </c>
      <c r="I37" s="60">
        <v>12000</v>
      </c>
      <c r="J37" s="58" t="s">
        <v>107</v>
      </c>
      <c r="K37" s="61" t="s">
        <v>108</v>
      </c>
      <c r="L37" s="64">
        <v>45447.713101851798</v>
      </c>
      <c r="M37" s="64">
        <v>45450.711192129602</v>
      </c>
      <c r="N37" s="38" t="s">
        <v>127</v>
      </c>
      <c r="O37" s="64">
        <v>45617.618750000001</v>
      </c>
      <c r="P37" s="64">
        <v>45622.666666666701</v>
      </c>
      <c r="Q37" s="58" t="s">
        <v>108</v>
      </c>
      <c r="R37" s="64">
        <v>45699.479861111096</v>
      </c>
      <c r="S37" s="64">
        <v>45699.479861111096</v>
      </c>
    </row>
    <row r="38" spans="1:19" s="38" customFormat="1" ht="14.4" customHeight="1" x14ac:dyDescent="0.25">
      <c r="A38" s="44">
        <v>37</v>
      </c>
      <c r="B38" s="45" t="s">
        <v>85</v>
      </c>
      <c r="C38" s="46" t="s">
        <v>86</v>
      </c>
      <c r="D38" s="38" t="s">
        <v>129</v>
      </c>
      <c r="E38" s="38" t="s">
        <v>106</v>
      </c>
      <c r="F38" s="64">
        <v>45709.712037037003</v>
      </c>
      <c r="G38" s="64">
        <v>45707.7121527778</v>
      </c>
      <c r="H38" s="59" t="s">
        <v>90</v>
      </c>
      <c r="I38" s="60">
        <v>12000</v>
      </c>
      <c r="J38" s="58" t="s">
        <v>107</v>
      </c>
      <c r="K38" s="61" t="s">
        <v>108</v>
      </c>
      <c r="L38" s="64">
        <v>45447.713263888902</v>
      </c>
      <c r="M38" s="64">
        <v>45450.711307870399</v>
      </c>
      <c r="N38" s="38" t="s">
        <v>127</v>
      </c>
      <c r="O38" s="64">
        <v>45617.618750000001</v>
      </c>
      <c r="P38" s="64">
        <v>45622.666666666701</v>
      </c>
      <c r="Q38" s="58" t="s">
        <v>108</v>
      </c>
      <c r="R38" s="64">
        <v>45699.479861111096</v>
      </c>
      <c r="S38" s="64">
        <v>45699.479861111096</v>
      </c>
    </row>
    <row r="39" spans="1:19" s="38" customFormat="1" ht="14.4" customHeight="1" x14ac:dyDescent="0.25">
      <c r="A39" s="44">
        <v>38</v>
      </c>
      <c r="B39" s="45" t="s">
        <v>85</v>
      </c>
      <c r="C39" s="46" t="s">
        <v>86</v>
      </c>
      <c r="D39" s="38" t="s">
        <v>130</v>
      </c>
      <c r="E39" s="38" t="s">
        <v>106</v>
      </c>
      <c r="F39" s="64">
        <v>45709.712002314802</v>
      </c>
      <c r="G39" s="64">
        <v>45707.7121064815</v>
      </c>
      <c r="H39" s="59" t="s">
        <v>90</v>
      </c>
      <c r="I39" s="60">
        <v>12000</v>
      </c>
      <c r="J39" s="58" t="s">
        <v>107</v>
      </c>
      <c r="K39" s="61" t="s">
        <v>108</v>
      </c>
      <c r="L39" s="64">
        <v>45447.713379629597</v>
      </c>
      <c r="M39" s="64">
        <v>45450.711412037002</v>
      </c>
      <c r="N39" s="38" t="s">
        <v>127</v>
      </c>
      <c r="O39" s="64">
        <v>45617.618750000001</v>
      </c>
      <c r="P39" s="64">
        <v>45622.666666666701</v>
      </c>
      <c r="Q39" s="58" t="s">
        <v>108</v>
      </c>
      <c r="R39" s="64">
        <v>45699.479861111096</v>
      </c>
      <c r="S39" s="64">
        <v>45699.479861111096</v>
      </c>
    </row>
    <row r="40" spans="1:19" s="38" customFormat="1" ht="14.4" customHeight="1" x14ac:dyDescent="0.25">
      <c r="A40" s="44">
        <v>39</v>
      </c>
      <c r="B40" s="45" t="s">
        <v>85</v>
      </c>
      <c r="C40" s="46" t="s">
        <v>86</v>
      </c>
      <c r="D40" s="38" t="s">
        <v>131</v>
      </c>
      <c r="E40" s="38" t="s">
        <v>106</v>
      </c>
      <c r="F40" s="64">
        <v>45709.715462963002</v>
      </c>
      <c r="G40" s="64">
        <v>45707.715578703697</v>
      </c>
      <c r="H40" s="59" t="s">
        <v>90</v>
      </c>
      <c r="I40" s="60">
        <v>12000</v>
      </c>
      <c r="J40" s="58" t="s">
        <v>107</v>
      </c>
      <c r="K40" s="61" t="s">
        <v>108</v>
      </c>
      <c r="L40" s="64">
        <v>45447.713506944398</v>
      </c>
      <c r="M40" s="64">
        <v>45450.711516203701</v>
      </c>
      <c r="N40" s="38" t="s">
        <v>127</v>
      </c>
      <c r="O40" s="64">
        <v>45617.618750000001</v>
      </c>
      <c r="P40" s="64">
        <v>45622.666666666701</v>
      </c>
      <c r="Q40" s="58" t="s">
        <v>108</v>
      </c>
      <c r="R40" s="64">
        <v>45699.479861111096</v>
      </c>
      <c r="S40" s="64">
        <v>45699.479861111096</v>
      </c>
    </row>
    <row r="41" spans="1:19" s="38" customFormat="1" ht="14.4" customHeight="1" x14ac:dyDescent="0.25">
      <c r="A41" s="44">
        <v>40</v>
      </c>
      <c r="B41" s="45" t="s">
        <v>85</v>
      </c>
      <c r="C41" s="46" t="s">
        <v>86</v>
      </c>
      <c r="D41" s="38" t="s">
        <v>132</v>
      </c>
      <c r="E41" s="58" t="s">
        <v>108</v>
      </c>
      <c r="F41" s="64">
        <v>45699.479861111096</v>
      </c>
      <c r="G41" s="64">
        <v>45699.479861111096</v>
      </c>
      <c r="H41" s="59" t="s">
        <v>90</v>
      </c>
      <c r="I41" s="60">
        <v>12000</v>
      </c>
      <c r="J41" s="58" t="s">
        <v>107</v>
      </c>
      <c r="K41" s="61" t="s">
        <v>108</v>
      </c>
      <c r="L41" s="64">
        <v>45447.713692129597</v>
      </c>
      <c r="M41" s="64">
        <v>45450.7116087963</v>
      </c>
      <c r="N41" s="38" t="s">
        <v>127</v>
      </c>
      <c r="O41" s="64">
        <v>45617.618750000001</v>
      </c>
      <c r="P41" s="64">
        <v>45622.666666666701</v>
      </c>
    </row>
    <row r="42" spans="1:19" s="38" customFormat="1" ht="14.4" customHeight="1" x14ac:dyDescent="0.25">
      <c r="A42" s="44">
        <v>41</v>
      </c>
      <c r="B42" s="45" t="s">
        <v>85</v>
      </c>
      <c r="C42" s="46" t="s">
        <v>86</v>
      </c>
      <c r="D42" s="38" t="s">
        <v>133</v>
      </c>
      <c r="E42" s="38" t="s">
        <v>106</v>
      </c>
      <c r="F42" s="64">
        <v>45627.665960648097</v>
      </c>
      <c r="G42" s="64">
        <v>45625.666064814803</v>
      </c>
      <c r="H42" s="59" t="s">
        <v>90</v>
      </c>
      <c r="I42" s="60">
        <v>12000</v>
      </c>
      <c r="J42" s="58" t="s">
        <v>107</v>
      </c>
      <c r="K42" s="61" t="s">
        <v>108</v>
      </c>
      <c r="L42" s="64">
        <v>45447.713807870401</v>
      </c>
      <c r="M42" s="64">
        <v>45450.7117013889</v>
      </c>
    </row>
    <row r="43" spans="1:19" s="38" customFormat="1" ht="14.4" customHeight="1" x14ac:dyDescent="0.25">
      <c r="A43" s="44">
        <v>42</v>
      </c>
      <c r="B43" s="45" t="s">
        <v>85</v>
      </c>
      <c r="C43" s="46" t="s">
        <v>86</v>
      </c>
      <c r="D43" s="38" t="s">
        <v>134</v>
      </c>
      <c r="E43" s="38" t="s">
        <v>106</v>
      </c>
      <c r="F43" s="64">
        <v>45627.666203703702</v>
      </c>
      <c r="G43" s="64">
        <v>45625.6663078704</v>
      </c>
      <c r="H43" s="59" t="s">
        <v>90</v>
      </c>
      <c r="I43" s="60">
        <v>12000</v>
      </c>
      <c r="J43" s="58" t="s">
        <v>107</v>
      </c>
      <c r="K43" s="61" t="s">
        <v>108</v>
      </c>
      <c r="L43" s="64">
        <v>45449.409548611096</v>
      </c>
      <c r="M43" s="64">
        <v>45450.711782407401</v>
      </c>
    </row>
    <row r="44" spans="1:19" s="38" customFormat="1" ht="14.4" customHeight="1" x14ac:dyDescent="0.25">
      <c r="A44" s="44">
        <v>43</v>
      </c>
      <c r="B44" s="45" t="s">
        <v>85</v>
      </c>
      <c r="C44" s="46" t="s">
        <v>86</v>
      </c>
      <c r="D44" s="38" t="s">
        <v>135</v>
      </c>
      <c r="E44" s="38" t="s">
        <v>106</v>
      </c>
      <c r="F44" s="64">
        <v>45627.669467592597</v>
      </c>
      <c r="G44" s="64">
        <v>45625.6695833333</v>
      </c>
      <c r="H44" s="59" t="s">
        <v>90</v>
      </c>
      <c r="I44" s="60">
        <v>12000</v>
      </c>
      <c r="J44" s="58" t="s">
        <v>107</v>
      </c>
      <c r="K44" s="61" t="s">
        <v>108</v>
      </c>
      <c r="L44" s="64">
        <v>45449.409699074102</v>
      </c>
      <c r="M44" s="64">
        <v>45450.711875000001</v>
      </c>
    </row>
    <row r="45" spans="1:19" s="38" customFormat="1" ht="14.4" customHeight="1" x14ac:dyDescent="0.25">
      <c r="A45" s="44">
        <v>44</v>
      </c>
      <c r="B45" s="45" t="s">
        <v>85</v>
      </c>
      <c r="C45" s="46" t="s">
        <v>86</v>
      </c>
      <c r="D45" s="38" t="s">
        <v>136</v>
      </c>
      <c r="E45" s="38" t="s">
        <v>106</v>
      </c>
      <c r="F45" s="64">
        <v>45627.669513888897</v>
      </c>
      <c r="G45" s="64">
        <v>45625.669618055603</v>
      </c>
      <c r="H45" s="59" t="s">
        <v>90</v>
      </c>
      <c r="I45" s="60">
        <v>12000</v>
      </c>
      <c r="J45" s="58" t="s">
        <v>107</v>
      </c>
      <c r="K45" s="61" t="s">
        <v>108</v>
      </c>
      <c r="L45" s="64">
        <v>45449.409780092603</v>
      </c>
      <c r="M45" s="64">
        <v>45450.711990740703</v>
      </c>
    </row>
    <row r="46" spans="1:19" s="38" customFormat="1" ht="14.4" customHeight="1" x14ac:dyDescent="0.25">
      <c r="A46" s="44">
        <v>45</v>
      </c>
      <c r="B46" s="45" t="s">
        <v>85</v>
      </c>
      <c r="C46" s="66" t="s">
        <v>86</v>
      </c>
      <c r="D46" s="66" t="s">
        <v>137</v>
      </c>
      <c r="E46" s="67" t="s">
        <v>108</v>
      </c>
      <c r="F46" s="68">
        <v>46262.830046296302</v>
      </c>
      <c r="G46" s="68">
        <v>46268.394571759301</v>
      </c>
      <c r="H46" s="59" t="s">
        <v>90</v>
      </c>
      <c r="I46" s="60">
        <v>12000</v>
      </c>
      <c r="J46" s="135" t="s">
        <v>427</v>
      </c>
      <c r="K46" s="62"/>
      <c r="L46" s="63"/>
      <c r="M46" s="57"/>
    </row>
    <row r="47" spans="1:19" s="38" customFormat="1" ht="14.4" customHeight="1" x14ac:dyDescent="0.25">
      <c r="A47" s="44">
        <v>46</v>
      </c>
      <c r="B47" s="45" t="s">
        <v>85</v>
      </c>
      <c r="C47" s="72" t="s">
        <v>86</v>
      </c>
      <c r="D47" s="72" t="s">
        <v>138</v>
      </c>
      <c r="E47" s="75" t="s">
        <v>146</v>
      </c>
      <c r="F47" s="76">
        <v>46254.8335532407</v>
      </c>
      <c r="G47" s="76">
        <v>46253.833773148202</v>
      </c>
      <c r="H47" s="59" t="s">
        <v>90</v>
      </c>
      <c r="I47" s="60">
        <v>12000</v>
      </c>
      <c r="J47" s="58" t="s">
        <v>107</v>
      </c>
      <c r="K47" s="67" t="s">
        <v>265</v>
      </c>
      <c r="L47" s="68">
        <v>46249.7258912037</v>
      </c>
      <c r="M47" s="68">
        <v>46252.748182870397</v>
      </c>
    </row>
    <row r="48" spans="1:19" s="38" customFormat="1" ht="14.4" customHeight="1" x14ac:dyDescent="0.25">
      <c r="A48" s="44">
        <v>47</v>
      </c>
      <c r="B48" s="45" t="s">
        <v>85</v>
      </c>
      <c r="C48" s="66" t="s">
        <v>86</v>
      </c>
      <c r="D48" s="66" t="s">
        <v>139</v>
      </c>
      <c r="E48" s="67" t="s">
        <v>108</v>
      </c>
      <c r="F48" s="68">
        <v>46262.8289351852</v>
      </c>
      <c r="G48" s="68">
        <v>46268.394606481503</v>
      </c>
      <c r="H48" s="59" t="s">
        <v>90</v>
      </c>
      <c r="I48" s="60">
        <v>12000</v>
      </c>
      <c r="J48" s="135" t="s">
        <v>427</v>
      </c>
      <c r="K48" s="62"/>
      <c r="L48" s="63"/>
      <c r="M48" s="57"/>
    </row>
    <row r="49" spans="1:19" s="38" customFormat="1" ht="14.4" customHeight="1" x14ac:dyDescent="0.25">
      <c r="A49" s="44">
        <v>48</v>
      </c>
      <c r="B49" s="45" t="s">
        <v>85</v>
      </c>
      <c r="C49" s="66" t="s">
        <v>86</v>
      </c>
      <c r="D49" s="66" t="s">
        <v>140</v>
      </c>
      <c r="E49" s="67" t="s">
        <v>108</v>
      </c>
      <c r="F49" s="68">
        <v>46262.8367476852</v>
      </c>
      <c r="G49" s="68">
        <v>46268.394756944399</v>
      </c>
      <c r="H49" s="59" t="s">
        <v>90</v>
      </c>
      <c r="I49" s="60">
        <v>12000</v>
      </c>
      <c r="J49" s="135" t="s">
        <v>427</v>
      </c>
      <c r="K49" s="62"/>
      <c r="L49" s="63"/>
      <c r="M49" s="57"/>
    </row>
    <row r="50" spans="1:19" s="38" customFormat="1" ht="14.4" customHeight="1" x14ac:dyDescent="0.25">
      <c r="A50" s="44">
        <v>49</v>
      </c>
      <c r="B50" s="45" t="s">
        <v>85</v>
      </c>
      <c r="C50" s="72" t="s">
        <v>86</v>
      </c>
      <c r="D50" s="72" t="s">
        <v>141</v>
      </c>
      <c r="E50" s="75" t="s">
        <v>146</v>
      </c>
      <c r="F50" s="76">
        <v>46254.8335532407</v>
      </c>
      <c r="G50" s="76">
        <v>46253.833773148202</v>
      </c>
      <c r="H50" s="59" t="s">
        <v>90</v>
      </c>
      <c r="I50" s="60">
        <v>12000</v>
      </c>
      <c r="J50" s="58" t="s">
        <v>107</v>
      </c>
      <c r="K50" s="67" t="s">
        <v>265</v>
      </c>
      <c r="L50" s="68">
        <v>46249.7258912037</v>
      </c>
      <c r="M50" s="68">
        <v>46252.748229166697</v>
      </c>
    </row>
    <row r="51" spans="1:19" s="38" customFormat="1" ht="14.4" customHeight="1" x14ac:dyDescent="0.25">
      <c r="A51" s="44">
        <v>50</v>
      </c>
      <c r="B51" s="45" t="s">
        <v>85</v>
      </c>
      <c r="C51" s="66" t="s">
        <v>86</v>
      </c>
      <c r="D51" s="66" t="s">
        <v>142</v>
      </c>
      <c r="E51" s="67" t="s">
        <v>108</v>
      </c>
      <c r="F51" s="68">
        <v>46262.836770833303</v>
      </c>
      <c r="G51" s="68">
        <v>46268.394803240699</v>
      </c>
      <c r="H51" s="59" t="s">
        <v>90</v>
      </c>
      <c r="I51" s="60">
        <v>12000</v>
      </c>
      <c r="J51" s="135" t="s">
        <v>427</v>
      </c>
      <c r="K51" s="62"/>
      <c r="L51" s="63"/>
      <c r="M51" s="57"/>
    </row>
    <row r="52" spans="1:19" s="38" customFormat="1" ht="14.4" customHeight="1" x14ac:dyDescent="0.25">
      <c r="A52" s="44">
        <v>51</v>
      </c>
      <c r="B52" s="45" t="s">
        <v>85</v>
      </c>
      <c r="C52" s="46" t="s">
        <v>86</v>
      </c>
      <c r="D52" s="38" t="s">
        <v>143</v>
      </c>
      <c r="E52" s="38" t="s">
        <v>106</v>
      </c>
      <c r="F52" s="64">
        <v>45526.707569444399</v>
      </c>
      <c r="G52" s="64">
        <v>45531.3977662037</v>
      </c>
      <c r="H52" s="54" t="s">
        <v>88</v>
      </c>
      <c r="I52" s="55">
        <v>16000</v>
      </c>
      <c r="J52" s="58" t="s">
        <v>107</v>
      </c>
      <c r="K52" s="61" t="s">
        <v>108</v>
      </c>
      <c r="L52" s="64">
        <v>45464.655046296299</v>
      </c>
      <c r="M52" s="64">
        <v>45469.644305555601</v>
      </c>
    </row>
    <row r="53" spans="1:19" s="38" customFormat="1" ht="14.4" customHeight="1" x14ac:dyDescent="0.25">
      <c r="A53" s="44">
        <v>52</v>
      </c>
      <c r="B53" s="45" t="s">
        <v>85</v>
      </c>
      <c r="C53" s="46" t="s">
        <v>86</v>
      </c>
      <c r="D53" s="38" t="s">
        <v>144</v>
      </c>
      <c r="E53" s="38" t="s">
        <v>106</v>
      </c>
      <c r="F53" s="64">
        <v>45533.731307870403</v>
      </c>
      <c r="G53" s="64">
        <v>45540.621898148202</v>
      </c>
      <c r="H53" s="59" t="s">
        <v>90</v>
      </c>
      <c r="I53" s="60">
        <v>12000</v>
      </c>
      <c r="J53" s="58" t="s">
        <v>107</v>
      </c>
      <c r="K53" s="61" t="s">
        <v>108</v>
      </c>
      <c r="L53" s="64">
        <v>45447.714224536998</v>
      </c>
      <c r="M53" s="64">
        <v>45450.7121064815</v>
      </c>
    </row>
    <row r="54" spans="1:19" s="38" customFormat="1" ht="14.4" customHeight="1" x14ac:dyDescent="0.25">
      <c r="A54" s="44">
        <v>53</v>
      </c>
      <c r="B54" s="45" t="s">
        <v>85</v>
      </c>
      <c r="C54" s="46" t="s">
        <v>86</v>
      </c>
      <c r="D54" s="38" t="s">
        <v>145</v>
      </c>
      <c r="E54" s="38" t="s">
        <v>106</v>
      </c>
      <c r="F54" s="64">
        <v>45894.659409722197</v>
      </c>
      <c r="G54" s="64">
        <v>45892.659490740698</v>
      </c>
      <c r="H54" s="59" t="s">
        <v>90</v>
      </c>
      <c r="I54" s="60">
        <v>12000</v>
      </c>
      <c r="J54" s="58" t="s">
        <v>107</v>
      </c>
      <c r="K54" s="61" t="s">
        <v>108</v>
      </c>
      <c r="L54" s="64">
        <v>45447.714409722197</v>
      </c>
      <c r="M54" s="64">
        <v>45450.712222222202</v>
      </c>
      <c r="N54" s="38" t="s">
        <v>106</v>
      </c>
      <c r="O54" s="64">
        <v>45533.731342592597</v>
      </c>
      <c r="P54" s="64">
        <v>45540.621967592597</v>
      </c>
      <c r="Q54" s="38" t="s">
        <v>146</v>
      </c>
      <c r="R54" s="64">
        <v>45562.7728935185</v>
      </c>
      <c r="S54" s="64">
        <v>45561.772997685199</v>
      </c>
    </row>
    <row r="55" spans="1:19" s="38" customFormat="1" ht="14.4" customHeight="1" x14ac:dyDescent="0.25">
      <c r="A55" s="44">
        <v>54</v>
      </c>
      <c r="B55" s="45" t="s">
        <v>85</v>
      </c>
      <c r="C55" s="46" t="s">
        <v>86</v>
      </c>
      <c r="D55" s="38" t="s">
        <v>147</v>
      </c>
      <c r="E55" s="38" t="s">
        <v>106</v>
      </c>
      <c r="F55" s="64">
        <v>45540.6484375</v>
      </c>
      <c r="G55" s="64">
        <v>45540.622210648202</v>
      </c>
      <c r="H55" s="59" t="s">
        <v>90</v>
      </c>
      <c r="I55" s="60">
        <v>12000</v>
      </c>
      <c r="J55" s="58" t="s">
        <v>107</v>
      </c>
      <c r="K55" s="61" t="s">
        <v>108</v>
      </c>
      <c r="L55" s="64">
        <v>45447.714421296303</v>
      </c>
      <c r="M55" s="64">
        <v>45450.712326388901</v>
      </c>
    </row>
    <row r="56" spans="1:19" s="38" customFormat="1" ht="14.4" customHeight="1" x14ac:dyDescent="0.25">
      <c r="A56" s="44">
        <v>55</v>
      </c>
      <c r="B56" s="45" t="s">
        <v>85</v>
      </c>
      <c r="C56" s="46" t="s">
        <v>86</v>
      </c>
      <c r="D56" s="38" t="s">
        <v>148</v>
      </c>
      <c r="E56" s="38" t="s">
        <v>106</v>
      </c>
      <c r="F56" s="64">
        <v>45541.591215277796</v>
      </c>
      <c r="G56" s="64">
        <v>45540.623043981497</v>
      </c>
      <c r="H56" s="59" t="s">
        <v>90</v>
      </c>
      <c r="I56" s="60">
        <v>12000</v>
      </c>
      <c r="J56" s="58" t="s">
        <v>107</v>
      </c>
      <c r="K56" s="61" t="s">
        <v>108</v>
      </c>
      <c r="L56" s="64">
        <v>45449.410173611097</v>
      </c>
      <c r="M56" s="64">
        <v>45450.7124189815</v>
      </c>
    </row>
    <row r="57" spans="1:19" s="38" customFormat="1" ht="14.4" customHeight="1" x14ac:dyDescent="0.25">
      <c r="A57" s="44">
        <v>56</v>
      </c>
      <c r="B57" s="45" t="s">
        <v>85</v>
      </c>
      <c r="C57" s="46" t="s">
        <v>86</v>
      </c>
      <c r="D57" s="38" t="s">
        <v>149</v>
      </c>
      <c r="E57" s="38" t="s">
        <v>106</v>
      </c>
      <c r="F57" s="64">
        <v>45780.666469907403</v>
      </c>
      <c r="G57" s="64">
        <v>45778.666574074101</v>
      </c>
      <c r="H57" s="59" t="s">
        <v>90</v>
      </c>
      <c r="I57" s="60">
        <v>12000</v>
      </c>
      <c r="J57" s="58" t="s">
        <v>107</v>
      </c>
      <c r="K57" s="61" t="s">
        <v>108</v>
      </c>
      <c r="L57" s="64">
        <v>45449.410289351901</v>
      </c>
      <c r="M57" s="64">
        <v>45450.712500000001</v>
      </c>
      <c r="N57" s="38" t="s">
        <v>127</v>
      </c>
      <c r="O57" s="64">
        <v>45617.618750000001</v>
      </c>
      <c r="P57" s="64">
        <v>45622.666666666701</v>
      </c>
      <c r="Q57" s="58" t="s">
        <v>108</v>
      </c>
      <c r="R57" s="64">
        <v>45699.479861111096</v>
      </c>
      <c r="S57" s="64">
        <v>45699.479861111096</v>
      </c>
    </row>
    <row r="58" spans="1:19" s="38" customFormat="1" ht="14.4" customHeight="1" x14ac:dyDescent="0.25">
      <c r="A58" s="44">
        <v>57</v>
      </c>
      <c r="B58" s="45" t="s">
        <v>85</v>
      </c>
      <c r="C58" s="46" t="s">
        <v>86</v>
      </c>
      <c r="D58" s="38" t="s">
        <v>150</v>
      </c>
      <c r="E58" s="38" t="s">
        <v>106</v>
      </c>
      <c r="F58" s="64">
        <v>45780.662870370397</v>
      </c>
      <c r="G58" s="64">
        <v>45778.6629861111</v>
      </c>
      <c r="H58" s="59" t="s">
        <v>90</v>
      </c>
      <c r="I58" s="60">
        <v>12000</v>
      </c>
      <c r="J58" s="58" t="s">
        <v>107</v>
      </c>
      <c r="K58" s="61" t="s">
        <v>108</v>
      </c>
      <c r="L58" s="64">
        <v>45449.410578703697</v>
      </c>
      <c r="M58" s="64">
        <v>45450.712685185201</v>
      </c>
      <c r="N58" s="38" t="s">
        <v>127</v>
      </c>
      <c r="O58" s="64">
        <v>45617.618750000001</v>
      </c>
      <c r="P58" s="64">
        <v>45622.666666666701</v>
      </c>
      <c r="Q58" s="58" t="s">
        <v>108</v>
      </c>
      <c r="R58" s="64">
        <v>45699.479861111096</v>
      </c>
      <c r="S58" s="64">
        <v>45699.479861111096</v>
      </c>
    </row>
    <row r="59" spans="1:19" s="38" customFormat="1" ht="14.4" customHeight="1" x14ac:dyDescent="0.25">
      <c r="A59" s="44">
        <v>58</v>
      </c>
      <c r="B59" s="45" t="s">
        <v>85</v>
      </c>
      <c r="C59" s="46" t="s">
        <v>86</v>
      </c>
      <c r="D59" s="38" t="s">
        <v>151</v>
      </c>
      <c r="E59" s="38" t="s">
        <v>106</v>
      </c>
      <c r="F59" s="64">
        <v>45627.669548611098</v>
      </c>
      <c r="G59" s="64">
        <v>45625.669652777797</v>
      </c>
      <c r="H59" s="59" t="s">
        <v>90</v>
      </c>
      <c r="I59" s="60">
        <v>12000</v>
      </c>
      <c r="J59" s="58" t="s">
        <v>107</v>
      </c>
      <c r="K59" s="61" t="s">
        <v>108</v>
      </c>
      <c r="L59" s="64">
        <v>45449.410729166702</v>
      </c>
      <c r="M59" s="64">
        <v>45450.712789351899</v>
      </c>
    </row>
    <row r="60" spans="1:19" s="38" customFormat="1" ht="14.4" customHeight="1" x14ac:dyDescent="0.25">
      <c r="A60" s="44">
        <v>59</v>
      </c>
      <c r="B60" s="45" t="s">
        <v>85</v>
      </c>
      <c r="C60" s="46" t="s">
        <v>86</v>
      </c>
      <c r="D60" s="38" t="s">
        <v>152</v>
      </c>
      <c r="E60" s="38" t="s">
        <v>106</v>
      </c>
      <c r="F60" s="64">
        <v>45627.669502314799</v>
      </c>
      <c r="G60" s="64">
        <v>45625.669618055603</v>
      </c>
      <c r="H60" s="59" t="s">
        <v>90</v>
      </c>
      <c r="I60" s="60">
        <v>12000</v>
      </c>
      <c r="J60" s="58" t="s">
        <v>107</v>
      </c>
      <c r="K60" s="61" t="s">
        <v>108</v>
      </c>
      <c r="L60" s="64">
        <v>45449.410821759302</v>
      </c>
      <c r="M60" s="64">
        <v>45450.713067129604</v>
      </c>
    </row>
    <row r="61" spans="1:19" s="38" customFormat="1" ht="14.4" customHeight="1" x14ac:dyDescent="0.25">
      <c r="A61" s="44">
        <v>60</v>
      </c>
      <c r="B61" s="45" t="s">
        <v>85</v>
      </c>
      <c r="C61" s="46" t="s">
        <v>86</v>
      </c>
      <c r="D61" s="38" t="s">
        <v>153</v>
      </c>
      <c r="E61" s="38" t="s">
        <v>106</v>
      </c>
      <c r="F61" s="64">
        <v>45627.673101851899</v>
      </c>
      <c r="G61" s="64">
        <v>45625.673206018502</v>
      </c>
      <c r="H61" s="59" t="s">
        <v>90</v>
      </c>
      <c r="I61" s="60">
        <v>12000</v>
      </c>
      <c r="J61" s="58" t="s">
        <v>107</v>
      </c>
      <c r="K61" s="61" t="s">
        <v>108</v>
      </c>
      <c r="L61" s="64">
        <v>45449.410949074103</v>
      </c>
      <c r="M61" s="64">
        <v>45450.713252314803</v>
      </c>
    </row>
    <row r="62" spans="1:19" s="38" customFormat="1" ht="14.4" customHeight="1" x14ac:dyDescent="0.25">
      <c r="A62" s="44">
        <v>61</v>
      </c>
      <c r="B62" s="45" t="s">
        <v>85</v>
      </c>
      <c r="C62" s="46" t="s">
        <v>86</v>
      </c>
      <c r="D62" s="38" t="s">
        <v>154</v>
      </c>
      <c r="E62" s="38" t="s">
        <v>106</v>
      </c>
      <c r="F62" s="64">
        <v>45627.673101851899</v>
      </c>
      <c r="G62" s="64">
        <v>45625.673206018502</v>
      </c>
      <c r="H62" s="59" t="s">
        <v>90</v>
      </c>
      <c r="I62" s="60">
        <v>12000</v>
      </c>
      <c r="J62" s="58" t="s">
        <v>107</v>
      </c>
      <c r="K62" s="61" t="s">
        <v>108</v>
      </c>
      <c r="L62" s="64">
        <v>45449.411331018498</v>
      </c>
      <c r="M62" s="64">
        <v>45450.713703703703</v>
      </c>
    </row>
    <row r="63" spans="1:19" s="38" customFormat="1" ht="14.4" customHeight="1" x14ac:dyDescent="0.25">
      <c r="A63" s="44">
        <v>62</v>
      </c>
      <c r="B63" s="45" t="s">
        <v>85</v>
      </c>
      <c r="C63" s="66" t="s">
        <v>86</v>
      </c>
      <c r="D63" s="66" t="s">
        <v>155</v>
      </c>
      <c r="E63" s="67" t="s">
        <v>108</v>
      </c>
      <c r="F63" s="68">
        <v>46263.427175925899</v>
      </c>
      <c r="G63" s="68">
        <v>46268.394849536999</v>
      </c>
      <c r="H63" s="59" t="s">
        <v>90</v>
      </c>
      <c r="I63" s="60">
        <v>12000</v>
      </c>
      <c r="J63" s="135" t="s">
        <v>427</v>
      </c>
      <c r="K63" s="62"/>
      <c r="L63" s="63"/>
      <c r="M63" s="57"/>
    </row>
    <row r="64" spans="1:19" s="38" customFormat="1" ht="14.4" customHeight="1" x14ac:dyDescent="0.25">
      <c r="A64" s="44">
        <v>63</v>
      </c>
      <c r="B64" s="45" t="s">
        <v>85</v>
      </c>
      <c r="C64" s="72" t="s">
        <v>86</v>
      </c>
      <c r="D64" s="72" t="s">
        <v>156</v>
      </c>
      <c r="E64" s="75" t="s">
        <v>146</v>
      </c>
      <c r="F64" s="76">
        <v>46254.8335532407</v>
      </c>
      <c r="G64" s="76">
        <v>46253.833773148202</v>
      </c>
      <c r="H64" s="59" t="s">
        <v>90</v>
      </c>
      <c r="I64" s="60">
        <v>12000</v>
      </c>
      <c r="J64" s="58" t="s">
        <v>107</v>
      </c>
      <c r="K64" s="67" t="s">
        <v>265</v>
      </c>
      <c r="L64" s="68">
        <v>46249.7258912037</v>
      </c>
      <c r="M64" s="68">
        <v>46252.748310185198</v>
      </c>
    </row>
    <row r="65" spans="1:19" s="38" customFormat="1" ht="14.4" customHeight="1" x14ac:dyDescent="0.25">
      <c r="A65" s="44">
        <v>64</v>
      </c>
      <c r="B65" s="45" t="s">
        <v>85</v>
      </c>
      <c r="C65" s="66" t="s">
        <v>86</v>
      </c>
      <c r="D65" s="66" t="s">
        <v>157</v>
      </c>
      <c r="E65" s="67" t="s">
        <v>108</v>
      </c>
      <c r="F65" s="68">
        <v>46263.4289236111</v>
      </c>
      <c r="G65" s="68">
        <v>46268.394895833299</v>
      </c>
      <c r="H65" s="59" t="s">
        <v>90</v>
      </c>
      <c r="I65" s="60">
        <v>12000</v>
      </c>
      <c r="J65" s="135" t="s">
        <v>427</v>
      </c>
      <c r="K65" s="62"/>
      <c r="L65" s="63"/>
      <c r="M65" s="57"/>
    </row>
    <row r="66" spans="1:19" s="38" customFormat="1" ht="14.4" customHeight="1" x14ac:dyDescent="0.25">
      <c r="A66" s="44">
        <v>65</v>
      </c>
      <c r="B66" s="45" t="s">
        <v>85</v>
      </c>
      <c r="C66" s="66" t="s">
        <v>86</v>
      </c>
      <c r="D66" s="66" t="s">
        <v>158</v>
      </c>
      <c r="E66" s="67" t="s">
        <v>108</v>
      </c>
      <c r="F66" s="68">
        <v>46262.836192129602</v>
      </c>
      <c r="G66" s="68">
        <v>46268.394942129598</v>
      </c>
      <c r="H66" s="59" t="s">
        <v>90</v>
      </c>
      <c r="I66" s="60">
        <v>12000</v>
      </c>
      <c r="J66" s="135" t="s">
        <v>427</v>
      </c>
      <c r="K66" s="62"/>
      <c r="L66" s="63"/>
      <c r="M66" s="57"/>
    </row>
    <row r="67" spans="1:19" s="38" customFormat="1" ht="14.4" customHeight="1" x14ac:dyDescent="0.25">
      <c r="A67" s="44">
        <v>66</v>
      </c>
      <c r="B67" s="45" t="s">
        <v>85</v>
      </c>
      <c r="C67" s="72" t="s">
        <v>86</v>
      </c>
      <c r="D67" s="72" t="s">
        <v>159</v>
      </c>
      <c r="E67" s="75" t="s">
        <v>146</v>
      </c>
      <c r="F67" s="76">
        <v>46254.8335532407</v>
      </c>
      <c r="G67" s="76">
        <v>46253.833773148202</v>
      </c>
      <c r="H67" s="59" t="s">
        <v>90</v>
      </c>
      <c r="I67" s="60">
        <v>12000</v>
      </c>
      <c r="J67" s="58" t="s">
        <v>107</v>
      </c>
      <c r="K67" s="67" t="s">
        <v>265</v>
      </c>
      <c r="L67" s="68">
        <v>46249.7258912037</v>
      </c>
      <c r="M67" s="68">
        <v>46252.748356481497</v>
      </c>
    </row>
    <row r="68" spans="1:19" s="38" customFormat="1" ht="14.4" customHeight="1" x14ac:dyDescent="0.25">
      <c r="A68" s="44">
        <v>67</v>
      </c>
      <c r="B68" s="45" t="s">
        <v>85</v>
      </c>
      <c r="C68" s="66" t="s">
        <v>86</v>
      </c>
      <c r="D68" s="66" t="s">
        <v>160</v>
      </c>
      <c r="E68" s="67" t="s">
        <v>108</v>
      </c>
      <c r="F68" s="68">
        <v>46262.8331944444</v>
      </c>
      <c r="G68" s="68">
        <v>46268.394976851901</v>
      </c>
      <c r="H68" s="59" t="s">
        <v>90</v>
      </c>
      <c r="I68" s="60">
        <v>12000</v>
      </c>
      <c r="J68" s="135" t="s">
        <v>427</v>
      </c>
      <c r="K68" s="62"/>
      <c r="L68" s="63"/>
      <c r="M68" s="57"/>
    </row>
    <row r="69" spans="1:19" s="38" customFormat="1" ht="14.4" customHeight="1" x14ac:dyDescent="0.25">
      <c r="A69" s="44">
        <v>68</v>
      </c>
      <c r="B69" s="45" t="s">
        <v>85</v>
      </c>
      <c r="C69" s="46" t="s">
        <v>86</v>
      </c>
      <c r="D69" s="38" t="s">
        <v>161</v>
      </c>
      <c r="E69" s="61"/>
      <c r="H69" s="59" t="s">
        <v>90</v>
      </c>
      <c r="I69" s="60">
        <v>12000</v>
      </c>
      <c r="K69" s="62"/>
      <c r="L69" s="63"/>
      <c r="M69" s="57"/>
    </row>
    <row r="70" spans="1:19" s="38" customFormat="1" ht="14.4" customHeight="1" x14ac:dyDescent="0.25">
      <c r="A70" s="44">
        <v>69</v>
      </c>
      <c r="B70" s="45" t="s">
        <v>85</v>
      </c>
      <c r="C70" s="46" t="s">
        <v>86</v>
      </c>
      <c r="D70" s="38" t="s">
        <v>162</v>
      </c>
      <c r="E70" s="38" t="s">
        <v>106</v>
      </c>
      <c r="F70" s="64">
        <v>45533.731307870403</v>
      </c>
      <c r="G70" s="64">
        <v>45540.622037036999</v>
      </c>
      <c r="H70" s="54" t="s">
        <v>88</v>
      </c>
      <c r="I70" s="55">
        <v>16000</v>
      </c>
      <c r="J70" s="58" t="s">
        <v>107</v>
      </c>
      <c r="K70" s="61" t="s">
        <v>108</v>
      </c>
      <c r="L70" s="64">
        <v>45449.411666666703</v>
      </c>
      <c r="M70" s="64">
        <v>45450.713796296302</v>
      </c>
    </row>
    <row r="71" spans="1:19" s="38" customFormat="1" ht="14.4" customHeight="1" x14ac:dyDescent="0.25">
      <c r="A71" s="44">
        <v>70</v>
      </c>
      <c r="B71" s="45" t="s">
        <v>85</v>
      </c>
      <c r="C71" s="46" t="s">
        <v>86</v>
      </c>
      <c r="D71" s="38" t="s">
        <v>163</v>
      </c>
      <c r="E71" s="38" t="s">
        <v>106</v>
      </c>
      <c r="F71" s="64">
        <v>45533.731412036999</v>
      </c>
      <c r="G71" s="64">
        <v>45539.635358796302</v>
      </c>
      <c r="H71" s="59" t="s">
        <v>90</v>
      </c>
      <c r="I71" s="60">
        <v>12000</v>
      </c>
      <c r="J71" s="58" t="s">
        <v>107</v>
      </c>
      <c r="K71" s="61" t="s">
        <v>108</v>
      </c>
      <c r="L71" s="64">
        <v>45449.4117708333</v>
      </c>
      <c r="M71" s="64">
        <v>45450.713923611103</v>
      </c>
    </row>
    <row r="72" spans="1:19" s="38" customFormat="1" ht="14.4" customHeight="1" x14ac:dyDescent="0.25">
      <c r="A72" s="44">
        <v>71</v>
      </c>
      <c r="B72" s="45" t="s">
        <v>85</v>
      </c>
      <c r="C72" s="46" t="s">
        <v>86</v>
      </c>
      <c r="D72" s="38" t="s">
        <v>164</v>
      </c>
      <c r="E72" s="38" t="s">
        <v>106</v>
      </c>
      <c r="F72" s="64">
        <v>45540.728402777801</v>
      </c>
      <c r="G72" s="64">
        <v>45540.622337963003</v>
      </c>
      <c r="H72" s="59" t="s">
        <v>90</v>
      </c>
      <c r="I72" s="60">
        <v>12000</v>
      </c>
      <c r="J72" s="58" t="s">
        <v>107</v>
      </c>
      <c r="K72" s="61" t="s">
        <v>108</v>
      </c>
      <c r="L72" s="64">
        <v>45449.411863425899</v>
      </c>
      <c r="M72" s="64">
        <v>45450.714027777802</v>
      </c>
    </row>
    <row r="73" spans="1:19" s="38" customFormat="1" ht="14.4" customHeight="1" x14ac:dyDescent="0.25">
      <c r="A73" s="44">
        <v>72</v>
      </c>
      <c r="B73" s="45" t="s">
        <v>85</v>
      </c>
      <c r="C73" s="46" t="s">
        <v>86</v>
      </c>
      <c r="D73" s="38" t="s">
        <v>165</v>
      </c>
      <c r="E73" s="38" t="s">
        <v>106</v>
      </c>
      <c r="F73" s="64">
        <v>45540.732627314799</v>
      </c>
      <c r="G73" s="64">
        <v>45540.622384259303</v>
      </c>
      <c r="H73" s="59" t="s">
        <v>90</v>
      </c>
      <c r="I73" s="60">
        <v>12000</v>
      </c>
      <c r="J73" s="58" t="s">
        <v>107</v>
      </c>
      <c r="K73" s="61" t="s">
        <v>108</v>
      </c>
      <c r="L73" s="64">
        <v>45449.412187499998</v>
      </c>
      <c r="M73" s="64">
        <v>45450.714131944398</v>
      </c>
    </row>
    <row r="74" spans="1:19" s="38" customFormat="1" ht="14.4" customHeight="1" x14ac:dyDescent="0.25">
      <c r="A74" s="44">
        <v>73</v>
      </c>
      <c r="B74" s="45" t="s">
        <v>85</v>
      </c>
      <c r="C74" s="46" t="s">
        <v>86</v>
      </c>
      <c r="D74" s="38" t="s">
        <v>166</v>
      </c>
      <c r="E74" s="38" t="s">
        <v>106</v>
      </c>
      <c r="F74" s="64">
        <v>45776.685648148101</v>
      </c>
      <c r="G74" s="64">
        <v>45774.685752314799</v>
      </c>
      <c r="H74" s="59" t="s">
        <v>90</v>
      </c>
      <c r="I74" s="60">
        <v>12000</v>
      </c>
      <c r="J74" s="58" t="s">
        <v>107</v>
      </c>
      <c r="K74" s="61" t="s">
        <v>108</v>
      </c>
      <c r="L74" s="64">
        <v>45449.412268518499</v>
      </c>
      <c r="M74" s="64">
        <v>45450.714224536998</v>
      </c>
      <c r="N74" s="38" t="s">
        <v>127</v>
      </c>
      <c r="O74" s="64">
        <v>45617.618750000001</v>
      </c>
      <c r="P74" s="64">
        <v>45622.666666666701</v>
      </c>
      <c r="Q74" s="58" t="s">
        <v>108</v>
      </c>
      <c r="R74" s="64">
        <v>45699.479861111096</v>
      </c>
      <c r="S74" s="64">
        <v>45699.479861111096</v>
      </c>
    </row>
    <row r="75" spans="1:19" s="38" customFormat="1" ht="14.4" customHeight="1" x14ac:dyDescent="0.25">
      <c r="A75" s="44">
        <v>74</v>
      </c>
      <c r="B75" s="45" t="s">
        <v>85</v>
      </c>
      <c r="C75" s="46" t="s">
        <v>86</v>
      </c>
      <c r="D75" s="38" t="s">
        <v>167</v>
      </c>
      <c r="E75" s="38" t="s">
        <v>106</v>
      </c>
      <c r="F75" s="64">
        <v>45780.666400463</v>
      </c>
      <c r="G75" s="64">
        <v>45778.666504629597</v>
      </c>
      <c r="H75" s="59" t="s">
        <v>90</v>
      </c>
      <c r="I75" s="60">
        <v>12000</v>
      </c>
      <c r="J75" s="58" t="s">
        <v>107</v>
      </c>
      <c r="K75" s="61" t="s">
        <v>108</v>
      </c>
      <c r="L75" s="64">
        <v>45449.412465277797</v>
      </c>
      <c r="M75" s="64">
        <v>45450.714305555601</v>
      </c>
      <c r="N75" s="38" t="s">
        <v>127</v>
      </c>
      <c r="O75" s="64">
        <v>45617.618750000001</v>
      </c>
      <c r="P75" s="64">
        <v>45622.666666666701</v>
      </c>
      <c r="Q75" s="58" t="s">
        <v>108</v>
      </c>
      <c r="R75" s="64">
        <v>45699.479861111096</v>
      </c>
      <c r="S75" s="64">
        <v>45699.479861111096</v>
      </c>
    </row>
    <row r="76" spans="1:19" s="38" customFormat="1" ht="14.4" customHeight="1" x14ac:dyDescent="0.25">
      <c r="A76" s="44">
        <v>75</v>
      </c>
      <c r="B76" s="45" t="s">
        <v>85</v>
      </c>
      <c r="C76" s="46" t="s">
        <v>86</v>
      </c>
      <c r="D76" s="38" t="s">
        <v>168</v>
      </c>
      <c r="E76" s="38" t="s">
        <v>106</v>
      </c>
      <c r="F76" s="64">
        <v>45627.666053240697</v>
      </c>
      <c r="G76" s="64">
        <v>45625.666168981501</v>
      </c>
      <c r="H76" s="59" t="s">
        <v>90</v>
      </c>
      <c r="I76" s="60">
        <v>12000</v>
      </c>
      <c r="J76" s="58" t="s">
        <v>107</v>
      </c>
      <c r="K76" s="61" t="s">
        <v>108</v>
      </c>
      <c r="L76" s="64">
        <v>45449.412546296298</v>
      </c>
      <c r="M76" s="64">
        <v>45450.714432870402</v>
      </c>
    </row>
    <row r="77" spans="1:19" s="38" customFormat="1" ht="14.4" customHeight="1" x14ac:dyDescent="0.25">
      <c r="A77" s="44">
        <v>76</v>
      </c>
      <c r="B77" s="45" t="s">
        <v>85</v>
      </c>
      <c r="C77" s="46" t="s">
        <v>86</v>
      </c>
      <c r="D77" s="38" t="s">
        <v>169</v>
      </c>
      <c r="E77" s="38" t="s">
        <v>106</v>
      </c>
      <c r="F77" s="64">
        <v>45627.669502314799</v>
      </c>
      <c r="G77" s="64">
        <v>45625.669618055603</v>
      </c>
      <c r="H77" s="59" t="s">
        <v>90</v>
      </c>
      <c r="I77" s="60">
        <v>12000</v>
      </c>
      <c r="J77" s="58" t="s">
        <v>107</v>
      </c>
      <c r="K77" s="61" t="s">
        <v>108</v>
      </c>
      <c r="L77" s="64">
        <v>45449.412673611099</v>
      </c>
      <c r="M77" s="64">
        <v>45450.714525463001</v>
      </c>
    </row>
    <row r="78" spans="1:19" s="38" customFormat="1" ht="14.4" customHeight="1" x14ac:dyDescent="0.25">
      <c r="A78" s="44">
        <v>77</v>
      </c>
      <c r="B78" s="45" t="s">
        <v>85</v>
      </c>
      <c r="C78" s="46" t="s">
        <v>86</v>
      </c>
      <c r="D78" s="38" t="s">
        <v>170</v>
      </c>
      <c r="E78" s="38" t="s">
        <v>106</v>
      </c>
      <c r="F78" s="64">
        <v>45627.669467592597</v>
      </c>
      <c r="G78" s="64">
        <v>45625.6695833333</v>
      </c>
      <c r="H78" s="59" t="s">
        <v>90</v>
      </c>
      <c r="I78" s="60">
        <v>12000</v>
      </c>
      <c r="J78" s="58" t="s">
        <v>107</v>
      </c>
      <c r="K78" s="61" t="s">
        <v>108</v>
      </c>
      <c r="L78" s="64">
        <v>45449.4127546296</v>
      </c>
      <c r="M78" s="64">
        <v>45450.714641203696</v>
      </c>
    </row>
    <row r="79" spans="1:19" s="38" customFormat="1" ht="14.4" customHeight="1" x14ac:dyDescent="0.25">
      <c r="A79" s="44">
        <v>78</v>
      </c>
      <c r="B79" s="45" t="s">
        <v>85</v>
      </c>
      <c r="C79" s="46" t="s">
        <v>86</v>
      </c>
      <c r="D79" s="38" t="s">
        <v>171</v>
      </c>
      <c r="E79" s="38" t="s">
        <v>106</v>
      </c>
      <c r="F79" s="64">
        <v>45627.669548611098</v>
      </c>
      <c r="G79" s="64">
        <v>45625.669652777797</v>
      </c>
      <c r="H79" s="59" t="s">
        <v>90</v>
      </c>
      <c r="I79" s="60">
        <v>12000</v>
      </c>
      <c r="J79" s="58" t="s">
        <v>107</v>
      </c>
      <c r="K79" s="61" t="s">
        <v>108</v>
      </c>
      <c r="L79" s="64">
        <v>45449.412858796299</v>
      </c>
      <c r="M79" s="64">
        <v>45450.714791666702</v>
      </c>
    </row>
    <row r="80" spans="1:19" s="38" customFormat="1" ht="14.4" customHeight="1" x14ac:dyDescent="0.25">
      <c r="A80" s="44">
        <v>79</v>
      </c>
      <c r="B80" s="45" t="s">
        <v>85</v>
      </c>
      <c r="C80" s="66" t="s">
        <v>86</v>
      </c>
      <c r="D80" s="66" t="s">
        <v>172</v>
      </c>
      <c r="E80" s="67" t="s">
        <v>108</v>
      </c>
      <c r="F80" s="68">
        <v>46263.428958333301</v>
      </c>
      <c r="G80" s="68">
        <v>46268.395034722198</v>
      </c>
      <c r="H80" s="59" t="s">
        <v>90</v>
      </c>
      <c r="I80" s="60">
        <v>12000</v>
      </c>
      <c r="J80" s="135" t="s">
        <v>427</v>
      </c>
      <c r="K80" s="62"/>
      <c r="L80" s="63"/>
      <c r="M80" s="57"/>
    </row>
    <row r="81" spans="1:25" s="38" customFormat="1" ht="14.4" customHeight="1" x14ac:dyDescent="0.25">
      <c r="A81" s="44">
        <v>80</v>
      </c>
      <c r="B81" s="45" t="s">
        <v>85</v>
      </c>
      <c r="C81" s="72" t="s">
        <v>86</v>
      </c>
      <c r="D81" s="72" t="s">
        <v>173</v>
      </c>
      <c r="E81" s="75" t="s">
        <v>146</v>
      </c>
      <c r="F81" s="76">
        <v>46254.8335532407</v>
      </c>
      <c r="G81" s="76">
        <v>46253.833773148202</v>
      </c>
      <c r="H81" s="59" t="s">
        <v>90</v>
      </c>
      <c r="I81" s="60">
        <v>12000</v>
      </c>
      <c r="J81" s="58" t="s">
        <v>107</v>
      </c>
      <c r="K81" s="67" t="s">
        <v>265</v>
      </c>
      <c r="L81" s="68">
        <v>46249.7258912037</v>
      </c>
      <c r="M81" s="68">
        <v>46252.748402777797</v>
      </c>
    </row>
    <row r="82" spans="1:25" s="38" customFormat="1" ht="14.4" customHeight="1" x14ac:dyDescent="0.25">
      <c r="A82" s="44">
        <v>81</v>
      </c>
      <c r="B82" s="45" t="s">
        <v>85</v>
      </c>
      <c r="C82" s="66" t="s">
        <v>86</v>
      </c>
      <c r="D82" s="66" t="s">
        <v>174</v>
      </c>
      <c r="E82" s="67" t="s">
        <v>108</v>
      </c>
      <c r="F82" s="68">
        <v>46263.426851851902</v>
      </c>
      <c r="G82" s="68">
        <v>46268.395069444399</v>
      </c>
      <c r="H82" s="59" t="s">
        <v>90</v>
      </c>
      <c r="I82" s="60">
        <v>12000</v>
      </c>
      <c r="J82" s="135" t="s">
        <v>427</v>
      </c>
      <c r="K82" s="62"/>
      <c r="L82" s="63"/>
      <c r="M82" s="57"/>
    </row>
    <row r="83" spans="1:25" s="38" customFormat="1" ht="14.4" customHeight="1" x14ac:dyDescent="0.25">
      <c r="A83" s="44">
        <v>82</v>
      </c>
      <c r="B83" s="45" t="s">
        <v>85</v>
      </c>
      <c r="C83" s="66" t="s">
        <v>86</v>
      </c>
      <c r="D83" s="66" t="s">
        <v>175</v>
      </c>
      <c r="E83" s="67" t="s">
        <v>108</v>
      </c>
      <c r="F83" s="68">
        <v>46262.837187500001</v>
      </c>
      <c r="G83" s="68">
        <v>46268.395115740699</v>
      </c>
      <c r="H83" s="59" t="s">
        <v>90</v>
      </c>
      <c r="I83" s="60">
        <v>12000</v>
      </c>
      <c r="J83" s="135" t="s">
        <v>427</v>
      </c>
      <c r="K83" s="62"/>
      <c r="L83" s="63"/>
      <c r="M83" s="57"/>
    </row>
    <row r="84" spans="1:25" s="38" customFormat="1" ht="14.4" customHeight="1" x14ac:dyDescent="0.25">
      <c r="A84" s="44">
        <v>83</v>
      </c>
      <c r="B84" s="45" t="s">
        <v>85</v>
      </c>
      <c r="C84" s="72" t="s">
        <v>86</v>
      </c>
      <c r="D84" s="72" t="s">
        <v>176</v>
      </c>
      <c r="E84" s="75" t="s">
        <v>146</v>
      </c>
      <c r="F84" s="76">
        <v>46254.8335532407</v>
      </c>
      <c r="G84" s="76">
        <v>46253.833773148202</v>
      </c>
      <c r="H84" s="59" t="s">
        <v>90</v>
      </c>
      <c r="I84" s="60">
        <v>12000</v>
      </c>
      <c r="J84" s="58" t="s">
        <v>107</v>
      </c>
      <c r="K84" s="67" t="s">
        <v>265</v>
      </c>
      <c r="L84" s="68">
        <v>46249.7258912037</v>
      </c>
      <c r="M84" s="68">
        <v>46252.748437499999</v>
      </c>
    </row>
    <row r="85" spans="1:25" s="38" customFormat="1" ht="14.4" customHeight="1" x14ac:dyDescent="0.25">
      <c r="A85" s="44">
        <v>84</v>
      </c>
      <c r="B85" s="45" t="s">
        <v>85</v>
      </c>
      <c r="C85" s="66" t="s">
        <v>86</v>
      </c>
      <c r="D85" s="66" t="s">
        <v>177</v>
      </c>
      <c r="E85" s="67" t="s">
        <v>108</v>
      </c>
      <c r="F85" s="68">
        <v>46262.835775462998</v>
      </c>
      <c r="G85" s="68">
        <v>46268.395162036999</v>
      </c>
      <c r="H85" s="59" t="s">
        <v>90</v>
      </c>
      <c r="I85" s="60">
        <v>12000</v>
      </c>
      <c r="J85" s="135" t="s">
        <v>427</v>
      </c>
      <c r="K85" s="62"/>
      <c r="L85" s="63"/>
      <c r="M85" s="57"/>
    </row>
    <row r="86" spans="1:25" s="38" customFormat="1" ht="14.4" customHeight="1" x14ac:dyDescent="0.25">
      <c r="A86" s="44">
        <v>85</v>
      </c>
      <c r="B86" s="45" t="s">
        <v>85</v>
      </c>
      <c r="C86" s="46" t="s">
        <v>86</v>
      </c>
      <c r="D86" s="38" t="s">
        <v>178</v>
      </c>
      <c r="E86" s="38" t="s">
        <v>106</v>
      </c>
      <c r="F86" s="64">
        <v>45533.735509259299</v>
      </c>
      <c r="G86" s="64">
        <v>45539.635277777801</v>
      </c>
      <c r="H86" s="54" t="s">
        <v>88</v>
      </c>
      <c r="I86" s="55">
        <v>16000</v>
      </c>
      <c r="J86" s="58" t="s">
        <v>107</v>
      </c>
      <c r="K86" s="61" t="s">
        <v>108</v>
      </c>
      <c r="L86" s="64">
        <v>45451.673506944397</v>
      </c>
      <c r="M86" s="64">
        <v>45455.7487847222</v>
      </c>
    </row>
    <row r="87" spans="1:25" s="38" customFormat="1" ht="14.4" customHeight="1" x14ac:dyDescent="0.25">
      <c r="A87" s="44">
        <v>86</v>
      </c>
      <c r="B87" s="45" t="s">
        <v>85</v>
      </c>
      <c r="C87" s="46" t="s">
        <v>86</v>
      </c>
      <c r="D87" s="38" t="s">
        <v>179</v>
      </c>
      <c r="E87" s="38" t="s">
        <v>106</v>
      </c>
      <c r="F87" s="64">
        <v>45893.466168981497</v>
      </c>
      <c r="G87" s="64">
        <v>45891.466249999998</v>
      </c>
      <c r="H87" s="59" t="s">
        <v>90</v>
      </c>
      <c r="I87" s="60">
        <v>12000</v>
      </c>
      <c r="J87" s="58" t="s">
        <v>107</v>
      </c>
      <c r="K87" s="61" t="s">
        <v>108</v>
      </c>
      <c r="L87" s="64">
        <v>45451.673657407402</v>
      </c>
      <c r="M87" s="64">
        <v>45455.748819444401</v>
      </c>
      <c r="N87" s="38" t="s">
        <v>106</v>
      </c>
      <c r="O87" s="64">
        <v>45533.731446759302</v>
      </c>
      <c r="P87" s="64">
        <v>45539.635046296302</v>
      </c>
      <c r="Q87" s="38" t="s">
        <v>146</v>
      </c>
      <c r="R87" s="64">
        <v>45562.7728935185</v>
      </c>
      <c r="S87" s="64">
        <v>45561.772997685199</v>
      </c>
    </row>
    <row r="88" spans="1:25" s="38" customFormat="1" ht="14.4" customHeight="1" x14ac:dyDescent="0.25">
      <c r="A88" s="44">
        <v>87</v>
      </c>
      <c r="B88" s="45" t="s">
        <v>85</v>
      </c>
      <c r="C88" s="46" t="s">
        <v>86</v>
      </c>
      <c r="D88" s="38" t="s">
        <v>180</v>
      </c>
      <c r="E88" s="38" t="s">
        <v>106</v>
      </c>
      <c r="F88" s="64">
        <v>45540.7327083333</v>
      </c>
      <c r="G88" s="64">
        <v>45540.622499999998</v>
      </c>
      <c r="H88" s="59" t="s">
        <v>90</v>
      </c>
      <c r="I88" s="60">
        <v>12000</v>
      </c>
      <c r="J88" s="58" t="s">
        <v>107</v>
      </c>
      <c r="K88" s="61" t="s">
        <v>108</v>
      </c>
      <c r="L88" s="64">
        <v>45451.674016203702</v>
      </c>
      <c r="M88" s="64">
        <v>45455.748935185198</v>
      </c>
    </row>
    <row r="89" spans="1:25" s="38" customFormat="1" ht="14.4" customHeight="1" x14ac:dyDescent="0.25">
      <c r="A89" s="44">
        <v>88</v>
      </c>
      <c r="B89" s="45" t="s">
        <v>85</v>
      </c>
      <c r="C89" s="46" t="s">
        <v>86</v>
      </c>
      <c r="D89" s="38" t="s">
        <v>181</v>
      </c>
      <c r="E89" s="38" t="s">
        <v>106</v>
      </c>
      <c r="F89" s="64">
        <v>45540.7367592593</v>
      </c>
      <c r="G89" s="64">
        <v>45540.622453703698</v>
      </c>
      <c r="H89" s="59" t="s">
        <v>90</v>
      </c>
      <c r="I89" s="60">
        <v>12000</v>
      </c>
      <c r="J89" s="58" t="s">
        <v>107</v>
      </c>
      <c r="K89" s="61" t="s">
        <v>108</v>
      </c>
      <c r="L89" s="64">
        <v>45451.674247685201</v>
      </c>
      <c r="M89" s="64">
        <v>45455.748969907399</v>
      </c>
    </row>
    <row r="90" spans="1:25" s="38" customFormat="1" ht="14.4" customHeight="1" x14ac:dyDescent="0.25">
      <c r="A90" s="44">
        <v>89</v>
      </c>
      <c r="B90" s="45" t="s">
        <v>85</v>
      </c>
      <c r="C90" s="46" t="s">
        <v>86</v>
      </c>
      <c r="D90" s="38" t="s">
        <v>182</v>
      </c>
      <c r="E90" s="38" t="s">
        <v>106</v>
      </c>
      <c r="F90" s="64">
        <v>45780.666469907403</v>
      </c>
      <c r="G90" s="64">
        <v>45778.666574074101</v>
      </c>
      <c r="H90" s="59" t="s">
        <v>90</v>
      </c>
      <c r="I90" s="60">
        <v>12000</v>
      </c>
      <c r="J90" s="58" t="s">
        <v>107</v>
      </c>
      <c r="K90" s="61" t="s">
        <v>108</v>
      </c>
      <c r="L90" s="64">
        <v>45449.413124999999</v>
      </c>
      <c r="M90" s="64">
        <v>45450.715254629598</v>
      </c>
      <c r="N90" s="38" t="s">
        <v>127</v>
      </c>
      <c r="O90" s="64">
        <v>45617.618750000001</v>
      </c>
      <c r="P90" s="64">
        <v>45622.666666666701</v>
      </c>
      <c r="Q90" s="58" t="s">
        <v>108</v>
      </c>
      <c r="R90" s="64">
        <v>45699.479861111096</v>
      </c>
      <c r="S90" s="64">
        <v>45699.479861111096</v>
      </c>
      <c r="T90" s="38" t="s">
        <v>127</v>
      </c>
      <c r="U90" s="64">
        <v>45736.618333333303</v>
      </c>
      <c r="V90" s="64">
        <v>45742.753819444399</v>
      </c>
      <c r="W90" s="38" t="s">
        <v>108</v>
      </c>
      <c r="X90" s="64">
        <v>45745.676886574103</v>
      </c>
      <c r="Y90" s="64">
        <v>45747.622893518499</v>
      </c>
    </row>
    <row r="91" spans="1:25" s="38" customFormat="1" ht="14.4" customHeight="1" x14ac:dyDescent="0.25">
      <c r="A91" s="44">
        <v>90</v>
      </c>
      <c r="B91" s="45" t="s">
        <v>85</v>
      </c>
      <c r="C91" s="46" t="s">
        <v>86</v>
      </c>
      <c r="D91" s="38" t="s">
        <v>183</v>
      </c>
      <c r="E91" s="38" t="s">
        <v>106</v>
      </c>
      <c r="F91" s="64">
        <v>45780.6664467593</v>
      </c>
      <c r="G91" s="64">
        <v>45778.666562500002</v>
      </c>
      <c r="H91" s="59" t="s">
        <v>90</v>
      </c>
      <c r="I91" s="60">
        <v>12000</v>
      </c>
      <c r="J91" s="58" t="s">
        <v>107</v>
      </c>
      <c r="K91" s="61" t="s">
        <v>108</v>
      </c>
      <c r="L91" s="64">
        <v>45451.674467592602</v>
      </c>
      <c r="M91" s="64">
        <v>45455.749016203699</v>
      </c>
      <c r="N91" s="38" t="s">
        <v>127</v>
      </c>
      <c r="O91" s="64">
        <v>45617.618750000001</v>
      </c>
      <c r="P91" s="64">
        <v>45622.666666666701</v>
      </c>
      <c r="Q91" s="58" t="s">
        <v>108</v>
      </c>
      <c r="R91" s="64">
        <v>45699.479861111096</v>
      </c>
      <c r="S91" s="64">
        <v>45699.479861111096</v>
      </c>
      <c r="T91" s="38" t="s">
        <v>127</v>
      </c>
      <c r="U91" s="64">
        <v>45736.618333333303</v>
      </c>
      <c r="V91" s="64">
        <v>45742.753773148099</v>
      </c>
      <c r="W91" s="38" t="s">
        <v>108</v>
      </c>
      <c r="X91" s="64">
        <v>45745.676886574103</v>
      </c>
      <c r="Y91" s="64">
        <v>45747.622974537</v>
      </c>
    </row>
    <row r="92" spans="1:25" s="38" customFormat="1" ht="14.4" customHeight="1" x14ac:dyDescent="0.25">
      <c r="A92" s="44">
        <v>91</v>
      </c>
      <c r="B92" s="45" t="s">
        <v>85</v>
      </c>
      <c r="C92" s="46" t="s">
        <v>86</v>
      </c>
      <c r="D92" s="38" t="s">
        <v>184</v>
      </c>
      <c r="E92" s="38" t="s">
        <v>106</v>
      </c>
      <c r="F92" s="64">
        <v>45627.669513888897</v>
      </c>
      <c r="G92" s="64">
        <v>45625.6696296296</v>
      </c>
      <c r="H92" s="59" t="s">
        <v>90</v>
      </c>
      <c r="I92" s="60">
        <v>12000</v>
      </c>
      <c r="J92" s="58" t="s">
        <v>107</v>
      </c>
      <c r="K92" s="61" t="s">
        <v>108</v>
      </c>
      <c r="L92" s="64">
        <v>45449.413414351897</v>
      </c>
      <c r="M92" s="64">
        <v>45450.715347222198</v>
      </c>
    </row>
    <row r="93" spans="1:25" s="38" customFormat="1" ht="14.4" customHeight="1" x14ac:dyDescent="0.25">
      <c r="A93" s="44">
        <v>92</v>
      </c>
      <c r="B93" s="45" t="s">
        <v>85</v>
      </c>
      <c r="C93" s="46" t="s">
        <v>86</v>
      </c>
      <c r="D93" s="38" t="s">
        <v>185</v>
      </c>
      <c r="E93" s="38" t="s">
        <v>106</v>
      </c>
      <c r="F93" s="64">
        <v>45627.669513888897</v>
      </c>
      <c r="G93" s="64">
        <v>45625.6696296296</v>
      </c>
      <c r="H93" s="59" t="s">
        <v>90</v>
      </c>
      <c r="I93" s="60">
        <v>12000</v>
      </c>
      <c r="J93" s="58" t="s">
        <v>107</v>
      </c>
      <c r="K93" s="61" t="s">
        <v>108</v>
      </c>
      <c r="L93" s="64">
        <v>45451.674733796302</v>
      </c>
      <c r="M93" s="64">
        <v>45455.749062499999</v>
      </c>
    </row>
    <row r="94" spans="1:25" s="38" customFormat="1" ht="14.4" customHeight="1" x14ac:dyDescent="0.25">
      <c r="A94" s="44">
        <v>93</v>
      </c>
      <c r="B94" s="45" t="s">
        <v>85</v>
      </c>
      <c r="C94" s="46" t="s">
        <v>86</v>
      </c>
      <c r="D94" s="38" t="s">
        <v>186</v>
      </c>
      <c r="E94" s="38" t="s">
        <v>106</v>
      </c>
      <c r="F94" s="64">
        <v>45627.673101851899</v>
      </c>
      <c r="G94" s="64">
        <v>45625.673217592601</v>
      </c>
      <c r="H94" s="59" t="s">
        <v>90</v>
      </c>
      <c r="I94" s="60">
        <v>12000</v>
      </c>
      <c r="J94" s="58" t="s">
        <v>107</v>
      </c>
      <c r="K94" s="61" t="s">
        <v>108</v>
      </c>
      <c r="L94" s="64">
        <v>45451.674826388902</v>
      </c>
      <c r="M94" s="64">
        <v>45455.7490972222</v>
      </c>
    </row>
    <row r="95" spans="1:25" s="38" customFormat="1" ht="14.4" customHeight="1" x14ac:dyDescent="0.25">
      <c r="A95" s="44">
        <v>94</v>
      </c>
      <c r="B95" s="45" t="s">
        <v>85</v>
      </c>
      <c r="C95" s="46" t="s">
        <v>86</v>
      </c>
      <c r="D95" s="38" t="s">
        <v>187</v>
      </c>
      <c r="E95" s="38" t="s">
        <v>106</v>
      </c>
      <c r="F95" s="64">
        <v>45627.669861111099</v>
      </c>
      <c r="G95" s="64">
        <v>45625.669976851903</v>
      </c>
      <c r="H95" s="59" t="s">
        <v>90</v>
      </c>
      <c r="I95" s="60">
        <v>12000</v>
      </c>
      <c r="J95" s="58" t="s">
        <v>107</v>
      </c>
      <c r="K95" s="61" t="s">
        <v>108</v>
      </c>
      <c r="L95" s="64">
        <v>45451.674907407403</v>
      </c>
      <c r="M95" s="64">
        <v>45455.7491435185</v>
      </c>
    </row>
    <row r="96" spans="1:25" s="38" customFormat="1" ht="14.4" customHeight="1" x14ac:dyDescent="0.25">
      <c r="A96" s="44">
        <v>95</v>
      </c>
      <c r="B96" s="45" t="s">
        <v>85</v>
      </c>
      <c r="C96" s="66" t="s">
        <v>86</v>
      </c>
      <c r="D96" s="66" t="s">
        <v>188</v>
      </c>
      <c r="E96" s="67" t="s">
        <v>108</v>
      </c>
      <c r="F96" s="68">
        <v>46263.617395833302</v>
      </c>
      <c r="G96" s="68">
        <v>46268.395208333299</v>
      </c>
      <c r="H96" s="59" t="s">
        <v>90</v>
      </c>
      <c r="I96" s="60">
        <v>12000</v>
      </c>
      <c r="J96" s="135" t="s">
        <v>427</v>
      </c>
      <c r="K96" s="62"/>
      <c r="L96" s="63"/>
      <c r="M96" s="57"/>
    </row>
    <row r="97" spans="1:25" s="38" customFormat="1" ht="14.4" customHeight="1" x14ac:dyDescent="0.25">
      <c r="A97" s="44">
        <v>96</v>
      </c>
      <c r="B97" s="45" t="s">
        <v>85</v>
      </c>
      <c r="C97" s="72" t="s">
        <v>86</v>
      </c>
      <c r="D97" s="72" t="s">
        <v>189</v>
      </c>
      <c r="E97" s="75" t="s">
        <v>146</v>
      </c>
      <c r="F97" s="76">
        <v>46254.8335532407</v>
      </c>
      <c r="G97" s="76">
        <v>46253.833773148202</v>
      </c>
      <c r="H97" s="59" t="s">
        <v>90</v>
      </c>
      <c r="I97" s="60">
        <v>12000</v>
      </c>
      <c r="J97" s="58" t="s">
        <v>107</v>
      </c>
      <c r="K97" s="67" t="s">
        <v>265</v>
      </c>
      <c r="L97" s="68">
        <v>46249.7258912037</v>
      </c>
      <c r="M97" s="68">
        <v>46252.748483796298</v>
      </c>
    </row>
    <row r="98" spans="1:25" s="38" customFormat="1" ht="14.4" customHeight="1" x14ac:dyDescent="0.25">
      <c r="A98" s="44">
        <v>97</v>
      </c>
      <c r="B98" s="45" t="s">
        <v>85</v>
      </c>
      <c r="C98" s="66" t="s">
        <v>86</v>
      </c>
      <c r="D98" s="66" t="s">
        <v>190</v>
      </c>
      <c r="E98" s="67" t="s">
        <v>108</v>
      </c>
      <c r="F98" s="68">
        <v>46263.616481481498</v>
      </c>
      <c r="G98" s="68">
        <v>46268.395254629599</v>
      </c>
      <c r="H98" s="59" t="s">
        <v>90</v>
      </c>
      <c r="I98" s="60">
        <v>12000</v>
      </c>
      <c r="J98" s="135" t="s">
        <v>427</v>
      </c>
      <c r="K98" s="62"/>
      <c r="L98" s="63"/>
      <c r="M98" s="57"/>
    </row>
    <row r="99" spans="1:25" s="38" customFormat="1" ht="14.4" customHeight="1" x14ac:dyDescent="0.25">
      <c r="A99" s="44">
        <v>98</v>
      </c>
      <c r="B99" s="45" t="s">
        <v>85</v>
      </c>
      <c r="C99" s="66" t="s">
        <v>86</v>
      </c>
      <c r="D99" s="66" t="s">
        <v>191</v>
      </c>
      <c r="E99" s="67" t="s">
        <v>108</v>
      </c>
      <c r="F99" s="68">
        <v>46263.630150463003</v>
      </c>
      <c r="G99" s="68">
        <v>46268.395300925898</v>
      </c>
      <c r="H99" s="59" t="s">
        <v>90</v>
      </c>
      <c r="I99" s="60">
        <v>12000</v>
      </c>
      <c r="J99" s="135" t="s">
        <v>427</v>
      </c>
      <c r="K99" s="62"/>
      <c r="L99" s="63"/>
      <c r="M99" s="57"/>
    </row>
    <row r="100" spans="1:25" s="38" customFormat="1" ht="14.4" customHeight="1" x14ac:dyDescent="0.25">
      <c r="A100" s="44">
        <v>99</v>
      </c>
      <c r="B100" s="45" t="s">
        <v>85</v>
      </c>
      <c r="C100" s="72" t="s">
        <v>86</v>
      </c>
      <c r="D100" s="72" t="s">
        <v>192</v>
      </c>
      <c r="E100" s="75" t="s">
        <v>146</v>
      </c>
      <c r="F100" s="76">
        <v>46254.8335532407</v>
      </c>
      <c r="G100" s="76">
        <v>46253.833773148202</v>
      </c>
      <c r="H100" s="59" t="s">
        <v>90</v>
      </c>
      <c r="I100" s="60">
        <v>12000</v>
      </c>
      <c r="J100" s="58" t="s">
        <v>107</v>
      </c>
      <c r="K100" s="67" t="s">
        <v>265</v>
      </c>
      <c r="L100" s="68">
        <v>46249.7258912037</v>
      </c>
      <c r="M100" s="68">
        <v>46252.748530092598</v>
      </c>
    </row>
    <row r="101" spans="1:25" s="38" customFormat="1" ht="14.4" customHeight="1" x14ac:dyDescent="0.25">
      <c r="A101" s="44">
        <v>100</v>
      </c>
      <c r="B101" s="45" t="s">
        <v>85</v>
      </c>
      <c r="C101" s="66" t="s">
        <v>86</v>
      </c>
      <c r="D101" s="66" t="s">
        <v>193</v>
      </c>
      <c r="E101" s="67" t="s">
        <v>108</v>
      </c>
      <c r="F101" s="68">
        <v>46263.629976851902</v>
      </c>
      <c r="G101" s="68">
        <v>46268.395763888897</v>
      </c>
      <c r="H101" s="59" t="s">
        <v>90</v>
      </c>
      <c r="I101" s="60">
        <v>12000</v>
      </c>
      <c r="J101" s="135" t="s">
        <v>427</v>
      </c>
      <c r="K101" s="62"/>
      <c r="L101" s="63"/>
      <c r="M101" s="57"/>
    </row>
    <row r="102" spans="1:25" s="38" customFormat="1" ht="14.4" customHeight="1" x14ac:dyDescent="0.25">
      <c r="A102" s="44">
        <v>101</v>
      </c>
      <c r="B102" s="45" t="s">
        <v>85</v>
      </c>
      <c r="C102" s="46" t="s">
        <v>86</v>
      </c>
      <c r="D102" s="38" t="s">
        <v>194</v>
      </c>
      <c r="E102" s="61"/>
      <c r="H102" s="59" t="s">
        <v>90</v>
      </c>
      <c r="I102" s="60">
        <v>12000</v>
      </c>
      <c r="K102" s="62"/>
      <c r="L102" s="63"/>
      <c r="M102" s="57"/>
    </row>
    <row r="103" spans="1:25" s="38" customFormat="1" ht="14.4" customHeight="1" x14ac:dyDescent="0.25">
      <c r="A103" s="44">
        <v>102</v>
      </c>
      <c r="B103" s="45" t="s">
        <v>85</v>
      </c>
      <c r="C103" s="46" t="s">
        <v>86</v>
      </c>
      <c r="D103" s="38" t="s">
        <v>195</v>
      </c>
      <c r="E103" s="61"/>
      <c r="H103" s="59" t="s">
        <v>90</v>
      </c>
      <c r="I103" s="60">
        <v>12000</v>
      </c>
      <c r="K103" s="62"/>
      <c r="L103" s="63"/>
      <c r="M103" s="57"/>
    </row>
    <row r="104" spans="1:25" s="38" customFormat="1" ht="14.4" customHeight="1" x14ac:dyDescent="0.25">
      <c r="A104" s="44">
        <v>103</v>
      </c>
      <c r="B104" s="45" t="s">
        <v>85</v>
      </c>
      <c r="C104" s="46" t="s">
        <v>86</v>
      </c>
      <c r="D104" s="38" t="s">
        <v>196</v>
      </c>
      <c r="E104" s="38" t="s">
        <v>106</v>
      </c>
      <c r="F104" s="64">
        <v>45533.731400463003</v>
      </c>
      <c r="G104" s="64">
        <v>45539.633032407401</v>
      </c>
      <c r="H104" s="54" t="s">
        <v>88</v>
      </c>
      <c r="I104" s="55">
        <v>16000</v>
      </c>
      <c r="J104" s="58" t="s">
        <v>107</v>
      </c>
      <c r="K104" s="61" t="s">
        <v>108</v>
      </c>
      <c r="L104" s="64">
        <v>45451.675208333298</v>
      </c>
      <c r="M104" s="64">
        <v>45455.749178240701</v>
      </c>
    </row>
    <row r="105" spans="1:25" s="38" customFormat="1" ht="14.4" customHeight="1" x14ac:dyDescent="0.25">
      <c r="A105" s="44">
        <v>104</v>
      </c>
      <c r="B105" s="45" t="s">
        <v>85</v>
      </c>
      <c r="C105" s="46" t="s">
        <v>86</v>
      </c>
      <c r="D105" s="38" t="s">
        <v>197</v>
      </c>
      <c r="E105" s="38" t="s">
        <v>106</v>
      </c>
      <c r="F105" s="64">
        <v>45893.712893518503</v>
      </c>
      <c r="G105" s="64">
        <v>45891.712974536997</v>
      </c>
      <c r="H105" s="59" t="s">
        <v>90</v>
      </c>
      <c r="I105" s="60">
        <v>12000</v>
      </c>
      <c r="J105" s="58" t="s">
        <v>107</v>
      </c>
      <c r="K105" s="38" t="s">
        <v>106</v>
      </c>
      <c r="L105" s="64">
        <v>45644.882222222201</v>
      </c>
      <c r="M105" s="64">
        <v>45643.882326388899</v>
      </c>
      <c r="N105" s="38" t="s">
        <v>146</v>
      </c>
      <c r="O105" s="64">
        <v>45562.7728935185</v>
      </c>
      <c r="P105" s="64">
        <v>45561.772997685199</v>
      </c>
      <c r="Q105" s="61" t="s">
        <v>108</v>
      </c>
      <c r="R105" s="64">
        <v>45451.675324074102</v>
      </c>
      <c r="S105" s="64">
        <v>45455.749212962997</v>
      </c>
      <c r="T105" s="38" t="s">
        <v>106</v>
      </c>
      <c r="U105" s="64">
        <v>45533.7355902778</v>
      </c>
      <c r="V105" s="64">
        <v>45539.632916666698</v>
      </c>
      <c r="W105" s="38" t="s">
        <v>146</v>
      </c>
      <c r="X105" s="64">
        <v>45655.834710648101</v>
      </c>
      <c r="Y105" s="64">
        <v>45654.8348148148</v>
      </c>
    </row>
    <row r="106" spans="1:25" s="38" customFormat="1" ht="14.4" customHeight="1" x14ac:dyDescent="0.25">
      <c r="A106" s="44">
        <v>105</v>
      </c>
      <c r="B106" s="45" t="s">
        <v>85</v>
      </c>
      <c r="C106" s="46" t="s">
        <v>86</v>
      </c>
      <c r="D106" s="38" t="s">
        <v>198</v>
      </c>
      <c r="E106" s="38" t="s">
        <v>106</v>
      </c>
      <c r="F106" s="64">
        <v>45540.732719907399</v>
      </c>
      <c r="G106" s="64">
        <v>45540.622557870403</v>
      </c>
      <c r="H106" s="59" t="s">
        <v>90</v>
      </c>
      <c r="I106" s="60">
        <v>12000</v>
      </c>
      <c r="J106" s="58" t="s">
        <v>107</v>
      </c>
      <c r="K106" s="61" t="s">
        <v>108</v>
      </c>
      <c r="L106" s="64">
        <v>45451.675405092603</v>
      </c>
      <c r="M106" s="64">
        <v>45455.749247685198</v>
      </c>
    </row>
    <row r="107" spans="1:25" s="38" customFormat="1" ht="14.4" customHeight="1" x14ac:dyDescent="0.25">
      <c r="A107" s="44">
        <v>106</v>
      </c>
      <c r="B107" s="45" t="s">
        <v>85</v>
      </c>
      <c r="C107" s="46" t="s">
        <v>86</v>
      </c>
      <c r="D107" s="38" t="s">
        <v>199</v>
      </c>
      <c r="E107" s="38" t="s">
        <v>106</v>
      </c>
      <c r="F107" s="64">
        <v>45540.736724536997</v>
      </c>
      <c r="G107" s="64">
        <v>45540.622604166703</v>
      </c>
      <c r="H107" s="59" t="s">
        <v>90</v>
      </c>
      <c r="I107" s="60">
        <v>12000</v>
      </c>
      <c r="J107" s="58" t="s">
        <v>107</v>
      </c>
      <c r="K107" s="61" t="s">
        <v>108</v>
      </c>
      <c r="L107" s="64">
        <v>45451.675520833298</v>
      </c>
      <c r="M107" s="64">
        <v>45455.7492824074</v>
      </c>
    </row>
    <row r="108" spans="1:25" s="38" customFormat="1" ht="14.4" customHeight="1" x14ac:dyDescent="0.25">
      <c r="A108" s="44">
        <v>107</v>
      </c>
      <c r="B108" s="45" t="s">
        <v>85</v>
      </c>
      <c r="C108" s="46" t="s">
        <v>86</v>
      </c>
      <c r="D108" s="38" t="s">
        <v>200</v>
      </c>
      <c r="E108" s="38" t="s">
        <v>106</v>
      </c>
      <c r="F108" s="64">
        <v>45780.673425925903</v>
      </c>
      <c r="G108" s="64">
        <v>45778.673530092601</v>
      </c>
      <c r="H108" s="59" t="s">
        <v>90</v>
      </c>
      <c r="I108" s="60">
        <v>12000</v>
      </c>
      <c r="J108" s="58" t="s">
        <v>107</v>
      </c>
      <c r="K108" s="61" t="s">
        <v>108</v>
      </c>
      <c r="L108" s="64">
        <v>45451.675601851799</v>
      </c>
      <c r="M108" s="64">
        <v>45455.749317129601</v>
      </c>
      <c r="N108" s="38" t="s">
        <v>127</v>
      </c>
      <c r="O108" s="64">
        <v>45617.618750000001</v>
      </c>
      <c r="P108" s="64">
        <v>45622.666666666701</v>
      </c>
      <c r="Q108" s="58" t="s">
        <v>108</v>
      </c>
      <c r="R108" s="64">
        <v>45699.479861111096</v>
      </c>
      <c r="S108" s="64">
        <v>45699.479861111096</v>
      </c>
    </row>
    <row r="109" spans="1:25" s="38" customFormat="1" ht="14.4" customHeight="1" x14ac:dyDescent="0.25">
      <c r="A109" s="44">
        <v>108</v>
      </c>
      <c r="B109" s="45" t="s">
        <v>85</v>
      </c>
      <c r="C109" s="46" t="s">
        <v>86</v>
      </c>
      <c r="D109" s="38" t="s">
        <v>201</v>
      </c>
      <c r="E109" s="38" t="s">
        <v>106</v>
      </c>
      <c r="F109" s="64">
        <v>45780.673425925903</v>
      </c>
      <c r="G109" s="64">
        <v>45778.6735416667</v>
      </c>
      <c r="H109" s="59" t="s">
        <v>90</v>
      </c>
      <c r="I109" s="60">
        <v>12000</v>
      </c>
      <c r="J109" s="58" t="s">
        <v>107</v>
      </c>
      <c r="K109" s="61" t="s">
        <v>108</v>
      </c>
      <c r="L109" s="64">
        <v>45451.675729166702</v>
      </c>
      <c r="M109" s="64">
        <v>45455.749363425901</v>
      </c>
      <c r="N109" s="38" t="s">
        <v>127</v>
      </c>
      <c r="O109" s="64">
        <v>45617.618750000001</v>
      </c>
      <c r="P109" s="64">
        <v>45622.666666666701</v>
      </c>
      <c r="Q109" s="58" t="s">
        <v>108</v>
      </c>
      <c r="R109" s="64">
        <v>45699.479861111096</v>
      </c>
      <c r="S109" s="64">
        <v>45699.479861111096</v>
      </c>
    </row>
    <row r="110" spans="1:25" s="38" customFormat="1" ht="14.4" customHeight="1" x14ac:dyDescent="0.25">
      <c r="A110" s="44">
        <v>109</v>
      </c>
      <c r="B110" s="45" t="s">
        <v>85</v>
      </c>
      <c r="C110" s="46" t="s">
        <v>86</v>
      </c>
      <c r="D110" s="38" t="s">
        <v>202</v>
      </c>
      <c r="E110" s="38" t="s">
        <v>106</v>
      </c>
      <c r="F110" s="64">
        <v>45626.678993055597</v>
      </c>
      <c r="G110" s="64">
        <v>45624.679097222201</v>
      </c>
      <c r="H110" s="59" t="s">
        <v>90</v>
      </c>
      <c r="I110" s="60">
        <v>12000</v>
      </c>
      <c r="J110" s="58" t="s">
        <v>107</v>
      </c>
      <c r="K110" s="61" t="s">
        <v>108</v>
      </c>
      <c r="L110" s="64">
        <v>45451.675798611097</v>
      </c>
      <c r="M110" s="64">
        <v>45455.749398148102</v>
      </c>
    </row>
    <row r="111" spans="1:25" s="38" customFormat="1" ht="14.4" customHeight="1" x14ac:dyDescent="0.25">
      <c r="A111" s="44">
        <v>110</v>
      </c>
      <c r="B111" s="45" t="s">
        <v>85</v>
      </c>
      <c r="C111" s="46" t="s">
        <v>86</v>
      </c>
      <c r="D111" s="38" t="s">
        <v>203</v>
      </c>
      <c r="E111" s="38" t="s">
        <v>106</v>
      </c>
      <c r="F111" s="64">
        <v>45626.679027777798</v>
      </c>
      <c r="G111" s="64">
        <v>45624.679131944402</v>
      </c>
      <c r="H111" s="59" t="s">
        <v>90</v>
      </c>
      <c r="I111" s="60">
        <v>12000</v>
      </c>
      <c r="J111" s="58" t="s">
        <v>107</v>
      </c>
      <c r="K111" s="61" t="s">
        <v>108</v>
      </c>
      <c r="L111" s="64">
        <v>45449.413761574098</v>
      </c>
      <c r="M111" s="64">
        <v>45450.715555555602</v>
      </c>
    </row>
    <row r="112" spans="1:25" s="38" customFormat="1" ht="14.4" customHeight="1" x14ac:dyDescent="0.25">
      <c r="A112" s="44">
        <v>111</v>
      </c>
      <c r="B112" s="45" t="s">
        <v>85</v>
      </c>
      <c r="C112" s="46" t="s">
        <v>86</v>
      </c>
      <c r="D112" s="38" t="s">
        <v>204</v>
      </c>
      <c r="E112" s="38" t="s">
        <v>106</v>
      </c>
      <c r="F112" s="64">
        <v>45626.679131944402</v>
      </c>
      <c r="G112" s="64">
        <v>45624.679247685199</v>
      </c>
      <c r="H112" s="59" t="s">
        <v>90</v>
      </c>
      <c r="I112" s="60">
        <v>12000</v>
      </c>
      <c r="J112" s="58" t="s">
        <v>107</v>
      </c>
      <c r="K112" s="61" t="s">
        <v>108</v>
      </c>
      <c r="L112" s="64">
        <v>45451.676053240699</v>
      </c>
      <c r="M112" s="64">
        <v>45455.749432870398</v>
      </c>
    </row>
    <row r="113" spans="1:19" s="38" customFormat="1" ht="14.4" customHeight="1" x14ac:dyDescent="0.25">
      <c r="A113" s="44">
        <v>112</v>
      </c>
      <c r="B113" s="45" t="s">
        <v>85</v>
      </c>
      <c r="C113" s="46" t="s">
        <v>86</v>
      </c>
      <c r="D113" s="38" t="s">
        <v>205</v>
      </c>
      <c r="E113" s="38" t="s">
        <v>106</v>
      </c>
      <c r="F113" s="64">
        <v>45627.6731365741</v>
      </c>
      <c r="G113" s="64">
        <v>45625.673240740703</v>
      </c>
      <c r="H113" s="59" t="s">
        <v>90</v>
      </c>
      <c r="I113" s="60">
        <v>12000</v>
      </c>
      <c r="J113" s="58" t="s">
        <v>107</v>
      </c>
      <c r="K113" s="61" t="s">
        <v>108</v>
      </c>
      <c r="L113" s="64">
        <v>45451.676203703697</v>
      </c>
      <c r="M113" s="64">
        <v>45455.749467592599</v>
      </c>
    </row>
    <row r="114" spans="1:19" s="38" customFormat="1" ht="14.4" customHeight="1" x14ac:dyDescent="0.25">
      <c r="A114" s="44">
        <v>113</v>
      </c>
      <c r="B114" s="45" t="s">
        <v>85</v>
      </c>
      <c r="C114" s="66" t="s">
        <v>86</v>
      </c>
      <c r="D114" s="66" t="s">
        <v>206</v>
      </c>
      <c r="E114" s="67" t="s">
        <v>108</v>
      </c>
      <c r="F114" s="68">
        <v>46263.623090277797</v>
      </c>
      <c r="G114" s="68">
        <v>46268.397997685199</v>
      </c>
      <c r="H114" s="59" t="s">
        <v>90</v>
      </c>
      <c r="I114" s="60">
        <v>12000</v>
      </c>
      <c r="J114" s="135" t="s">
        <v>427</v>
      </c>
      <c r="K114" s="62"/>
      <c r="L114" s="63"/>
      <c r="M114" s="57"/>
    </row>
    <row r="115" spans="1:19" s="38" customFormat="1" ht="14.4" customHeight="1" x14ac:dyDescent="0.25">
      <c r="A115" s="44">
        <v>114</v>
      </c>
      <c r="B115" s="45" t="s">
        <v>85</v>
      </c>
      <c r="C115" s="72" t="s">
        <v>86</v>
      </c>
      <c r="D115" s="72" t="s">
        <v>207</v>
      </c>
      <c r="E115" s="75" t="s">
        <v>146</v>
      </c>
      <c r="F115" s="76">
        <v>46254.8335532407</v>
      </c>
      <c r="G115" s="76">
        <v>46253.833773148202</v>
      </c>
      <c r="H115" s="59" t="s">
        <v>90</v>
      </c>
      <c r="I115" s="60">
        <v>12000</v>
      </c>
      <c r="J115" s="58" t="s">
        <v>107</v>
      </c>
      <c r="K115" s="67" t="s">
        <v>265</v>
      </c>
      <c r="L115" s="68">
        <v>46249.7258912037</v>
      </c>
      <c r="M115" s="68">
        <v>46252.748576388898</v>
      </c>
    </row>
    <row r="116" spans="1:19" s="38" customFormat="1" ht="14.4" customHeight="1" x14ac:dyDescent="0.25">
      <c r="A116" s="44">
        <v>115</v>
      </c>
      <c r="B116" s="45" t="s">
        <v>85</v>
      </c>
      <c r="C116" s="66" t="s">
        <v>86</v>
      </c>
      <c r="D116" s="66" t="s">
        <v>208</v>
      </c>
      <c r="E116" s="67" t="s">
        <v>108</v>
      </c>
      <c r="F116" s="68">
        <v>46263.625</v>
      </c>
      <c r="G116" s="68">
        <v>46268.398043981499</v>
      </c>
      <c r="H116" s="59" t="s">
        <v>90</v>
      </c>
      <c r="I116" s="60">
        <v>12000</v>
      </c>
      <c r="J116" s="135" t="s">
        <v>427</v>
      </c>
      <c r="K116" s="62"/>
      <c r="L116" s="63"/>
      <c r="M116" s="57"/>
    </row>
    <row r="117" spans="1:19" s="38" customFormat="1" ht="14.4" customHeight="1" x14ac:dyDescent="0.25">
      <c r="A117" s="44">
        <v>116</v>
      </c>
      <c r="B117" s="45" t="s">
        <v>85</v>
      </c>
      <c r="C117" s="66" t="s">
        <v>86</v>
      </c>
      <c r="D117" s="66" t="s">
        <v>209</v>
      </c>
      <c r="E117" s="67" t="s">
        <v>108</v>
      </c>
      <c r="F117" s="68">
        <v>46262.8367939815</v>
      </c>
      <c r="G117" s="68">
        <v>46268.398090277798</v>
      </c>
      <c r="H117" s="59" t="s">
        <v>90</v>
      </c>
      <c r="I117" s="60">
        <v>12000</v>
      </c>
      <c r="J117" s="135" t="s">
        <v>427</v>
      </c>
      <c r="K117" s="62"/>
      <c r="L117" s="63"/>
      <c r="M117" s="57"/>
    </row>
    <row r="118" spans="1:19" s="38" customFormat="1" ht="14.4" customHeight="1" x14ac:dyDescent="0.25">
      <c r="A118" s="44">
        <v>117</v>
      </c>
      <c r="B118" s="45" t="s">
        <v>85</v>
      </c>
      <c r="C118" s="72" t="s">
        <v>86</v>
      </c>
      <c r="D118" s="72" t="s">
        <v>210</v>
      </c>
      <c r="E118" s="75" t="s">
        <v>146</v>
      </c>
      <c r="F118" s="76">
        <v>46254.8335532407</v>
      </c>
      <c r="G118" s="76">
        <v>46253.833773148202</v>
      </c>
      <c r="H118" s="59" t="s">
        <v>90</v>
      </c>
      <c r="I118" s="60">
        <v>12000</v>
      </c>
      <c r="J118" s="58" t="s">
        <v>107</v>
      </c>
      <c r="K118" s="67" t="s">
        <v>265</v>
      </c>
      <c r="L118" s="68">
        <v>46249.7258912037</v>
      </c>
      <c r="M118" s="68">
        <v>46252.748622685198</v>
      </c>
    </row>
    <row r="119" spans="1:19" s="38" customFormat="1" ht="14.4" customHeight="1" x14ac:dyDescent="0.25">
      <c r="A119" s="44">
        <v>118</v>
      </c>
      <c r="B119" s="45" t="s">
        <v>85</v>
      </c>
      <c r="C119" s="66" t="s">
        <v>86</v>
      </c>
      <c r="D119" s="66" t="s">
        <v>211</v>
      </c>
      <c r="E119" s="67" t="s">
        <v>108</v>
      </c>
      <c r="F119" s="68">
        <v>46262.832407407397</v>
      </c>
      <c r="G119" s="68">
        <v>46268.398125</v>
      </c>
      <c r="H119" s="59" t="s">
        <v>90</v>
      </c>
      <c r="I119" s="60">
        <v>12000</v>
      </c>
      <c r="J119" s="135" t="s">
        <v>427</v>
      </c>
      <c r="K119" s="62"/>
      <c r="L119" s="63"/>
      <c r="M119" s="57"/>
    </row>
    <row r="120" spans="1:19" s="38" customFormat="1" ht="14.4" customHeight="1" x14ac:dyDescent="0.25">
      <c r="A120" s="44">
        <v>119</v>
      </c>
      <c r="B120" s="45" t="s">
        <v>85</v>
      </c>
      <c r="C120" s="46" t="s">
        <v>86</v>
      </c>
      <c r="D120" s="38" t="s">
        <v>212</v>
      </c>
      <c r="E120" s="38" t="s">
        <v>106</v>
      </c>
      <c r="F120" s="64">
        <v>45540.736898148098</v>
      </c>
      <c r="G120" s="64">
        <v>45540.622662037</v>
      </c>
      <c r="H120" s="54" t="s">
        <v>88</v>
      </c>
      <c r="I120" s="55">
        <v>16000</v>
      </c>
      <c r="J120" s="58" t="s">
        <v>107</v>
      </c>
      <c r="K120" s="61" t="s">
        <v>108</v>
      </c>
      <c r="L120" s="64">
        <v>45451.676423611098</v>
      </c>
      <c r="M120" s="64">
        <v>45455.749513888899</v>
      </c>
    </row>
    <row r="121" spans="1:19" s="38" customFormat="1" ht="14.4" customHeight="1" x14ac:dyDescent="0.25">
      <c r="A121" s="44">
        <v>120</v>
      </c>
      <c r="B121" s="45" t="s">
        <v>85</v>
      </c>
      <c r="C121" s="46" t="s">
        <v>86</v>
      </c>
      <c r="D121" s="38" t="s">
        <v>213</v>
      </c>
      <c r="E121" s="38" t="s">
        <v>106</v>
      </c>
      <c r="F121" s="64">
        <v>45540.7367592593</v>
      </c>
      <c r="G121" s="64">
        <v>45540.622719907398</v>
      </c>
      <c r="H121" s="59" t="s">
        <v>90</v>
      </c>
      <c r="I121" s="60">
        <v>12000</v>
      </c>
      <c r="J121" s="58" t="s">
        <v>107</v>
      </c>
      <c r="K121" s="61" t="s">
        <v>108</v>
      </c>
      <c r="L121" s="64">
        <v>45451.676516203697</v>
      </c>
      <c r="M121" s="64">
        <v>45455.7495486111</v>
      </c>
    </row>
    <row r="122" spans="1:19" s="38" customFormat="1" ht="14.4" customHeight="1" x14ac:dyDescent="0.25">
      <c r="A122" s="44">
        <v>121</v>
      </c>
      <c r="B122" s="45" t="s">
        <v>85</v>
      </c>
      <c r="C122" s="46" t="s">
        <v>86</v>
      </c>
      <c r="D122" s="38" t="s">
        <v>214</v>
      </c>
      <c r="E122" s="38" t="s">
        <v>106</v>
      </c>
      <c r="F122" s="64">
        <v>45893.466168981497</v>
      </c>
      <c r="G122" s="64">
        <v>45891.466249999998</v>
      </c>
      <c r="H122" s="59" t="s">
        <v>90</v>
      </c>
      <c r="I122" s="60">
        <v>12000</v>
      </c>
      <c r="J122" s="58" t="s">
        <v>107</v>
      </c>
      <c r="K122" s="61" t="s">
        <v>108</v>
      </c>
      <c r="L122" s="64">
        <v>45451.676643518498</v>
      </c>
      <c r="M122" s="64">
        <v>45455.749606481499</v>
      </c>
      <c r="N122" s="38" t="s">
        <v>106</v>
      </c>
      <c r="O122" s="64">
        <v>45533.735578703701</v>
      </c>
      <c r="P122" s="64">
        <v>45539.632789351897</v>
      </c>
      <c r="Q122" s="38" t="s">
        <v>146</v>
      </c>
      <c r="R122" s="64">
        <v>45562.7728935185</v>
      </c>
      <c r="S122" s="64">
        <v>45561.772997685199</v>
      </c>
    </row>
    <row r="123" spans="1:19" s="38" customFormat="1" ht="14.4" customHeight="1" x14ac:dyDescent="0.25">
      <c r="A123" s="44">
        <v>122</v>
      </c>
      <c r="B123" s="45" t="s">
        <v>85</v>
      </c>
      <c r="C123" s="46" t="s">
        <v>86</v>
      </c>
      <c r="D123" s="38" t="s">
        <v>215</v>
      </c>
      <c r="E123" s="38" t="s">
        <v>106</v>
      </c>
      <c r="F123" s="64">
        <v>45533.731446759302</v>
      </c>
      <c r="G123" s="64">
        <v>45539.632685185199</v>
      </c>
      <c r="H123" s="59" t="s">
        <v>90</v>
      </c>
      <c r="I123" s="60">
        <v>12000</v>
      </c>
      <c r="J123" s="58" t="s">
        <v>107</v>
      </c>
      <c r="K123" s="61" t="s">
        <v>108</v>
      </c>
      <c r="L123" s="64">
        <v>45451.676759259302</v>
      </c>
      <c r="M123" s="64">
        <v>45455.7496412037</v>
      </c>
    </row>
    <row r="124" spans="1:19" s="38" customFormat="1" ht="14.4" customHeight="1" x14ac:dyDescent="0.25">
      <c r="A124" s="44">
        <v>123</v>
      </c>
      <c r="B124" s="45" t="s">
        <v>85</v>
      </c>
      <c r="C124" s="46" t="s">
        <v>86</v>
      </c>
      <c r="D124" s="38" t="s">
        <v>216</v>
      </c>
      <c r="E124" s="38" t="s">
        <v>106</v>
      </c>
      <c r="F124" s="64">
        <v>45780.673437500001</v>
      </c>
      <c r="G124" s="64">
        <v>45778.6735416667</v>
      </c>
      <c r="H124" s="59" t="s">
        <v>90</v>
      </c>
      <c r="I124" s="60">
        <v>12000</v>
      </c>
      <c r="J124" s="58" t="s">
        <v>107</v>
      </c>
      <c r="K124" s="61" t="s">
        <v>108</v>
      </c>
      <c r="L124" s="64">
        <v>45451.676851851902</v>
      </c>
      <c r="M124" s="64">
        <v>45455.749675925901</v>
      </c>
      <c r="N124" s="38" t="s">
        <v>127</v>
      </c>
      <c r="O124" s="64">
        <v>45617.618750000001</v>
      </c>
      <c r="P124" s="64">
        <v>45622.666666666701</v>
      </c>
      <c r="Q124" s="58" t="s">
        <v>108</v>
      </c>
      <c r="R124" s="64">
        <v>45706.75</v>
      </c>
      <c r="S124" s="64">
        <v>45706.604166666701</v>
      </c>
    </row>
    <row r="125" spans="1:19" s="38" customFormat="1" ht="14.4" customHeight="1" x14ac:dyDescent="0.25">
      <c r="A125" s="44">
        <v>124</v>
      </c>
      <c r="B125" s="45" t="s">
        <v>85</v>
      </c>
      <c r="C125" s="46" t="s">
        <v>86</v>
      </c>
      <c r="D125" s="38" t="s">
        <v>217</v>
      </c>
      <c r="E125" s="38" t="s">
        <v>106</v>
      </c>
      <c r="F125" s="64">
        <v>45780.6769907407</v>
      </c>
      <c r="G125" s="64">
        <v>45778.677094907398</v>
      </c>
      <c r="H125" s="59" t="s">
        <v>90</v>
      </c>
      <c r="I125" s="60">
        <v>12000</v>
      </c>
      <c r="J125" s="58" t="s">
        <v>107</v>
      </c>
      <c r="K125" s="61" t="s">
        <v>108</v>
      </c>
      <c r="L125" s="64">
        <v>45449.414027777799</v>
      </c>
      <c r="M125" s="64">
        <v>45450.715648148202</v>
      </c>
      <c r="N125" s="38" t="s">
        <v>127</v>
      </c>
      <c r="O125" s="64">
        <v>45617.618750000001</v>
      </c>
      <c r="P125" s="64">
        <v>45622.666666666701</v>
      </c>
      <c r="Q125" s="58" t="s">
        <v>108</v>
      </c>
      <c r="R125" s="64">
        <v>45699.479861111096</v>
      </c>
      <c r="S125" s="64">
        <v>45699.479861111096</v>
      </c>
    </row>
    <row r="126" spans="1:19" s="38" customFormat="1" ht="14.4" customHeight="1" x14ac:dyDescent="0.25">
      <c r="A126" s="44">
        <v>125</v>
      </c>
      <c r="B126" s="45" t="s">
        <v>85</v>
      </c>
      <c r="C126" s="46" t="s">
        <v>86</v>
      </c>
      <c r="D126" s="38" t="s">
        <v>218</v>
      </c>
      <c r="E126" s="38" t="s">
        <v>106</v>
      </c>
      <c r="F126" s="64">
        <v>45626.679270833301</v>
      </c>
      <c r="G126" s="64">
        <v>45624.679375</v>
      </c>
      <c r="H126" s="59" t="s">
        <v>90</v>
      </c>
      <c r="I126" s="60">
        <v>12000</v>
      </c>
      <c r="J126" s="58" t="s">
        <v>107</v>
      </c>
      <c r="K126" s="61" t="s">
        <v>108</v>
      </c>
      <c r="L126" s="64">
        <v>45449.414178240702</v>
      </c>
      <c r="M126" s="64">
        <v>45450.715752314798</v>
      </c>
    </row>
    <row r="127" spans="1:19" s="38" customFormat="1" ht="14.4" customHeight="1" x14ac:dyDescent="0.25">
      <c r="A127" s="44">
        <v>126</v>
      </c>
      <c r="B127" s="45" t="s">
        <v>85</v>
      </c>
      <c r="C127" s="46" t="s">
        <v>86</v>
      </c>
      <c r="D127" s="38" t="s">
        <v>219</v>
      </c>
      <c r="E127" s="38" t="s">
        <v>106</v>
      </c>
      <c r="F127" s="64">
        <v>45626.679131944402</v>
      </c>
      <c r="G127" s="64">
        <v>45624.679247685199</v>
      </c>
      <c r="H127" s="59" t="s">
        <v>90</v>
      </c>
      <c r="I127" s="60">
        <v>12000</v>
      </c>
      <c r="J127" s="58" t="s">
        <v>107</v>
      </c>
      <c r="K127" s="61" t="s">
        <v>108</v>
      </c>
      <c r="L127" s="64">
        <v>45449.4143287037</v>
      </c>
      <c r="M127" s="64">
        <v>45450.715844907398</v>
      </c>
    </row>
    <row r="128" spans="1:19" s="38" customFormat="1" ht="14.4" customHeight="1" x14ac:dyDescent="0.25">
      <c r="A128" s="44">
        <v>127</v>
      </c>
      <c r="B128" s="45" t="s">
        <v>85</v>
      </c>
      <c r="C128" s="46" t="s">
        <v>86</v>
      </c>
      <c r="D128" s="38" t="s">
        <v>220</v>
      </c>
      <c r="E128" s="38" t="s">
        <v>106</v>
      </c>
      <c r="F128" s="64">
        <v>45626.682604166701</v>
      </c>
      <c r="G128" s="64">
        <v>45624.682719907403</v>
      </c>
      <c r="H128" s="59" t="s">
        <v>90</v>
      </c>
      <c r="I128" s="60">
        <v>12000</v>
      </c>
      <c r="J128" s="58" t="s">
        <v>107</v>
      </c>
      <c r="K128" s="61" t="s">
        <v>108</v>
      </c>
      <c r="L128" s="64">
        <v>45449.4144675926</v>
      </c>
      <c r="M128" s="64">
        <v>45450.715937499997</v>
      </c>
    </row>
    <row r="129" spans="1:25" s="38" customFormat="1" ht="14.4" customHeight="1" x14ac:dyDescent="0.25">
      <c r="A129" s="44">
        <v>128</v>
      </c>
      <c r="B129" s="45" t="s">
        <v>85</v>
      </c>
      <c r="C129" s="46" t="s">
        <v>86</v>
      </c>
      <c r="D129" s="38" t="s">
        <v>221</v>
      </c>
      <c r="E129" s="38" t="s">
        <v>106</v>
      </c>
      <c r="F129" s="64">
        <v>45626.682754629597</v>
      </c>
      <c r="G129" s="64">
        <v>45624.682858796303</v>
      </c>
      <c r="H129" s="59" t="s">
        <v>90</v>
      </c>
      <c r="I129" s="60">
        <v>12000</v>
      </c>
      <c r="J129" s="58" t="s">
        <v>107</v>
      </c>
      <c r="K129" s="61" t="s">
        <v>108</v>
      </c>
      <c r="L129" s="64">
        <v>45449.414664351898</v>
      </c>
      <c r="M129" s="64">
        <v>45450.716203703698</v>
      </c>
    </row>
    <row r="130" spans="1:25" s="38" customFormat="1" ht="14.4" customHeight="1" x14ac:dyDescent="0.25">
      <c r="A130" s="44">
        <v>129</v>
      </c>
      <c r="B130" s="45" t="s">
        <v>85</v>
      </c>
      <c r="C130" s="66" t="s">
        <v>86</v>
      </c>
      <c r="D130" s="66" t="s">
        <v>222</v>
      </c>
      <c r="E130" s="67" t="s">
        <v>108</v>
      </c>
      <c r="F130" s="68">
        <v>46262.836770833303</v>
      </c>
      <c r="G130" s="68">
        <v>46268.3981712963</v>
      </c>
      <c r="H130" s="59" t="s">
        <v>90</v>
      </c>
      <c r="I130" s="60">
        <v>12000</v>
      </c>
      <c r="J130" s="135" t="s">
        <v>427</v>
      </c>
      <c r="K130" s="62"/>
      <c r="L130" s="63"/>
      <c r="M130" s="57"/>
    </row>
    <row r="131" spans="1:25" s="38" customFormat="1" ht="14.4" customHeight="1" x14ac:dyDescent="0.25">
      <c r="A131" s="44">
        <v>130</v>
      </c>
      <c r="B131" s="45" t="s">
        <v>85</v>
      </c>
      <c r="C131" s="72" t="s">
        <v>86</v>
      </c>
      <c r="D131" s="72" t="s">
        <v>223</v>
      </c>
      <c r="E131" s="75" t="s">
        <v>146</v>
      </c>
      <c r="F131" s="76">
        <v>46254.8335532407</v>
      </c>
      <c r="G131" s="76">
        <v>46253.833773148202</v>
      </c>
      <c r="H131" s="59" t="s">
        <v>90</v>
      </c>
      <c r="I131" s="60">
        <v>12000</v>
      </c>
      <c r="J131" s="58" t="s">
        <v>107</v>
      </c>
      <c r="K131" s="67" t="s">
        <v>265</v>
      </c>
      <c r="L131" s="68">
        <v>46249.7258912037</v>
      </c>
      <c r="M131" s="68">
        <v>46252.748668981498</v>
      </c>
    </row>
    <row r="132" spans="1:25" s="38" customFormat="1" ht="14.4" customHeight="1" x14ac:dyDescent="0.25">
      <c r="A132" s="44">
        <v>131</v>
      </c>
      <c r="B132" s="45" t="s">
        <v>85</v>
      </c>
      <c r="C132" s="66" t="s">
        <v>86</v>
      </c>
      <c r="D132" s="66" t="s">
        <v>224</v>
      </c>
      <c r="E132" s="67" t="s">
        <v>108</v>
      </c>
      <c r="F132" s="68">
        <v>46262.837071759299</v>
      </c>
      <c r="G132" s="68">
        <v>46268.398217592599</v>
      </c>
      <c r="H132" s="59" t="s">
        <v>90</v>
      </c>
      <c r="I132" s="60">
        <v>12000</v>
      </c>
      <c r="J132" s="135" t="s">
        <v>427</v>
      </c>
      <c r="K132" s="62"/>
      <c r="L132" s="63"/>
      <c r="M132" s="57"/>
    </row>
    <row r="133" spans="1:25" s="38" customFormat="1" ht="14.4" customHeight="1" x14ac:dyDescent="0.25">
      <c r="A133" s="44">
        <v>132</v>
      </c>
      <c r="B133" s="45" t="s">
        <v>85</v>
      </c>
      <c r="C133" s="66" t="s">
        <v>86</v>
      </c>
      <c r="D133" s="66" t="s">
        <v>225</v>
      </c>
      <c r="E133" s="67" t="s">
        <v>108</v>
      </c>
      <c r="F133" s="68">
        <v>46263.679178240702</v>
      </c>
      <c r="G133" s="68">
        <v>46268.398252314801</v>
      </c>
      <c r="H133" s="59" t="s">
        <v>90</v>
      </c>
      <c r="I133" s="60">
        <v>12000</v>
      </c>
      <c r="J133" s="135" t="s">
        <v>427</v>
      </c>
      <c r="K133" s="62"/>
      <c r="L133" s="63"/>
      <c r="M133" s="57"/>
    </row>
    <row r="134" spans="1:25" s="38" customFormat="1" ht="14.4" customHeight="1" x14ac:dyDescent="0.25">
      <c r="A134" s="44">
        <v>133</v>
      </c>
      <c r="B134" s="45" t="s">
        <v>85</v>
      </c>
      <c r="C134" s="72" t="s">
        <v>86</v>
      </c>
      <c r="D134" s="72" t="s">
        <v>226</v>
      </c>
      <c r="E134" s="75" t="s">
        <v>146</v>
      </c>
      <c r="F134" s="76">
        <v>46254.8335532407</v>
      </c>
      <c r="G134" s="76">
        <v>46253.833773148202</v>
      </c>
      <c r="H134" s="59" t="s">
        <v>90</v>
      </c>
      <c r="I134" s="60">
        <v>12000</v>
      </c>
      <c r="J134" s="58" t="s">
        <v>107</v>
      </c>
      <c r="K134" s="67" t="s">
        <v>265</v>
      </c>
      <c r="L134" s="68">
        <v>46249.7258912037</v>
      </c>
      <c r="M134" s="68">
        <v>46252.748726851903</v>
      </c>
    </row>
    <row r="135" spans="1:25" s="38" customFormat="1" ht="14.4" customHeight="1" x14ac:dyDescent="0.25">
      <c r="A135" s="44">
        <v>134</v>
      </c>
      <c r="B135" s="45" t="s">
        <v>85</v>
      </c>
      <c r="C135" s="66" t="s">
        <v>86</v>
      </c>
      <c r="D135" s="66" t="s">
        <v>227</v>
      </c>
      <c r="E135" s="67" t="s">
        <v>108</v>
      </c>
      <c r="F135" s="68">
        <v>46263.682928240698</v>
      </c>
      <c r="G135" s="68">
        <v>46268.3982986111</v>
      </c>
      <c r="H135" s="59" t="s">
        <v>90</v>
      </c>
      <c r="I135" s="60">
        <v>12000</v>
      </c>
      <c r="J135" s="135" t="s">
        <v>427</v>
      </c>
      <c r="K135" s="62"/>
      <c r="L135" s="63"/>
      <c r="M135" s="57"/>
    </row>
    <row r="136" spans="1:25" s="38" customFormat="1" ht="14.4" customHeight="1" x14ac:dyDescent="0.25">
      <c r="A136" s="44">
        <v>135</v>
      </c>
      <c r="B136" s="45" t="s">
        <v>85</v>
      </c>
      <c r="C136" s="46" t="s">
        <v>86</v>
      </c>
      <c r="D136" s="38" t="s">
        <v>228</v>
      </c>
      <c r="E136" s="61"/>
      <c r="H136" s="59" t="s">
        <v>90</v>
      </c>
      <c r="I136" s="60">
        <v>12000</v>
      </c>
      <c r="K136" s="62"/>
      <c r="L136" s="63"/>
      <c r="M136" s="57"/>
    </row>
    <row r="137" spans="1:25" s="38" customFormat="1" ht="14.4" customHeight="1" x14ac:dyDescent="0.25">
      <c r="A137" s="44">
        <v>136</v>
      </c>
      <c r="B137" s="45" t="s">
        <v>85</v>
      </c>
      <c r="C137" s="46" t="s">
        <v>86</v>
      </c>
      <c r="D137" s="38" t="s">
        <v>229</v>
      </c>
      <c r="E137" s="61"/>
      <c r="H137" s="59" t="s">
        <v>90</v>
      </c>
      <c r="I137" s="60">
        <v>12000</v>
      </c>
      <c r="K137" s="62"/>
      <c r="L137" s="63"/>
      <c r="M137" s="57"/>
    </row>
    <row r="138" spans="1:25" s="38" customFormat="1" ht="14.4" customHeight="1" x14ac:dyDescent="0.25">
      <c r="A138" s="44">
        <v>137</v>
      </c>
      <c r="B138" s="45" t="s">
        <v>85</v>
      </c>
      <c r="C138" s="46" t="s">
        <v>86</v>
      </c>
      <c r="D138" s="38" t="s">
        <v>230</v>
      </c>
      <c r="E138" s="38" t="s">
        <v>106</v>
      </c>
      <c r="F138" s="64">
        <v>45533.739722222199</v>
      </c>
      <c r="G138" s="64">
        <v>45539.632581018501</v>
      </c>
      <c r="H138" s="54" t="s">
        <v>88</v>
      </c>
      <c r="I138" s="55">
        <v>16000</v>
      </c>
      <c r="J138" s="58" t="s">
        <v>107</v>
      </c>
      <c r="K138" s="61" t="s">
        <v>108</v>
      </c>
      <c r="L138" s="64">
        <v>45451.677314814799</v>
      </c>
      <c r="M138" s="64">
        <v>45455.749710648102</v>
      </c>
    </row>
    <row r="139" spans="1:25" s="38" customFormat="1" ht="14.4" customHeight="1" x14ac:dyDescent="0.25">
      <c r="A139" s="44">
        <v>138</v>
      </c>
      <c r="B139" s="45" t="s">
        <v>85</v>
      </c>
      <c r="C139" s="46" t="s">
        <v>86</v>
      </c>
      <c r="D139" s="38" t="s">
        <v>231</v>
      </c>
      <c r="E139" s="38" t="s">
        <v>106</v>
      </c>
      <c r="F139" s="64">
        <v>45893.469699074099</v>
      </c>
      <c r="G139" s="64">
        <v>45891.469780092601</v>
      </c>
      <c r="H139" s="59" t="s">
        <v>90</v>
      </c>
      <c r="I139" s="60">
        <v>12000</v>
      </c>
      <c r="J139" s="58" t="s">
        <v>107</v>
      </c>
      <c r="K139" s="61" t="s">
        <v>108</v>
      </c>
      <c r="L139" s="64">
        <v>45451.6773958333</v>
      </c>
      <c r="M139" s="64">
        <v>45455.749745370398</v>
      </c>
      <c r="N139" s="38" t="s">
        <v>106</v>
      </c>
      <c r="O139" s="64">
        <v>45533.7397569444</v>
      </c>
      <c r="P139" s="64">
        <v>45539.632476851897</v>
      </c>
      <c r="Q139" s="38" t="s">
        <v>146</v>
      </c>
      <c r="R139" s="64">
        <v>45562.7728935185</v>
      </c>
      <c r="S139" s="64">
        <v>45561.772997685199</v>
      </c>
    </row>
    <row r="140" spans="1:25" s="38" customFormat="1" ht="14.4" customHeight="1" x14ac:dyDescent="0.25">
      <c r="A140" s="44">
        <v>139</v>
      </c>
      <c r="B140" s="45" t="s">
        <v>85</v>
      </c>
      <c r="C140" s="46" t="s">
        <v>86</v>
      </c>
      <c r="D140" s="38" t="s">
        <v>232</v>
      </c>
      <c r="E140" s="38" t="s">
        <v>106</v>
      </c>
      <c r="F140" s="64">
        <v>45540.740983796299</v>
      </c>
      <c r="G140" s="64">
        <v>45540.622777777797</v>
      </c>
      <c r="H140" s="59" t="s">
        <v>90</v>
      </c>
      <c r="I140" s="60">
        <v>12000</v>
      </c>
      <c r="J140" s="58" t="s">
        <v>107</v>
      </c>
      <c r="K140" s="61" t="s">
        <v>108</v>
      </c>
      <c r="L140" s="64">
        <v>45449.414930555598</v>
      </c>
      <c r="M140" s="64">
        <v>45450.716585648202</v>
      </c>
    </row>
    <row r="141" spans="1:25" s="38" customFormat="1" ht="14.4" customHeight="1" x14ac:dyDescent="0.25">
      <c r="A141" s="44">
        <v>140</v>
      </c>
      <c r="B141" s="45" t="s">
        <v>85</v>
      </c>
      <c r="C141" s="46" t="s">
        <v>86</v>
      </c>
      <c r="D141" s="38" t="s">
        <v>233</v>
      </c>
      <c r="E141" s="38" t="s">
        <v>106</v>
      </c>
      <c r="F141" s="64">
        <v>45540.740844907399</v>
      </c>
      <c r="G141" s="64">
        <v>45540.622835648202</v>
      </c>
      <c r="H141" s="59" t="s">
        <v>90</v>
      </c>
      <c r="I141" s="60">
        <v>12000</v>
      </c>
      <c r="J141" s="58" t="s">
        <v>107</v>
      </c>
      <c r="K141" s="61" t="s">
        <v>108</v>
      </c>
      <c r="L141" s="64">
        <v>45451.677534722199</v>
      </c>
      <c r="M141" s="64">
        <v>45455.749780092599</v>
      </c>
    </row>
    <row r="142" spans="1:25" s="38" customFormat="1" ht="14.4" customHeight="1" x14ac:dyDescent="0.25">
      <c r="A142" s="44">
        <v>141</v>
      </c>
      <c r="B142" s="45" t="s">
        <v>85</v>
      </c>
      <c r="C142" s="46" t="s">
        <v>86</v>
      </c>
      <c r="D142" s="38" t="s">
        <v>234</v>
      </c>
      <c r="E142" s="38" t="s">
        <v>106</v>
      </c>
      <c r="F142" s="64">
        <v>45780.680486111101</v>
      </c>
      <c r="G142" s="64">
        <v>45778.680601851898</v>
      </c>
      <c r="H142" s="59" t="s">
        <v>90</v>
      </c>
      <c r="I142" s="60">
        <v>12000</v>
      </c>
      <c r="J142" s="58" t="s">
        <v>107</v>
      </c>
      <c r="K142" s="61" t="s">
        <v>108</v>
      </c>
      <c r="L142" s="64">
        <v>45451.677638888897</v>
      </c>
      <c r="M142" s="64">
        <v>45455.749814814801</v>
      </c>
      <c r="N142" s="38" t="s">
        <v>127</v>
      </c>
      <c r="O142" s="64">
        <v>45617.618750000001</v>
      </c>
      <c r="P142" s="64">
        <v>45622.666666666701</v>
      </c>
      <c r="Q142" s="58" t="s">
        <v>108</v>
      </c>
      <c r="R142" s="64">
        <v>45699.479861111096</v>
      </c>
      <c r="S142" s="64">
        <v>45699.479861111096</v>
      </c>
      <c r="T142" s="38" t="s">
        <v>127</v>
      </c>
      <c r="U142" s="64">
        <v>45736.618321759299</v>
      </c>
      <c r="V142" s="64">
        <v>45742.753854166702</v>
      </c>
      <c r="W142" s="38" t="s">
        <v>108</v>
      </c>
      <c r="X142" s="64">
        <v>45745.676886574103</v>
      </c>
      <c r="Y142" s="64">
        <v>45747.6230671296</v>
      </c>
    </row>
    <row r="143" spans="1:25" s="38" customFormat="1" ht="14.4" customHeight="1" x14ac:dyDescent="0.25">
      <c r="A143" s="44">
        <v>142</v>
      </c>
      <c r="B143" s="45" t="s">
        <v>85</v>
      </c>
      <c r="C143" s="46" t="s">
        <v>86</v>
      </c>
      <c r="D143" s="38" t="s">
        <v>235</v>
      </c>
      <c r="E143" s="38" t="s">
        <v>106</v>
      </c>
      <c r="F143" s="64">
        <v>45780.680486111101</v>
      </c>
      <c r="G143" s="64">
        <v>45778.680601851898</v>
      </c>
      <c r="H143" s="59" t="s">
        <v>90</v>
      </c>
      <c r="I143" s="60">
        <v>12000</v>
      </c>
      <c r="J143" s="58" t="s">
        <v>107</v>
      </c>
      <c r="K143" s="61" t="s">
        <v>108</v>
      </c>
      <c r="L143" s="64">
        <v>45451.677731481497</v>
      </c>
      <c r="M143" s="64">
        <v>45455.7498611111</v>
      </c>
      <c r="N143" s="38" t="s">
        <v>127</v>
      </c>
      <c r="O143" s="64">
        <v>45617.618750000001</v>
      </c>
      <c r="P143" s="64">
        <v>45622.666666666701</v>
      </c>
      <c r="Q143" s="58" t="s">
        <v>108</v>
      </c>
      <c r="R143" s="64">
        <v>45699.479861111096</v>
      </c>
      <c r="S143" s="64">
        <v>45699.479861111096</v>
      </c>
      <c r="T143" s="38" t="s">
        <v>127</v>
      </c>
      <c r="U143" s="64">
        <v>45736.618321759299</v>
      </c>
      <c r="V143" s="64">
        <v>45742.753900463002</v>
      </c>
      <c r="W143" s="38" t="s">
        <v>108</v>
      </c>
      <c r="X143" s="64">
        <v>45745.676886574103</v>
      </c>
      <c r="Y143" s="64">
        <v>45747.623900462997</v>
      </c>
    </row>
    <row r="144" spans="1:25" s="38" customFormat="1" ht="14.4" customHeight="1" x14ac:dyDescent="0.25">
      <c r="A144" s="44">
        <v>143</v>
      </c>
      <c r="B144" s="45" t="s">
        <v>85</v>
      </c>
      <c r="C144" s="46" t="s">
        <v>86</v>
      </c>
      <c r="D144" s="38" t="s">
        <v>236</v>
      </c>
      <c r="E144" s="38" t="s">
        <v>106</v>
      </c>
      <c r="F144" s="64">
        <v>45626.679166666698</v>
      </c>
      <c r="G144" s="64">
        <v>45624.679270833301</v>
      </c>
      <c r="H144" s="59" t="s">
        <v>90</v>
      </c>
      <c r="I144" s="60">
        <v>12000</v>
      </c>
      <c r="J144" s="58" t="s">
        <v>107</v>
      </c>
      <c r="K144" s="61" t="s">
        <v>108</v>
      </c>
      <c r="L144" s="64">
        <v>45451.677870370397</v>
      </c>
      <c r="M144" s="64">
        <v>45455.749895833302</v>
      </c>
    </row>
    <row r="145" spans="1:13" s="38" customFormat="1" ht="14.4" customHeight="1" x14ac:dyDescent="0.25">
      <c r="A145" s="44">
        <v>144</v>
      </c>
      <c r="B145" s="45" t="s">
        <v>85</v>
      </c>
      <c r="C145" s="46" t="s">
        <v>86</v>
      </c>
      <c r="D145" s="38" t="s">
        <v>237</v>
      </c>
      <c r="E145" s="38" t="s">
        <v>106</v>
      </c>
      <c r="F145" s="64">
        <v>45626.682719907403</v>
      </c>
      <c r="G145" s="64">
        <v>45624.682835648098</v>
      </c>
      <c r="H145" s="59" t="s">
        <v>90</v>
      </c>
      <c r="I145" s="60">
        <v>12000</v>
      </c>
      <c r="J145" s="58" t="s">
        <v>107</v>
      </c>
      <c r="K145" s="61" t="s">
        <v>108</v>
      </c>
      <c r="L145" s="64">
        <v>45451.678240740701</v>
      </c>
      <c r="M145" s="64">
        <v>45455.749942129602</v>
      </c>
    </row>
    <row r="146" spans="1:13" s="38" customFormat="1" ht="14.4" customHeight="1" x14ac:dyDescent="0.25">
      <c r="A146" s="44">
        <v>145</v>
      </c>
      <c r="B146" s="45" t="s">
        <v>85</v>
      </c>
      <c r="C146" s="46" t="s">
        <v>86</v>
      </c>
      <c r="D146" s="38" t="s">
        <v>238</v>
      </c>
      <c r="E146" s="38" t="s">
        <v>106</v>
      </c>
      <c r="F146" s="64">
        <v>45626.682847222197</v>
      </c>
      <c r="G146" s="64">
        <v>45624.682962963001</v>
      </c>
      <c r="H146" s="59" t="s">
        <v>90</v>
      </c>
      <c r="I146" s="60">
        <v>12000</v>
      </c>
      <c r="J146" s="58" t="s">
        <v>107</v>
      </c>
      <c r="K146" s="61" t="s">
        <v>108</v>
      </c>
      <c r="L146" s="64">
        <v>45451.678449074097</v>
      </c>
      <c r="M146" s="64">
        <v>45455.749988425901</v>
      </c>
    </row>
    <row r="147" spans="1:13" s="38" customFormat="1" ht="14.4" customHeight="1" x14ac:dyDescent="0.25">
      <c r="A147" s="44">
        <v>146</v>
      </c>
      <c r="B147" s="45" t="s">
        <v>85</v>
      </c>
      <c r="C147" s="46" t="s">
        <v>86</v>
      </c>
      <c r="D147" s="38" t="s">
        <v>239</v>
      </c>
      <c r="E147" s="38" t="s">
        <v>106</v>
      </c>
      <c r="F147" s="64">
        <v>45626.686307870397</v>
      </c>
      <c r="G147" s="64">
        <v>45624.686412037001</v>
      </c>
      <c r="H147" s="59" t="s">
        <v>90</v>
      </c>
      <c r="I147" s="60">
        <v>12000</v>
      </c>
      <c r="J147" s="58" t="s">
        <v>107</v>
      </c>
      <c r="K147" s="61" t="s">
        <v>108</v>
      </c>
      <c r="L147" s="64">
        <v>45449.415057870399</v>
      </c>
      <c r="M147" s="64">
        <v>45450.716793981497</v>
      </c>
    </row>
    <row r="148" spans="1:13" s="38" customFormat="1" x14ac:dyDescent="0.25">
      <c r="A148" s="44">
        <v>147</v>
      </c>
      <c r="B148" s="45" t="s">
        <v>85</v>
      </c>
      <c r="C148" s="66" t="s">
        <v>86</v>
      </c>
      <c r="D148" s="66" t="s">
        <v>240</v>
      </c>
      <c r="E148" s="67" t="s">
        <v>108</v>
      </c>
      <c r="F148" s="68">
        <v>46263.776747685202</v>
      </c>
      <c r="G148" s="68">
        <v>46268.3983449074</v>
      </c>
      <c r="H148" s="59" t="s">
        <v>90</v>
      </c>
      <c r="I148" s="60">
        <v>12000</v>
      </c>
      <c r="J148" s="135" t="s">
        <v>427</v>
      </c>
      <c r="K148" s="62"/>
      <c r="L148" s="63"/>
      <c r="M148" s="57"/>
    </row>
    <row r="149" spans="1:13" s="38" customFormat="1" x14ac:dyDescent="0.25">
      <c r="A149" s="44">
        <v>148</v>
      </c>
      <c r="B149" s="45" t="s">
        <v>85</v>
      </c>
      <c r="C149" s="72" t="s">
        <v>86</v>
      </c>
      <c r="D149" s="72" t="s">
        <v>241</v>
      </c>
      <c r="E149" s="75" t="s">
        <v>146</v>
      </c>
      <c r="F149" s="76">
        <v>46254.8335532407</v>
      </c>
      <c r="G149" s="76">
        <v>46253.833773148202</v>
      </c>
      <c r="H149" s="59" t="s">
        <v>90</v>
      </c>
      <c r="I149" s="60">
        <v>12000</v>
      </c>
      <c r="J149" s="58" t="s">
        <v>107</v>
      </c>
      <c r="K149" s="67" t="s">
        <v>265</v>
      </c>
      <c r="L149" s="68">
        <v>46249.7258912037</v>
      </c>
      <c r="M149" s="68">
        <v>46252.748807870397</v>
      </c>
    </row>
    <row r="150" spans="1:13" s="38" customFormat="1" ht="14.4" customHeight="1" x14ac:dyDescent="0.25">
      <c r="A150" s="44">
        <v>149</v>
      </c>
      <c r="B150" s="45" t="s">
        <v>85</v>
      </c>
      <c r="C150" s="66" t="s">
        <v>86</v>
      </c>
      <c r="D150" s="66" t="s">
        <v>242</v>
      </c>
      <c r="E150" s="67" t="s">
        <v>108</v>
      </c>
      <c r="F150" s="68">
        <v>46263.779097222199</v>
      </c>
      <c r="G150" s="68">
        <v>46268.3983912037</v>
      </c>
      <c r="H150" s="59" t="s">
        <v>90</v>
      </c>
      <c r="I150" s="60">
        <v>12000</v>
      </c>
      <c r="J150" s="135" t="s">
        <v>427</v>
      </c>
      <c r="K150" s="62"/>
      <c r="L150" s="63"/>
      <c r="M150" s="57"/>
    </row>
    <row r="151" spans="1:13" s="38" customFormat="1" ht="14.4" customHeight="1" x14ac:dyDescent="0.25">
      <c r="A151" s="44">
        <v>150</v>
      </c>
      <c r="B151" s="45" t="s">
        <v>85</v>
      </c>
      <c r="C151" s="66" t="s">
        <v>86</v>
      </c>
      <c r="D151" s="66" t="s">
        <v>243</v>
      </c>
      <c r="E151" s="67" t="s">
        <v>108</v>
      </c>
      <c r="F151" s="68">
        <v>46263.427928240701</v>
      </c>
      <c r="G151" s="68">
        <v>46268.3984375</v>
      </c>
      <c r="H151" s="59" t="s">
        <v>90</v>
      </c>
      <c r="I151" s="60">
        <v>12000</v>
      </c>
      <c r="J151" s="135" t="s">
        <v>427</v>
      </c>
      <c r="K151" s="62"/>
      <c r="L151" s="63"/>
      <c r="M151" s="57"/>
    </row>
    <row r="152" spans="1:13" s="38" customFormat="1" ht="14.4" customHeight="1" x14ac:dyDescent="0.25">
      <c r="A152" s="44">
        <v>151</v>
      </c>
      <c r="B152" s="45" t="s">
        <v>85</v>
      </c>
      <c r="C152" s="72" t="s">
        <v>86</v>
      </c>
      <c r="D152" s="72" t="s">
        <v>244</v>
      </c>
      <c r="E152" s="75" t="s">
        <v>146</v>
      </c>
      <c r="F152" s="76">
        <v>46254.8335532407</v>
      </c>
      <c r="G152" s="76">
        <v>46253.833773148202</v>
      </c>
      <c r="H152" s="59" t="s">
        <v>90</v>
      </c>
      <c r="I152" s="60">
        <v>12000</v>
      </c>
      <c r="J152" s="58" t="s">
        <v>107</v>
      </c>
      <c r="K152" s="67" t="s">
        <v>265</v>
      </c>
      <c r="L152" s="68">
        <v>46249.7258912037</v>
      </c>
      <c r="M152" s="68">
        <v>46252.748854166697</v>
      </c>
    </row>
    <row r="153" spans="1:13" s="38" customFormat="1" ht="14.4" customHeight="1" x14ac:dyDescent="0.25">
      <c r="A153" s="44">
        <v>152</v>
      </c>
      <c r="B153" s="45" t="s">
        <v>85</v>
      </c>
      <c r="C153" s="66" t="s">
        <v>86</v>
      </c>
      <c r="D153" s="66" t="s">
        <v>245</v>
      </c>
      <c r="E153" s="67" t="s">
        <v>108</v>
      </c>
      <c r="F153" s="68">
        <v>46263.427337963003</v>
      </c>
      <c r="G153" s="68">
        <v>46268.3984837963</v>
      </c>
      <c r="H153" s="59" t="s">
        <v>90</v>
      </c>
      <c r="I153" s="60">
        <v>12000</v>
      </c>
      <c r="J153" s="135" t="s">
        <v>427</v>
      </c>
      <c r="K153" s="62"/>
      <c r="L153" s="63"/>
      <c r="M153" s="57"/>
    </row>
    <row r="154" spans="1:13" s="38" customFormat="1" ht="14.4" customHeight="1" x14ac:dyDescent="0.25">
      <c r="A154" s="44">
        <v>153</v>
      </c>
      <c r="B154" s="45" t="s">
        <v>85</v>
      </c>
      <c r="C154" s="46" t="s">
        <v>86</v>
      </c>
      <c r="D154" s="38" t="s">
        <v>246</v>
      </c>
      <c r="E154" s="38" t="s">
        <v>106</v>
      </c>
      <c r="F154" s="64">
        <v>45517.592199074097</v>
      </c>
      <c r="G154" s="64">
        <v>45517.365127314799</v>
      </c>
      <c r="H154" s="54" t="s">
        <v>88</v>
      </c>
      <c r="I154" s="55">
        <v>16000</v>
      </c>
      <c r="J154" s="58" t="s">
        <v>107</v>
      </c>
      <c r="K154" s="61" t="s">
        <v>108</v>
      </c>
      <c r="L154" s="64">
        <v>45447.714814814797</v>
      </c>
      <c r="M154" s="64">
        <v>45450.717002314799</v>
      </c>
    </row>
    <row r="155" spans="1:13" s="38" customFormat="1" ht="14.4" customHeight="1" x14ac:dyDescent="0.25">
      <c r="A155" s="44">
        <v>154</v>
      </c>
      <c r="B155" s="45" t="s">
        <v>85</v>
      </c>
      <c r="C155" s="46" t="s">
        <v>86</v>
      </c>
      <c r="D155" s="38" t="s">
        <v>247</v>
      </c>
      <c r="E155" s="38" t="s">
        <v>106</v>
      </c>
      <c r="F155" s="64">
        <v>45517.592210648101</v>
      </c>
      <c r="G155" s="64">
        <v>45517.365162037</v>
      </c>
      <c r="H155" s="59" t="s">
        <v>90</v>
      </c>
      <c r="I155" s="60">
        <v>12000</v>
      </c>
      <c r="J155" s="58" t="s">
        <v>107</v>
      </c>
      <c r="K155" s="61" t="s">
        <v>108</v>
      </c>
      <c r="L155" s="64">
        <v>45447.715243055602</v>
      </c>
      <c r="M155" s="64">
        <v>45450.717199074097</v>
      </c>
    </row>
    <row r="156" spans="1:13" s="38" customFormat="1" ht="14.4" customHeight="1" x14ac:dyDescent="0.25">
      <c r="A156" s="44">
        <v>155</v>
      </c>
      <c r="B156" s="45" t="s">
        <v>85</v>
      </c>
      <c r="C156" s="46" t="s">
        <v>86</v>
      </c>
      <c r="D156" s="38" t="s">
        <v>248</v>
      </c>
      <c r="E156" s="38" t="s">
        <v>106</v>
      </c>
      <c r="F156" s="64">
        <v>45518.7264236111</v>
      </c>
      <c r="G156" s="64">
        <v>45524.381446759297</v>
      </c>
      <c r="H156" s="59" t="s">
        <v>90</v>
      </c>
      <c r="I156" s="60">
        <v>12000</v>
      </c>
      <c r="J156" s="58" t="s">
        <v>107</v>
      </c>
      <c r="K156" s="61" t="s">
        <v>108</v>
      </c>
      <c r="L156" s="64">
        <v>45447.716226851902</v>
      </c>
      <c r="M156" s="64">
        <v>45450.717303240701</v>
      </c>
    </row>
    <row r="157" spans="1:13" s="38" customFormat="1" ht="14.4" customHeight="1" x14ac:dyDescent="0.25">
      <c r="A157" s="44">
        <v>156</v>
      </c>
      <c r="B157" s="45" t="s">
        <v>85</v>
      </c>
      <c r="C157" s="46" t="s">
        <v>86</v>
      </c>
      <c r="D157" s="38" t="s">
        <v>249</v>
      </c>
      <c r="E157" s="38" t="s">
        <v>106</v>
      </c>
      <c r="F157" s="64">
        <v>45518.726435185199</v>
      </c>
      <c r="G157" s="64">
        <v>45524.381493055596</v>
      </c>
      <c r="H157" s="59" t="s">
        <v>90</v>
      </c>
      <c r="I157" s="60">
        <v>12000</v>
      </c>
      <c r="J157" s="58" t="s">
        <v>107</v>
      </c>
      <c r="K157" s="61" t="s">
        <v>108</v>
      </c>
      <c r="L157" s="64">
        <v>45447.716759259303</v>
      </c>
      <c r="M157" s="64">
        <v>45450.717418981498</v>
      </c>
    </row>
    <row r="158" spans="1:13" s="38" customFormat="1" ht="14.4" customHeight="1" x14ac:dyDescent="0.25">
      <c r="A158" s="44">
        <v>157</v>
      </c>
      <c r="B158" s="45" t="s">
        <v>85</v>
      </c>
      <c r="C158" s="46" t="s">
        <v>86</v>
      </c>
      <c r="D158" s="38" t="s">
        <v>250</v>
      </c>
      <c r="E158" s="38" t="s">
        <v>106</v>
      </c>
      <c r="F158" s="64">
        <v>45518.549675925897</v>
      </c>
      <c r="G158" s="64">
        <v>45517.365196759303</v>
      </c>
      <c r="H158" s="59" t="s">
        <v>90</v>
      </c>
      <c r="I158" s="60">
        <v>12000</v>
      </c>
      <c r="J158" s="58" t="s">
        <v>107</v>
      </c>
      <c r="K158" s="61" t="s">
        <v>108</v>
      </c>
      <c r="L158" s="64">
        <v>45447.716851851903</v>
      </c>
      <c r="M158" s="64">
        <v>45450.7176273148</v>
      </c>
    </row>
    <row r="159" spans="1:13" s="38" customFormat="1" ht="14.4" customHeight="1" x14ac:dyDescent="0.25">
      <c r="A159" s="44">
        <v>158</v>
      </c>
      <c r="B159" s="45" t="s">
        <v>85</v>
      </c>
      <c r="C159" s="46" t="s">
        <v>86</v>
      </c>
      <c r="D159" s="38" t="s">
        <v>251</v>
      </c>
      <c r="E159" s="38" t="s">
        <v>106</v>
      </c>
      <c r="F159" s="64">
        <v>45518.549687500003</v>
      </c>
      <c r="G159" s="64">
        <v>45517.365231481497</v>
      </c>
      <c r="H159" s="59" t="s">
        <v>90</v>
      </c>
      <c r="I159" s="60">
        <v>12000</v>
      </c>
      <c r="J159" s="58" t="s">
        <v>107</v>
      </c>
      <c r="K159" s="61" t="s">
        <v>108</v>
      </c>
      <c r="L159" s="64">
        <v>45447.716990740701</v>
      </c>
      <c r="M159" s="64">
        <v>45450.717719907399</v>
      </c>
    </row>
    <row r="160" spans="1:13" s="38" customFormat="1" ht="14.4" customHeight="1" x14ac:dyDescent="0.25">
      <c r="A160" s="44">
        <v>159</v>
      </c>
      <c r="B160" s="45" t="s">
        <v>85</v>
      </c>
      <c r="C160" s="46" t="s">
        <v>86</v>
      </c>
      <c r="D160" s="38" t="s">
        <v>252</v>
      </c>
      <c r="E160" s="38" t="s">
        <v>106</v>
      </c>
      <c r="F160" s="64">
        <v>45518.555844907401</v>
      </c>
      <c r="G160" s="64">
        <v>45517.365266203698</v>
      </c>
      <c r="H160" s="59" t="s">
        <v>90</v>
      </c>
      <c r="I160" s="60">
        <v>12000</v>
      </c>
      <c r="J160" s="58" t="s">
        <v>107</v>
      </c>
      <c r="K160" s="61" t="s">
        <v>108</v>
      </c>
      <c r="L160" s="64">
        <v>45447.717071759304</v>
      </c>
      <c r="M160" s="64">
        <v>45450.717800925901</v>
      </c>
    </row>
    <row r="161" spans="1:25" s="38" customFormat="1" ht="14.4" customHeight="1" x14ac:dyDescent="0.25">
      <c r="A161" s="44">
        <v>160</v>
      </c>
      <c r="B161" s="45" t="s">
        <v>85</v>
      </c>
      <c r="C161" s="46" t="s">
        <v>86</v>
      </c>
      <c r="D161" s="38" t="s">
        <v>253</v>
      </c>
      <c r="E161" s="38" t="s">
        <v>106</v>
      </c>
      <c r="F161" s="64">
        <v>45518.559340277803</v>
      </c>
      <c r="G161" s="64">
        <v>45517.3653009259</v>
      </c>
      <c r="H161" s="59" t="s">
        <v>90</v>
      </c>
      <c r="I161" s="60">
        <v>12000</v>
      </c>
      <c r="J161" s="58" t="s">
        <v>107</v>
      </c>
      <c r="K161" s="61" t="s">
        <v>108</v>
      </c>
      <c r="L161" s="64">
        <v>45447.717152777797</v>
      </c>
      <c r="M161" s="64">
        <v>45450.7178935185</v>
      </c>
    </row>
    <row r="162" spans="1:25" s="38" customFormat="1" ht="14.4" customHeight="1" x14ac:dyDescent="0.25">
      <c r="A162" s="44">
        <v>161</v>
      </c>
      <c r="B162" s="45" t="s">
        <v>85</v>
      </c>
      <c r="C162" s="46" t="s">
        <v>86</v>
      </c>
      <c r="D162" s="38" t="s">
        <v>254</v>
      </c>
      <c r="E162" s="38" t="s">
        <v>106</v>
      </c>
      <c r="F162" s="64">
        <v>45902.882210648102</v>
      </c>
      <c r="G162" s="64">
        <v>45901.882291666698</v>
      </c>
      <c r="H162" s="59" t="s">
        <v>90</v>
      </c>
      <c r="I162" s="60">
        <v>12000</v>
      </c>
      <c r="J162" s="58" t="s">
        <v>107</v>
      </c>
      <c r="K162" s="61" t="s">
        <v>108</v>
      </c>
      <c r="L162" s="64">
        <v>45447.7172685185</v>
      </c>
      <c r="M162" s="64">
        <v>45450.718275462998</v>
      </c>
      <c r="N162" s="38" t="s">
        <v>127</v>
      </c>
      <c r="O162" s="64">
        <v>45617.618750000001</v>
      </c>
      <c r="P162" s="64">
        <v>45622.666666666701</v>
      </c>
      <c r="Q162" s="58" t="s">
        <v>108</v>
      </c>
      <c r="R162" s="64">
        <v>45699.479861111096</v>
      </c>
      <c r="S162" s="64">
        <v>45699.479861111096</v>
      </c>
      <c r="T162" s="38" t="s">
        <v>106</v>
      </c>
      <c r="U162" s="64">
        <v>45781.882152777798</v>
      </c>
      <c r="V162" s="64">
        <v>45780.882256944402</v>
      </c>
      <c r="W162" s="38" t="s">
        <v>146</v>
      </c>
      <c r="X162" s="64">
        <v>45810.833611111098</v>
      </c>
      <c r="Y162" s="64">
        <v>45809.833680555603</v>
      </c>
    </row>
    <row r="163" spans="1:25" s="38" customFormat="1" ht="14.4" customHeight="1" x14ac:dyDescent="0.25">
      <c r="A163" s="44">
        <v>162</v>
      </c>
      <c r="B163" s="45" t="s">
        <v>85</v>
      </c>
      <c r="C163" s="46" t="s">
        <v>86</v>
      </c>
      <c r="D163" s="38" t="s">
        <v>255</v>
      </c>
      <c r="E163" s="38" t="s">
        <v>106</v>
      </c>
      <c r="F163" s="64">
        <v>45902.882210648102</v>
      </c>
      <c r="G163" s="64">
        <v>45901.882291666698</v>
      </c>
      <c r="H163" s="59" t="s">
        <v>90</v>
      </c>
      <c r="I163" s="60">
        <v>12000</v>
      </c>
      <c r="J163" s="58" t="s">
        <v>107</v>
      </c>
      <c r="K163" s="61" t="s">
        <v>108</v>
      </c>
      <c r="L163" s="64">
        <v>45447.717476851903</v>
      </c>
      <c r="M163" s="64">
        <v>45450.718425925901</v>
      </c>
      <c r="N163" s="38" t="s">
        <v>127</v>
      </c>
      <c r="O163" s="64">
        <v>45617.618750000001</v>
      </c>
      <c r="P163" s="64">
        <v>45622.666666666701</v>
      </c>
      <c r="Q163" s="58" t="s">
        <v>108</v>
      </c>
      <c r="R163" s="64">
        <v>45699.479861111096</v>
      </c>
      <c r="S163" s="64">
        <v>45699.479861111096</v>
      </c>
      <c r="T163" s="38" t="s">
        <v>106</v>
      </c>
      <c r="U163" s="64">
        <v>45781.882152777798</v>
      </c>
      <c r="V163" s="64">
        <v>45780.882256944402</v>
      </c>
      <c r="W163" s="38" t="s">
        <v>146</v>
      </c>
      <c r="X163" s="64">
        <v>45810.833611111098</v>
      </c>
      <c r="Y163" s="64">
        <v>45809.833680555603</v>
      </c>
    </row>
    <row r="164" spans="1:25" s="38" customFormat="1" ht="14.4" customHeight="1" x14ac:dyDescent="0.25">
      <c r="A164" s="44">
        <v>163</v>
      </c>
      <c r="B164" s="45" t="s">
        <v>85</v>
      </c>
      <c r="C164" s="66" t="s">
        <v>86</v>
      </c>
      <c r="D164" s="66" t="s">
        <v>256</v>
      </c>
      <c r="E164" s="67" t="s">
        <v>146</v>
      </c>
      <c r="F164" s="68">
        <v>46225.833657407398</v>
      </c>
      <c r="G164" s="68">
        <v>46224.833888888897</v>
      </c>
      <c r="H164" s="59" t="s">
        <v>90</v>
      </c>
      <c r="I164" s="60">
        <v>12000</v>
      </c>
      <c r="J164" s="58" t="s">
        <v>107</v>
      </c>
      <c r="K164" s="75" t="s">
        <v>265</v>
      </c>
      <c r="L164" s="76">
        <v>46221.736481481501</v>
      </c>
      <c r="M164" s="76">
        <v>46221.739467592597</v>
      </c>
    </row>
    <row r="165" spans="1:25" s="38" customFormat="1" ht="14.4" customHeight="1" x14ac:dyDescent="0.25">
      <c r="A165" s="44">
        <v>164</v>
      </c>
      <c r="B165" s="45" t="s">
        <v>85</v>
      </c>
      <c r="C165" s="66" t="s">
        <v>86</v>
      </c>
      <c r="D165" s="66" t="s">
        <v>257</v>
      </c>
      <c r="E165" s="67" t="s">
        <v>146</v>
      </c>
      <c r="F165" s="68">
        <v>46225.833657407398</v>
      </c>
      <c r="G165" s="68">
        <v>46224.833888888897</v>
      </c>
      <c r="H165" s="59" t="s">
        <v>90</v>
      </c>
      <c r="I165" s="60">
        <v>12000</v>
      </c>
      <c r="J165" s="58" t="s">
        <v>107</v>
      </c>
      <c r="K165" s="75" t="s">
        <v>265</v>
      </c>
      <c r="L165" s="76">
        <v>46221.7364930556</v>
      </c>
      <c r="M165" s="76">
        <v>46221.739583333299</v>
      </c>
    </row>
    <row r="166" spans="1:25" s="38" customFormat="1" ht="14.4" customHeight="1" x14ac:dyDescent="0.25">
      <c r="A166" s="44">
        <v>165</v>
      </c>
      <c r="B166" s="45" t="s">
        <v>85</v>
      </c>
      <c r="C166" s="46" t="s">
        <v>86</v>
      </c>
      <c r="D166" s="66" t="s">
        <v>258</v>
      </c>
      <c r="E166" s="67" t="s">
        <v>108</v>
      </c>
      <c r="F166" s="68">
        <v>46227.897013888898</v>
      </c>
      <c r="G166" s="68">
        <v>46237.613078703696</v>
      </c>
      <c r="H166" s="59" t="s">
        <v>90</v>
      </c>
      <c r="I166" s="60">
        <v>12000</v>
      </c>
      <c r="J166" s="58" t="s">
        <v>107</v>
      </c>
      <c r="K166" s="62"/>
      <c r="L166" s="63"/>
      <c r="M166" s="57"/>
    </row>
    <row r="167" spans="1:25" s="38" customFormat="1" ht="14.4" customHeight="1" x14ac:dyDescent="0.25">
      <c r="A167" s="44">
        <v>166</v>
      </c>
      <c r="B167" s="45" t="s">
        <v>85</v>
      </c>
      <c r="C167" s="66" t="s">
        <v>86</v>
      </c>
      <c r="D167" s="66" t="s">
        <v>259</v>
      </c>
      <c r="E167" s="67" t="s">
        <v>108</v>
      </c>
      <c r="F167" s="68">
        <v>46262.829641203702</v>
      </c>
      <c r="G167" s="68">
        <v>46268.3985300926</v>
      </c>
      <c r="H167" s="59" t="s">
        <v>90</v>
      </c>
      <c r="I167" s="60">
        <v>12000</v>
      </c>
      <c r="J167" s="135" t="s">
        <v>427</v>
      </c>
      <c r="K167" s="62"/>
      <c r="L167" s="63"/>
      <c r="M167" s="57"/>
    </row>
    <row r="168" spans="1:25" s="38" customFormat="1" ht="14.4" customHeight="1" x14ac:dyDescent="0.25">
      <c r="A168" s="44">
        <v>167</v>
      </c>
      <c r="B168" s="45" t="s">
        <v>85</v>
      </c>
      <c r="C168" s="72" t="s">
        <v>86</v>
      </c>
      <c r="D168" s="72" t="s">
        <v>260</v>
      </c>
      <c r="E168" s="75" t="s">
        <v>146</v>
      </c>
      <c r="F168" s="76">
        <v>46254.8335532407</v>
      </c>
      <c r="G168" s="76">
        <v>46253.833773148202</v>
      </c>
      <c r="H168" s="59" t="s">
        <v>90</v>
      </c>
      <c r="I168" s="60">
        <v>12000</v>
      </c>
      <c r="J168" s="58" t="s">
        <v>107</v>
      </c>
      <c r="K168" s="67" t="s">
        <v>265</v>
      </c>
      <c r="L168" s="68">
        <v>46249.7258912037</v>
      </c>
      <c r="M168" s="68">
        <v>46252.748900462997</v>
      </c>
    </row>
    <row r="169" spans="1:25" s="38" customFormat="1" ht="14.4" customHeight="1" x14ac:dyDescent="0.25">
      <c r="A169" s="44">
        <v>168</v>
      </c>
      <c r="B169" s="45" t="s">
        <v>85</v>
      </c>
      <c r="C169" s="66" t="s">
        <v>86</v>
      </c>
      <c r="D169" s="66" t="s">
        <v>261</v>
      </c>
      <c r="E169" s="67" t="s">
        <v>108</v>
      </c>
      <c r="F169" s="68">
        <v>46262.829826388901</v>
      </c>
      <c r="G169" s="68">
        <v>46268.3985763889</v>
      </c>
      <c r="H169" s="59" t="s">
        <v>90</v>
      </c>
      <c r="I169" s="60">
        <v>12000</v>
      </c>
      <c r="J169" s="135" t="s">
        <v>427</v>
      </c>
      <c r="K169" s="62"/>
      <c r="L169" s="63"/>
      <c r="M169" s="57"/>
    </row>
    <row r="170" spans="1:25" s="38" customFormat="1" ht="14.4" customHeight="1" x14ac:dyDescent="0.25">
      <c r="A170" s="44">
        <v>169</v>
      </c>
      <c r="B170" s="45" t="s">
        <v>85</v>
      </c>
      <c r="C170" s="46" t="s">
        <v>86</v>
      </c>
      <c r="D170" s="38" t="s">
        <v>262</v>
      </c>
      <c r="E170" s="61"/>
      <c r="H170" s="59" t="s">
        <v>90</v>
      </c>
      <c r="I170" s="60">
        <v>12000</v>
      </c>
      <c r="K170" s="62"/>
      <c r="L170" s="63"/>
      <c r="M170" s="57"/>
    </row>
    <row r="171" spans="1:25" s="38" customFormat="1" ht="14.4" customHeight="1" x14ac:dyDescent="0.25">
      <c r="A171" s="44">
        <v>170</v>
      </c>
      <c r="B171" s="45" t="s">
        <v>85</v>
      </c>
      <c r="C171" s="46" t="s">
        <v>86</v>
      </c>
      <c r="D171" s="38" t="s">
        <v>263</v>
      </c>
      <c r="E171" s="61"/>
      <c r="H171" s="59" t="s">
        <v>90</v>
      </c>
      <c r="I171" s="60">
        <v>12000</v>
      </c>
      <c r="K171" s="62"/>
      <c r="L171" s="63"/>
      <c r="M171" s="57"/>
    </row>
    <row r="172" spans="1:25" s="38" customFormat="1" ht="14.4" customHeight="1" x14ac:dyDescent="0.25">
      <c r="A172" s="44">
        <v>171</v>
      </c>
      <c r="B172" s="45" t="s">
        <v>85</v>
      </c>
      <c r="C172" s="46" t="s">
        <v>264</v>
      </c>
      <c r="D172" s="46" t="s">
        <v>87</v>
      </c>
      <c r="E172" s="38" t="s">
        <v>106</v>
      </c>
      <c r="F172" s="64">
        <v>46047.477291666699</v>
      </c>
      <c r="G172" s="64">
        <v>46045.477430555598</v>
      </c>
      <c r="H172" s="54" t="s">
        <v>88</v>
      </c>
      <c r="I172" s="55">
        <v>16000</v>
      </c>
      <c r="J172" s="58" t="s">
        <v>107</v>
      </c>
      <c r="K172" s="61" t="s">
        <v>108</v>
      </c>
      <c r="L172" s="64">
        <v>46037.568055555603</v>
      </c>
      <c r="M172" s="64">
        <v>46036.700474537</v>
      </c>
    </row>
    <row r="173" spans="1:25" s="38" customFormat="1" ht="14.4" customHeight="1" x14ac:dyDescent="0.25">
      <c r="A173" s="44">
        <v>172</v>
      </c>
      <c r="B173" s="45" t="s">
        <v>85</v>
      </c>
      <c r="C173" s="46" t="s">
        <v>264</v>
      </c>
      <c r="D173" s="46" t="s">
        <v>89</v>
      </c>
      <c r="E173" s="38" t="s">
        <v>106</v>
      </c>
      <c r="F173" s="64">
        <v>46047.480868055602</v>
      </c>
      <c r="G173" s="64">
        <v>46045.481006944399</v>
      </c>
      <c r="H173" s="59" t="s">
        <v>90</v>
      </c>
      <c r="I173" s="60">
        <v>12000</v>
      </c>
      <c r="J173" s="58" t="s">
        <v>107</v>
      </c>
      <c r="K173" s="61" t="s">
        <v>108</v>
      </c>
      <c r="L173" s="64">
        <v>45546.651307870401</v>
      </c>
      <c r="M173" s="64">
        <v>45604.768553240698</v>
      </c>
      <c r="N173" s="38" t="s">
        <v>127</v>
      </c>
      <c r="O173" s="64">
        <v>45611.693935185198</v>
      </c>
      <c r="P173" s="64">
        <v>45615.5874652778</v>
      </c>
      <c r="Q173" s="38" t="s">
        <v>108</v>
      </c>
      <c r="R173" s="64">
        <v>46037.563321759299</v>
      </c>
      <c r="S173" s="64">
        <v>46036.729907407404</v>
      </c>
    </row>
    <row r="174" spans="1:25" s="38" customFormat="1" ht="14.4" customHeight="1" x14ac:dyDescent="0.25">
      <c r="A174" s="44">
        <v>173</v>
      </c>
      <c r="B174" s="45" t="s">
        <v>85</v>
      </c>
      <c r="C174" s="46" t="s">
        <v>264</v>
      </c>
      <c r="D174" s="46" t="s">
        <v>91</v>
      </c>
      <c r="E174" s="38" t="s">
        <v>106</v>
      </c>
      <c r="F174" s="64">
        <v>46047.484305555598</v>
      </c>
      <c r="G174" s="64">
        <v>46045.484444444402</v>
      </c>
      <c r="H174" s="59" t="s">
        <v>90</v>
      </c>
      <c r="I174" s="60">
        <v>12000</v>
      </c>
      <c r="J174" s="58" t="s">
        <v>107</v>
      </c>
      <c r="K174" s="61" t="s">
        <v>108</v>
      </c>
      <c r="L174" s="64">
        <v>45546.651307870401</v>
      </c>
      <c r="M174" s="64">
        <v>45604.768553240698</v>
      </c>
      <c r="N174" s="38" t="s">
        <v>127</v>
      </c>
      <c r="O174" s="64">
        <v>45611.694039351903</v>
      </c>
      <c r="P174" s="64">
        <v>45615.587523148097</v>
      </c>
      <c r="Q174" s="38" t="s">
        <v>108</v>
      </c>
      <c r="R174" s="64">
        <v>46037.562685185199</v>
      </c>
      <c r="S174" s="64">
        <v>46036.731412036999</v>
      </c>
    </row>
    <row r="175" spans="1:25" s="38" customFormat="1" ht="14.4" customHeight="1" x14ac:dyDescent="0.25">
      <c r="A175" s="44">
        <v>174</v>
      </c>
      <c r="B175" s="45" t="s">
        <v>85</v>
      </c>
      <c r="C175" s="46" t="s">
        <v>264</v>
      </c>
      <c r="D175" s="46" t="s">
        <v>92</v>
      </c>
      <c r="E175" s="38" t="s">
        <v>106</v>
      </c>
      <c r="F175" s="64">
        <v>46047.487789351799</v>
      </c>
      <c r="G175" s="64">
        <v>46045.487928240698</v>
      </c>
      <c r="H175" s="59" t="s">
        <v>90</v>
      </c>
      <c r="I175" s="60">
        <v>12000</v>
      </c>
      <c r="J175" s="58" t="s">
        <v>107</v>
      </c>
      <c r="K175" s="61" t="s">
        <v>108</v>
      </c>
      <c r="L175" s="64">
        <v>45604.674641203703</v>
      </c>
      <c r="M175" s="64">
        <v>45609.724467592598</v>
      </c>
      <c r="N175" s="38" t="s">
        <v>127</v>
      </c>
      <c r="O175" s="64">
        <v>45616.677222222199</v>
      </c>
      <c r="P175" s="64">
        <v>45616.604166666701</v>
      </c>
      <c r="Q175" s="38" t="s">
        <v>108</v>
      </c>
      <c r="R175" s="64">
        <v>46037.563796296301</v>
      </c>
      <c r="S175" s="64">
        <v>46036.731712963003</v>
      </c>
    </row>
    <row r="176" spans="1:25" s="38" customFormat="1" ht="14.4" customHeight="1" x14ac:dyDescent="0.25">
      <c r="A176" s="44">
        <v>175</v>
      </c>
      <c r="B176" s="45" t="s">
        <v>85</v>
      </c>
      <c r="C176" s="46" t="s">
        <v>264</v>
      </c>
      <c r="D176" s="46" t="s">
        <v>93</v>
      </c>
      <c r="E176" s="38" t="s">
        <v>106</v>
      </c>
      <c r="F176" s="64">
        <v>46047.484317129602</v>
      </c>
      <c r="G176" s="64">
        <v>46045.484456018501</v>
      </c>
      <c r="H176" s="59" t="s">
        <v>90</v>
      </c>
      <c r="I176" s="60">
        <v>12000</v>
      </c>
      <c r="J176" s="58" t="s">
        <v>107</v>
      </c>
      <c r="K176" s="61" t="s">
        <v>108</v>
      </c>
      <c r="L176" s="64">
        <v>45546.651307870401</v>
      </c>
      <c r="M176" s="64">
        <v>45604.768553240698</v>
      </c>
      <c r="N176" s="38" t="s">
        <v>127</v>
      </c>
      <c r="O176" s="64">
        <v>45611.693773148101</v>
      </c>
      <c r="P176" s="64">
        <v>45615.587592592601</v>
      </c>
      <c r="Q176" s="38" t="s">
        <v>108</v>
      </c>
      <c r="R176" s="64">
        <v>46037.557754629597</v>
      </c>
      <c r="S176" s="64">
        <v>46036.735740740703</v>
      </c>
    </row>
    <row r="177" spans="1:19" s="38" customFormat="1" ht="14.4" customHeight="1" x14ac:dyDescent="0.25">
      <c r="A177" s="44">
        <v>176</v>
      </c>
      <c r="B177" s="45" t="s">
        <v>85</v>
      </c>
      <c r="C177" s="46" t="s">
        <v>264</v>
      </c>
      <c r="D177" s="46" t="s">
        <v>94</v>
      </c>
      <c r="E177" s="38" t="s">
        <v>106</v>
      </c>
      <c r="F177" s="64">
        <v>46047.487789351799</v>
      </c>
      <c r="G177" s="64">
        <v>46045.487928240698</v>
      </c>
      <c r="H177" s="59" t="s">
        <v>90</v>
      </c>
      <c r="I177" s="60">
        <v>12000</v>
      </c>
      <c r="J177" s="58" t="s">
        <v>107</v>
      </c>
      <c r="K177" s="61" t="s">
        <v>108</v>
      </c>
      <c r="L177" s="64">
        <v>45546.651307870401</v>
      </c>
      <c r="M177" s="64">
        <v>45604.768553240698</v>
      </c>
      <c r="N177" s="38" t="s">
        <v>127</v>
      </c>
      <c r="O177" s="64">
        <v>45611.694212962997</v>
      </c>
      <c r="P177" s="64">
        <v>45615.587662037004</v>
      </c>
      <c r="Q177" s="38" t="s">
        <v>108</v>
      </c>
      <c r="R177" s="64">
        <v>46037.570081018501</v>
      </c>
      <c r="S177" s="64">
        <v>46036.737268518496</v>
      </c>
    </row>
    <row r="178" spans="1:19" s="38" customFormat="1" ht="14.4" customHeight="1" x14ac:dyDescent="0.25">
      <c r="A178" s="44">
        <v>177</v>
      </c>
      <c r="B178" s="45" t="s">
        <v>85</v>
      </c>
      <c r="C178" s="66" t="s">
        <v>264</v>
      </c>
      <c r="D178" s="66" t="s">
        <v>95</v>
      </c>
      <c r="E178" s="67" t="s">
        <v>106</v>
      </c>
      <c r="F178" s="68">
        <v>46249.445057870398</v>
      </c>
      <c r="G178" s="68">
        <v>46247.4452662037</v>
      </c>
      <c r="H178" s="59" t="s">
        <v>90</v>
      </c>
      <c r="I178" s="60">
        <v>12000</v>
      </c>
      <c r="J178" s="58" t="s">
        <v>107</v>
      </c>
      <c r="K178" s="61" t="s">
        <v>108</v>
      </c>
      <c r="L178" s="64">
        <v>45546.651307870401</v>
      </c>
      <c r="M178" s="64">
        <v>45604.768553240698</v>
      </c>
      <c r="N178" s="38" t="s">
        <v>127</v>
      </c>
      <c r="O178" s="64">
        <v>45611.692118055602</v>
      </c>
      <c r="P178" s="64">
        <v>45615.587719907402</v>
      </c>
      <c r="Q178" s="38" t="s">
        <v>108</v>
      </c>
      <c r="R178" s="64">
        <v>45906.438229166699</v>
      </c>
      <c r="S178" s="64">
        <v>45911.770833333299</v>
      </c>
    </row>
    <row r="179" spans="1:19" s="38" customFormat="1" ht="14.4" customHeight="1" x14ac:dyDescent="0.25">
      <c r="A179" s="44">
        <v>178</v>
      </c>
      <c r="B179" s="45" t="s">
        <v>85</v>
      </c>
      <c r="C179" s="66" t="s">
        <v>264</v>
      </c>
      <c r="D179" s="66" t="s">
        <v>96</v>
      </c>
      <c r="E179" s="67" t="s">
        <v>106</v>
      </c>
      <c r="F179" s="68">
        <v>46141.691041666701</v>
      </c>
      <c r="G179" s="68">
        <v>46139.691261574102</v>
      </c>
      <c r="H179" s="59" t="s">
        <v>90</v>
      </c>
      <c r="I179" s="60">
        <v>12000</v>
      </c>
      <c r="J179" s="58" t="s">
        <v>107</v>
      </c>
      <c r="K179" s="61" t="s">
        <v>108</v>
      </c>
      <c r="L179" s="64">
        <v>45546.651307870401</v>
      </c>
      <c r="M179" s="64">
        <v>45604.768553240698</v>
      </c>
      <c r="N179" s="38" t="s">
        <v>127</v>
      </c>
      <c r="O179" s="64">
        <v>45611.694131944401</v>
      </c>
      <c r="P179" s="64">
        <v>45615.587777777801</v>
      </c>
      <c r="Q179" s="38" t="s">
        <v>108</v>
      </c>
      <c r="R179" s="64">
        <v>45906.438229166699</v>
      </c>
      <c r="S179" s="64">
        <v>45911.770833333299</v>
      </c>
    </row>
    <row r="180" spans="1:19" s="38" customFormat="1" ht="14.4" customHeight="1" x14ac:dyDescent="0.25">
      <c r="A180" s="44">
        <v>179</v>
      </c>
      <c r="B180" s="45" t="s">
        <v>85</v>
      </c>
      <c r="C180" s="46" t="s">
        <v>264</v>
      </c>
      <c r="D180" s="46" t="s">
        <v>97</v>
      </c>
      <c r="E180" s="38" t="s">
        <v>106</v>
      </c>
      <c r="F180" s="64">
        <v>46005.882199074098</v>
      </c>
      <c r="G180" s="64">
        <v>46004.882337962998</v>
      </c>
      <c r="H180" s="59" t="s">
        <v>90</v>
      </c>
      <c r="I180" s="60">
        <v>12000</v>
      </c>
      <c r="J180" s="58" t="s">
        <v>107</v>
      </c>
      <c r="K180" s="61" t="s">
        <v>108</v>
      </c>
      <c r="L180" s="64">
        <v>45546.651307870401</v>
      </c>
      <c r="M180" s="64">
        <v>45604.768553240698</v>
      </c>
      <c r="N180" s="38" t="s">
        <v>127</v>
      </c>
      <c r="O180" s="64">
        <v>45646.618148148104</v>
      </c>
      <c r="P180" s="64">
        <v>45652.696296296301</v>
      </c>
      <c r="Q180" s="38" t="s">
        <v>108</v>
      </c>
      <c r="R180" s="64">
        <v>45906.438229166699</v>
      </c>
      <c r="S180" s="64">
        <v>45911.770833333299</v>
      </c>
    </row>
    <row r="181" spans="1:19" s="38" customFormat="1" ht="14.4" customHeight="1" x14ac:dyDescent="0.25">
      <c r="A181" s="44">
        <v>180</v>
      </c>
      <c r="B181" s="45" t="s">
        <v>85</v>
      </c>
      <c r="C181" s="46" t="s">
        <v>264</v>
      </c>
      <c r="D181" s="46" t="s">
        <v>98</v>
      </c>
      <c r="E181" s="38" t="s">
        <v>106</v>
      </c>
      <c r="F181" s="64">
        <v>46005.882199074098</v>
      </c>
      <c r="G181" s="64">
        <v>46004.882337962998</v>
      </c>
      <c r="H181" s="59" t="s">
        <v>90</v>
      </c>
      <c r="I181" s="60">
        <v>12000</v>
      </c>
      <c r="J181" s="58" t="s">
        <v>107</v>
      </c>
      <c r="K181" s="61" t="s">
        <v>108</v>
      </c>
      <c r="L181" s="64">
        <v>45546.651307870401</v>
      </c>
      <c r="M181" s="64">
        <v>45604.768553240698</v>
      </c>
      <c r="N181" s="38" t="s">
        <v>127</v>
      </c>
      <c r="O181" s="64">
        <v>45646.618148148104</v>
      </c>
      <c r="P181" s="64">
        <v>45652.696296296301</v>
      </c>
      <c r="Q181" s="38" t="s">
        <v>108</v>
      </c>
      <c r="R181" s="64">
        <v>45906.438229166699</v>
      </c>
      <c r="S181" s="64">
        <v>45911.770833333299</v>
      </c>
    </row>
    <row r="182" spans="1:19" s="38" customFormat="1" ht="14.4" customHeight="1" x14ac:dyDescent="0.25">
      <c r="A182" s="44">
        <v>181</v>
      </c>
      <c r="B182" s="45" t="s">
        <v>85</v>
      </c>
      <c r="C182" s="46" t="s">
        <v>264</v>
      </c>
      <c r="D182" s="46" t="s">
        <v>99</v>
      </c>
      <c r="E182" s="61"/>
      <c r="H182" s="59" t="s">
        <v>90</v>
      </c>
      <c r="I182" s="60">
        <v>12000</v>
      </c>
      <c r="K182" s="62"/>
      <c r="L182" s="63"/>
      <c r="M182" s="57"/>
    </row>
    <row r="183" spans="1:19" s="38" customFormat="1" ht="14.4" customHeight="1" x14ac:dyDescent="0.25">
      <c r="A183" s="44">
        <v>182</v>
      </c>
      <c r="B183" s="45" t="s">
        <v>85</v>
      </c>
      <c r="C183" s="46" t="s">
        <v>264</v>
      </c>
      <c r="D183" s="46" t="s">
        <v>100</v>
      </c>
      <c r="E183" s="61"/>
      <c r="H183" s="59" t="s">
        <v>90</v>
      </c>
      <c r="I183" s="60">
        <v>12000</v>
      </c>
      <c r="K183" s="62"/>
      <c r="L183" s="63"/>
      <c r="M183" s="57"/>
    </row>
    <row r="184" spans="1:19" s="38" customFormat="1" ht="14.4" customHeight="1" x14ac:dyDescent="0.25">
      <c r="A184" s="44">
        <v>183</v>
      </c>
      <c r="B184" s="45" t="s">
        <v>85</v>
      </c>
      <c r="C184" s="46" t="s">
        <v>264</v>
      </c>
      <c r="D184" s="46" t="s">
        <v>101</v>
      </c>
      <c r="E184" s="61"/>
      <c r="H184" s="59" t="s">
        <v>90</v>
      </c>
      <c r="I184" s="60">
        <v>12000</v>
      </c>
      <c r="K184" s="62"/>
      <c r="L184" s="63"/>
      <c r="M184" s="57"/>
    </row>
    <row r="185" spans="1:19" s="38" customFormat="1" ht="14.4" customHeight="1" x14ac:dyDescent="0.25">
      <c r="A185" s="44">
        <v>184</v>
      </c>
      <c r="B185" s="45" t="s">
        <v>85</v>
      </c>
      <c r="C185" s="46" t="s">
        <v>264</v>
      </c>
      <c r="D185" s="46" t="s">
        <v>102</v>
      </c>
      <c r="E185" s="61"/>
      <c r="H185" s="59" t="s">
        <v>90</v>
      </c>
      <c r="I185" s="60">
        <v>12000</v>
      </c>
      <c r="K185" s="62"/>
      <c r="L185" s="63"/>
      <c r="M185" s="57"/>
    </row>
    <row r="186" spans="1:19" s="38" customFormat="1" ht="14.4" customHeight="1" x14ac:dyDescent="0.25">
      <c r="A186" s="44">
        <v>185</v>
      </c>
      <c r="B186" s="45" t="s">
        <v>85</v>
      </c>
      <c r="C186" s="46" t="s">
        <v>264</v>
      </c>
      <c r="D186" s="46" t="s">
        <v>103</v>
      </c>
      <c r="E186" s="61"/>
      <c r="H186" s="59" t="s">
        <v>90</v>
      </c>
      <c r="I186" s="60">
        <v>12000</v>
      </c>
      <c r="K186" s="62"/>
      <c r="L186" s="63"/>
      <c r="M186" s="57"/>
    </row>
    <row r="187" spans="1:19" s="38" customFormat="1" ht="14.4" customHeight="1" x14ac:dyDescent="0.25">
      <c r="A187" s="44">
        <v>186</v>
      </c>
      <c r="B187" s="45" t="s">
        <v>85</v>
      </c>
      <c r="C187" s="46" t="s">
        <v>264</v>
      </c>
      <c r="D187" s="46" t="s">
        <v>104</v>
      </c>
      <c r="E187" s="61"/>
      <c r="H187" s="59" t="s">
        <v>90</v>
      </c>
      <c r="I187" s="60">
        <v>12000</v>
      </c>
      <c r="K187" s="62"/>
      <c r="L187" s="63"/>
      <c r="M187" s="57"/>
    </row>
    <row r="188" spans="1:19" s="38" customFormat="1" ht="14.4" customHeight="1" x14ac:dyDescent="0.25">
      <c r="A188" s="44">
        <v>187</v>
      </c>
      <c r="B188" s="45" t="s">
        <v>85</v>
      </c>
      <c r="C188" s="46" t="s">
        <v>264</v>
      </c>
      <c r="D188" s="46" t="s">
        <v>105</v>
      </c>
      <c r="E188" s="61" t="s">
        <v>265</v>
      </c>
      <c r="F188" s="64">
        <v>45611.575995370396</v>
      </c>
      <c r="G188" s="64">
        <v>45611.724328703698</v>
      </c>
      <c r="H188" s="54" t="s">
        <v>88</v>
      </c>
      <c r="I188" s="55">
        <v>16000</v>
      </c>
      <c r="J188" s="58" t="s">
        <v>107</v>
      </c>
      <c r="K188" s="62"/>
      <c r="L188" s="63"/>
      <c r="M188" s="57"/>
    </row>
    <row r="189" spans="1:19" s="38" customFormat="1" ht="14.4" customHeight="1" x14ac:dyDescent="0.25">
      <c r="A189" s="44">
        <v>188</v>
      </c>
      <c r="B189" s="45" t="s">
        <v>85</v>
      </c>
      <c r="C189" s="46" t="s">
        <v>264</v>
      </c>
      <c r="D189" s="46" t="s">
        <v>109</v>
      </c>
      <c r="E189" s="38" t="s">
        <v>106</v>
      </c>
      <c r="F189" s="64">
        <v>45893.882233796299</v>
      </c>
      <c r="G189" s="64">
        <v>45892.8823148148</v>
      </c>
      <c r="H189" s="59" t="s">
        <v>90</v>
      </c>
      <c r="I189" s="60">
        <v>12000</v>
      </c>
      <c r="J189" s="58" t="s">
        <v>107</v>
      </c>
      <c r="K189" s="61" t="s">
        <v>108</v>
      </c>
      <c r="L189" s="64">
        <v>45546.651307870401</v>
      </c>
      <c r="M189" s="64">
        <v>45604.768553240698</v>
      </c>
      <c r="N189" s="38" t="s">
        <v>127</v>
      </c>
      <c r="O189" s="64">
        <v>45605.9125810185</v>
      </c>
      <c r="P189" s="64">
        <v>45609.722662036998</v>
      </c>
      <c r="Q189" s="38" t="s">
        <v>108</v>
      </c>
      <c r="R189" s="64">
        <v>45863.713391203702</v>
      </c>
      <c r="S189" s="64">
        <v>45867.771030092597</v>
      </c>
    </row>
    <row r="190" spans="1:19" s="38" customFormat="1" ht="14.4" customHeight="1" x14ac:dyDescent="0.25">
      <c r="A190" s="44">
        <v>189</v>
      </c>
      <c r="B190" s="45" t="s">
        <v>85</v>
      </c>
      <c r="C190" s="46" t="s">
        <v>264</v>
      </c>
      <c r="D190" s="46" t="s">
        <v>110</v>
      </c>
      <c r="E190" s="38" t="s">
        <v>106</v>
      </c>
      <c r="F190" s="64">
        <v>45892.882210648102</v>
      </c>
      <c r="G190" s="64">
        <v>45891.882280092599</v>
      </c>
      <c r="H190" s="59" t="s">
        <v>90</v>
      </c>
      <c r="I190" s="60">
        <v>12000</v>
      </c>
      <c r="J190" s="58" t="s">
        <v>107</v>
      </c>
      <c r="K190" s="61" t="s">
        <v>108</v>
      </c>
      <c r="L190" s="64">
        <v>45546.651307870401</v>
      </c>
      <c r="M190" s="64">
        <v>45604.768553240698</v>
      </c>
      <c r="N190" s="38" t="s">
        <v>127</v>
      </c>
      <c r="O190" s="64">
        <v>45605.9125810185</v>
      </c>
      <c r="P190" s="64">
        <v>45609.723009259302</v>
      </c>
      <c r="Q190" s="38" t="s">
        <v>108</v>
      </c>
      <c r="R190" s="64">
        <v>45863.713391203702</v>
      </c>
      <c r="S190" s="64">
        <v>45867.771030092597</v>
      </c>
    </row>
    <row r="191" spans="1:19" s="38" customFormat="1" ht="14.4" customHeight="1" x14ac:dyDescent="0.25">
      <c r="A191" s="44">
        <v>190</v>
      </c>
      <c r="B191" s="45" t="s">
        <v>85</v>
      </c>
      <c r="C191" s="46" t="s">
        <v>264</v>
      </c>
      <c r="D191" s="46" t="s">
        <v>111</v>
      </c>
      <c r="E191" s="38" t="s">
        <v>106</v>
      </c>
      <c r="F191" s="64">
        <v>46047.639259259297</v>
      </c>
      <c r="G191" s="64">
        <v>46045.639398148101</v>
      </c>
      <c r="H191" s="59" t="s">
        <v>90</v>
      </c>
      <c r="I191" s="60">
        <v>12000</v>
      </c>
      <c r="J191" s="58" t="s">
        <v>107</v>
      </c>
      <c r="K191" s="61" t="s">
        <v>108</v>
      </c>
      <c r="L191" s="64">
        <v>45546.651307870401</v>
      </c>
      <c r="M191" s="64">
        <v>45604.768553240698</v>
      </c>
      <c r="N191" s="38" t="s">
        <v>127</v>
      </c>
      <c r="O191" s="64">
        <v>45605.9125810185</v>
      </c>
      <c r="P191" s="64">
        <v>45609.723101851901</v>
      </c>
      <c r="Q191" s="38" t="s">
        <v>108</v>
      </c>
      <c r="R191" s="64">
        <v>46037.564328703702</v>
      </c>
      <c r="S191" s="64">
        <v>46036.737326388902</v>
      </c>
    </row>
    <row r="192" spans="1:19" s="38" customFormat="1" ht="14.4" customHeight="1" x14ac:dyDescent="0.25">
      <c r="A192" s="44">
        <v>191</v>
      </c>
      <c r="B192" s="45" t="s">
        <v>85</v>
      </c>
      <c r="C192" s="46" t="s">
        <v>264</v>
      </c>
      <c r="D192" s="46" t="s">
        <v>112</v>
      </c>
      <c r="E192" s="38" t="s">
        <v>106</v>
      </c>
      <c r="F192" s="64">
        <v>46056.433229166701</v>
      </c>
      <c r="G192" s="64">
        <v>46054.433368055601</v>
      </c>
      <c r="H192" s="59" t="s">
        <v>90</v>
      </c>
      <c r="I192" s="60">
        <v>12000</v>
      </c>
      <c r="J192" s="58" t="s">
        <v>107</v>
      </c>
      <c r="K192" s="61" t="s">
        <v>108</v>
      </c>
      <c r="L192" s="64">
        <v>45546.651307870401</v>
      </c>
      <c r="M192" s="64">
        <v>45604.768553240698</v>
      </c>
      <c r="N192" s="38" t="s">
        <v>127</v>
      </c>
      <c r="O192" s="64">
        <v>45605.9125810185</v>
      </c>
      <c r="P192" s="64">
        <v>45609.723344907397</v>
      </c>
      <c r="Q192" s="38" t="s">
        <v>108</v>
      </c>
      <c r="R192" s="64">
        <v>46037.567291666703</v>
      </c>
      <c r="S192" s="64">
        <v>46036.737384259301</v>
      </c>
    </row>
    <row r="193" spans="1:19" s="38" customFormat="1" ht="14.4" customHeight="1" x14ac:dyDescent="0.25">
      <c r="A193" s="44">
        <v>192</v>
      </c>
      <c r="B193" s="45" t="s">
        <v>85</v>
      </c>
      <c r="C193" s="46" t="s">
        <v>264</v>
      </c>
      <c r="D193" s="46" t="s">
        <v>113</v>
      </c>
      <c r="E193" s="38" t="s">
        <v>106</v>
      </c>
      <c r="F193" s="64">
        <v>46047.491446759297</v>
      </c>
      <c r="G193" s="64">
        <v>46045.491597222201</v>
      </c>
      <c r="H193" s="59" t="s">
        <v>90</v>
      </c>
      <c r="I193" s="60">
        <v>12000</v>
      </c>
      <c r="J193" s="58" t="s">
        <v>107</v>
      </c>
      <c r="K193" s="61" t="s">
        <v>108</v>
      </c>
      <c r="L193" s="64">
        <v>45546.651307870401</v>
      </c>
      <c r="M193" s="64">
        <v>45604.768553240698</v>
      </c>
      <c r="N193" s="38" t="s">
        <v>127</v>
      </c>
      <c r="O193" s="64">
        <v>45646.618148148104</v>
      </c>
      <c r="P193" s="64">
        <v>45652.696296296301</v>
      </c>
      <c r="Q193" s="38" t="s">
        <v>108</v>
      </c>
      <c r="R193" s="64">
        <v>46037.567685185197</v>
      </c>
      <c r="S193" s="64">
        <v>46036.743958333303</v>
      </c>
    </row>
    <row r="194" spans="1:19" s="38" customFormat="1" ht="14.4" customHeight="1" x14ac:dyDescent="0.25">
      <c r="A194" s="44">
        <v>193</v>
      </c>
      <c r="B194" s="45" t="s">
        <v>85</v>
      </c>
      <c r="C194" s="46" t="s">
        <v>264</v>
      </c>
      <c r="D194" s="46" t="s">
        <v>114</v>
      </c>
      <c r="E194" s="38" t="s">
        <v>106</v>
      </c>
      <c r="F194" s="64">
        <v>46047.494895833297</v>
      </c>
      <c r="G194" s="64">
        <v>46045.495034722197</v>
      </c>
      <c r="H194" s="59" t="s">
        <v>90</v>
      </c>
      <c r="I194" s="60">
        <v>12000</v>
      </c>
      <c r="J194" s="58" t="s">
        <v>107</v>
      </c>
      <c r="K194" s="61" t="s">
        <v>108</v>
      </c>
      <c r="L194" s="64">
        <v>45546.651307870401</v>
      </c>
      <c r="M194" s="64">
        <v>45604.768553240698</v>
      </c>
      <c r="N194" s="38" t="s">
        <v>127</v>
      </c>
      <c r="O194" s="64">
        <v>45646.618148148104</v>
      </c>
      <c r="P194" s="64">
        <v>45652.696296296301</v>
      </c>
      <c r="Q194" s="38" t="s">
        <v>108</v>
      </c>
      <c r="R194" s="64">
        <v>46037.5695949074</v>
      </c>
      <c r="S194" s="64">
        <v>46036.744016203702</v>
      </c>
    </row>
    <row r="195" spans="1:19" s="38" customFormat="1" ht="14.4" customHeight="1" x14ac:dyDescent="0.25">
      <c r="A195" s="44">
        <v>194</v>
      </c>
      <c r="B195" s="45" t="s">
        <v>85</v>
      </c>
      <c r="C195" s="46" t="s">
        <v>264</v>
      </c>
      <c r="D195" s="46" t="s">
        <v>115</v>
      </c>
      <c r="E195" s="38" t="s">
        <v>106</v>
      </c>
      <c r="F195" s="64">
        <v>46012.443865740701</v>
      </c>
      <c r="G195" s="64">
        <v>46010.4440046296</v>
      </c>
      <c r="H195" s="59" t="s">
        <v>90</v>
      </c>
      <c r="I195" s="60">
        <v>12000</v>
      </c>
      <c r="J195" s="58" t="s">
        <v>107</v>
      </c>
      <c r="K195" s="61" t="s">
        <v>108</v>
      </c>
      <c r="L195" s="64">
        <v>45546.651307870401</v>
      </c>
      <c r="M195" s="64">
        <v>45604.768553240698</v>
      </c>
      <c r="N195" s="38" t="s">
        <v>127</v>
      </c>
      <c r="O195" s="64">
        <v>45646.618148148104</v>
      </c>
      <c r="P195" s="64">
        <v>45652.696296296301</v>
      </c>
      <c r="Q195" s="38" t="s">
        <v>108</v>
      </c>
      <c r="R195" s="64">
        <v>45906.438229166699</v>
      </c>
      <c r="S195" s="64">
        <v>45911.770833333299</v>
      </c>
    </row>
    <row r="196" spans="1:19" s="38" customFormat="1" ht="14.4" customHeight="1" x14ac:dyDescent="0.25">
      <c r="A196" s="44">
        <v>195</v>
      </c>
      <c r="B196" s="45" t="s">
        <v>85</v>
      </c>
      <c r="C196" s="66" t="s">
        <v>264</v>
      </c>
      <c r="D196" s="66" t="s">
        <v>116</v>
      </c>
      <c r="E196" s="67" t="s">
        <v>106</v>
      </c>
      <c r="F196" s="68">
        <v>46249.466620370396</v>
      </c>
      <c r="G196" s="68">
        <v>46247.466828703698</v>
      </c>
      <c r="H196" s="59" t="s">
        <v>90</v>
      </c>
      <c r="I196" s="60">
        <v>12000</v>
      </c>
      <c r="J196" s="58" t="s">
        <v>107</v>
      </c>
      <c r="K196" s="61" t="s">
        <v>108</v>
      </c>
      <c r="L196" s="64">
        <v>45546.651307870401</v>
      </c>
      <c r="M196" s="64">
        <v>45604.768553240698</v>
      </c>
      <c r="N196" s="38" t="s">
        <v>127</v>
      </c>
      <c r="O196" s="64">
        <v>45646.618148148104</v>
      </c>
      <c r="P196" s="64">
        <v>45652.696296296301</v>
      </c>
      <c r="Q196" s="38" t="s">
        <v>108</v>
      </c>
      <c r="R196" s="64">
        <v>45906.438229166699</v>
      </c>
      <c r="S196" s="64">
        <v>45911.770833333299</v>
      </c>
    </row>
    <row r="197" spans="1:19" s="38" customFormat="1" ht="14.4" customHeight="1" x14ac:dyDescent="0.25">
      <c r="A197" s="44">
        <v>196</v>
      </c>
      <c r="B197" s="45" t="s">
        <v>85</v>
      </c>
      <c r="C197" s="66" t="s">
        <v>264</v>
      </c>
      <c r="D197" s="66" t="s">
        <v>117</v>
      </c>
      <c r="E197" s="67" t="s">
        <v>106</v>
      </c>
      <c r="F197" s="68">
        <v>46142.447893518503</v>
      </c>
      <c r="G197" s="68">
        <v>46140.448136574101</v>
      </c>
      <c r="H197" s="59" t="s">
        <v>90</v>
      </c>
      <c r="I197" s="60">
        <v>12000</v>
      </c>
      <c r="J197" s="58" t="s">
        <v>107</v>
      </c>
      <c r="K197" s="61" t="s">
        <v>108</v>
      </c>
      <c r="L197" s="64">
        <v>45546.651307870401</v>
      </c>
      <c r="M197" s="64">
        <v>45604.768553240698</v>
      </c>
      <c r="N197" s="38" t="s">
        <v>127</v>
      </c>
      <c r="O197" s="64">
        <v>45646.618148148104</v>
      </c>
      <c r="P197" s="64">
        <v>45652.696296296301</v>
      </c>
      <c r="Q197" s="38" t="s">
        <v>108</v>
      </c>
      <c r="R197" s="64">
        <v>45906.438229166699</v>
      </c>
      <c r="S197" s="64">
        <v>45911.770833333299</v>
      </c>
    </row>
    <row r="198" spans="1:19" s="38" customFormat="1" ht="14.4" customHeight="1" x14ac:dyDescent="0.25">
      <c r="A198" s="44">
        <v>197</v>
      </c>
      <c r="B198" s="45" t="s">
        <v>85</v>
      </c>
      <c r="C198" s="66" t="s">
        <v>264</v>
      </c>
      <c r="D198" s="66" t="s">
        <v>118</v>
      </c>
      <c r="E198" s="67" t="s">
        <v>106</v>
      </c>
      <c r="F198" s="68">
        <v>46142.447835648098</v>
      </c>
      <c r="G198" s="68">
        <v>46140.448043981502</v>
      </c>
      <c r="H198" s="59" t="s">
        <v>90</v>
      </c>
      <c r="I198" s="60">
        <v>12000</v>
      </c>
      <c r="J198" s="58" t="s">
        <v>107</v>
      </c>
      <c r="K198" s="38" t="s">
        <v>108</v>
      </c>
      <c r="L198" s="64">
        <v>45906.438229166699</v>
      </c>
      <c r="M198" s="64">
        <v>45911.770833333299</v>
      </c>
    </row>
    <row r="199" spans="1:19" s="38" customFormat="1" ht="14.4" customHeight="1" x14ac:dyDescent="0.25">
      <c r="A199" s="44">
        <v>198</v>
      </c>
      <c r="B199" s="45" t="s">
        <v>85</v>
      </c>
      <c r="C199" s="46" t="s">
        <v>264</v>
      </c>
      <c r="D199" s="46" t="s">
        <v>119</v>
      </c>
      <c r="E199" s="61"/>
      <c r="H199" s="59" t="s">
        <v>90</v>
      </c>
      <c r="I199" s="60">
        <v>12000</v>
      </c>
      <c r="K199" s="62"/>
      <c r="L199" s="63"/>
      <c r="M199" s="57"/>
    </row>
    <row r="200" spans="1:19" s="38" customFormat="1" ht="14.4" customHeight="1" x14ac:dyDescent="0.25">
      <c r="A200" s="44">
        <v>199</v>
      </c>
      <c r="B200" s="45" t="s">
        <v>85</v>
      </c>
      <c r="C200" s="46" t="s">
        <v>264</v>
      </c>
      <c r="D200" s="46" t="s">
        <v>120</v>
      </c>
      <c r="E200" s="61"/>
      <c r="H200" s="59" t="s">
        <v>90</v>
      </c>
      <c r="I200" s="60">
        <v>12000</v>
      </c>
      <c r="K200" s="62"/>
      <c r="L200" s="63"/>
      <c r="M200" s="57"/>
    </row>
    <row r="201" spans="1:19" s="38" customFormat="1" ht="14.4" customHeight="1" x14ac:dyDescent="0.25">
      <c r="A201" s="44">
        <v>200</v>
      </c>
      <c r="B201" s="45" t="s">
        <v>85</v>
      </c>
      <c r="C201" s="46" t="s">
        <v>264</v>
      </c>
      <c r="D201" s="46" t="s">
        <v>121</v>
      </c>
      <c r="E201" s="61"/>
      <c r="H201" s="59" t="s">
        <v>90</v>
      </c>
      <c r="I201" s="60">
        <v>12000</v>
      </c>
      <c r="K201" s="62"/>
      <c r="L201" s="63"/>
      <c r="M201" s="57"/>
    </row>
    <row r="202" spans="1:19" s="38" customFormat="1" ht="14.4" customHeight="1" x14ac:dyDescent="0.25">
      <c r="A202" s="44">
        <v>201</v>
      </c>
      <c r="B202" s="45" t="s">
        <v>85</v>
      </c>
      <c r="C202" s="46" t="s">
        <v>264</v>
      </c>
      <c r="D202" s="46" t="s">
        <v>122</v>
      </c>
      <c r="E202" s="61"/>
      <c r="H202" s="59" t="s">
        <v>90</v>
      </c>
      <c r="I202" s="60">
        <v>12000</v>
      </c>
      <c r="K202" s="62"/>
      <c r="L202" s="63"/>
      <c r="M202" s="57"/>
    </row>
    <row r="203" spans="1:19" s="38" customFormat="1" ht="14.4" customHeight="1" x14ac:dyDescent="0.25">
      <c r="A203" s="44">
        <v>202</v>
      </c>
      <c r="B203" s="45" t="s">
        <v>85</v>
      </c>
      <c r="C203" s="46" t="s">
        <v>264</v>
      </c>
      <c r="D203" s="46" t="s">
        <v>123</v>
      </c>
      <c r="E203" s="61"/>
      <c r="H203" s="59" t="s">
        <v>90</v>
      </c>
      <c r="I203" s="60">
        <v>12000</v>
      </c>
      <c r="K203" s="62"/>
      <c r="L203" s="63"/>
      <c r="M203" s="57"/>
    </row>
    <row r="204" spans="1:19" s="38" customFormat="1" ht="14.4" customHeight="1" x14ac:dyDescent="0.25">
      <c r="A204" s="44">
        <v>203</v>
      </c>
      <c r="B204" s="45" t="s">
        <v>85</v>
      </c>
      <c r="C204" s="46" t="s">
        <v>264</v>
      </c>
      <c r="D204" s="46" t="s">
        <v>124</v>
      </c>
      <c r="E204" s="61"/>
      <c r="H204" s="59" t="s">
        <v>90</v>
      </c>
      <c r="I204" s="60">
        <v>12000</v>
      </c>
      <c r="K204" s="62"/>
      <c r="L204" s="63"/>
      <c r="M204" s="57"/>
    </row>
    <row r="205" spans="1:19" s="38" customFormat="1" ht="14.4" customHeight="1" x14ac:dyDescent="0.25">
      <c r="A205" s="44">
        <v>204</v>
      </c>
      <c r="B205" s="45" t="s">
        <v>85</v>
      </c>
      <c r="C205" s="46" t="s">
        <v>264</v>
      </c>
      <c r="D205" s="46" t="s">
        <v>125</v>
      </c>
      <c r="E205" s="61"/>
      <c r="H205" s="59" t="s">
        <v>90</v>
      </c>
      <c r="I205" s="60">
        <v>12000</v>
      </c>
      <c r="K205" s="62"/>
      <c r="L205" s="63"/>
      <c r="M205" s="57"/>
    </row>
    <row r="206" spans="1:19" s="38" customFormat="1" ht="14.4" customHeight="1" x14ac:dyDescent="0.25">
      <c r="A206" s="44">
        <v>205</v>
      </c>
      <c r="B206" s="45" t="s">
        <v>85</v>
      </c>
      <c r="C206" s="46" t="s">
        <v>264</v>
      </c>
      <c r="D206" s="38" t="s">
        <v>126</v>
      </c>
      <c r="E206" s="38" t="s">
        <v>106</v>
      </c>
      <c r="F206" s="64">
        <v>45896.7055555556</v>
      </c>
      <c r="G206" s="64">
        <v>45894.705636574101</v>
      </c>
      <c r="H206" s="54" t="s">
        <v>88</v>
      </c>
      <c r="I206" s="55">
        <v>16000</v>
      </c>
      <c r="J206" s="58" t="s">
        <v>107</v>
      </c>
      <c r="K206" s="38" t="s">
        <v>108</v>
      </c>
      <c r="L206" s="64">
        <v>45863.713391203702</v>
      </c>
      <c r="M206" s="64">
        <v>45867.771030092597</v>
      </c>
    </row>
    <row r="207" spans="1:19" s="38" customFormat="1" ht="14.4" customHeight="1" x14ac:dyDescent="0.25">
      <c r="A207" s="44">
        <v>206</v>
      </c>
      <c r="B207" s="45" t="s">
        <v>85</v>
      </c>
      <c r="C207" s="46" t="s">
        <v>264</v>
      </c>
      <c r="D207" s="38" t="s">
        <v>128</v>
      </c>
      <c r="E207" s="38" t="s">
        <v>106</v>
      </c>
      <c r="F207" s="64">
        <v>45896.705578703702</v>
      </c>
      <c r="G207" s="64">
        <v>45894.705659722204</v>
      </c>
      <c r="H207" s="59" t="s">
        <v>90</v>
      </c>
      <c r="I207" s="60">
        <v>12000</v>
      </c>
      <c r="J207" s="58" t="s">
        <v>107</v>
      </c>
      <c r="K207" s="61" t="s">
        <v>108</v>
      </c>
      <c r="L207" s="64">
        <v>45546.651307870401</v>
      </c>
      <c r="M207" s="64">
        <v>45604.768553240698</v>
      </c>
      <c r="N207" s="38" t="s">
        <v>127</v>
      </c>
      <c r="O207" s="64">
        <v>45646.618148148104</v>
      </c>
      <c r="P207" s="64">
        <v>45652.696296296301</v>
      </c>
      <c r="Q207" s="38" t="s">
        <v>108</v>
      </c>
      <c r="R207" s="64">
        <v>45863.713391203702</v>
      </c>
      <c r="S207" s="64">
        <v>45867.771030092597</v>
      </c>
    </row>
    <row r="208" spans="1:19" s="38" customFormat="1" ht="14.4" customHeight="1" x14ac:dyDescent="0.25">
      <c r="A208" s="44">
        <v>207</v>
      </c>
      <c r="B208" s="45" t="s">
        <v>85</v>
      </c>
      <c r="C208" s="46" t="s">
        <v>264</v>
      </c>
      <c r="D208" s="38" t="s">
        <v>129</v>
      </c>
      <c r="E208" s="38" t="s">
        <v>106</v>
      </c>
      <c r="F208" s="64">
        <v>45896.7055555556</v>
      </c>
      <c r="G208" s="64">
        <v>45894.705636574101</v>
      </c>
      <c r="H208" s="59" t="s">
        <v>90</v>
      </c>
      <c r="I208" s="60">
        <v>12000</v>
      </c>
      <c r="J208" s="58" t="s">
        <v>107</v>
      </c>
      <c r="K208" s="61" t="s">
        <v>108</v>
      </c>
      <c r="L208" s="64">
        <v>45546.651307870401</v>
      </c>
      <c r="M208" s="64">
        <v>45604.768553240698</v>
      </c>
      <c r="N208" s="38" t="s">
        <v>127</v>
      </c>
      <c r="O208" s="64">
        <v>45646.618148148104</v>
      </c>
      <c r="P208" s="64">
        <v>45652.696296296301</v>
      </c>
      <c r="Q208" s="38" t="s">
        <v>108</v>
      </c>
      <c r="R208" s="64">
        <v>45863.713391203702</v>
      </c>
      <c r="S208" s="64">
        <v>45867.771030092597</v>
      </c>
    </row>
    <row r="209" spans="1:19" s="38" customFormat="1" ht="14.4" customHeight="1" x14ac:dyDescent="0.25">
      <c r="A209" s="44">
        <v>208</v>
      </c>
      <c r="B209" s="45" t="s">
        <v>85</v>
      </c>
      <c r="C209" s="46" t="s">
        <v>264</v>
      </c>
      <c r="D209" s="38" t="s">
        <v>130</v>
      </c>
      <c r="E209" s="38" t="s">
        <v>106</v>
      </c>
      <c r="F209" s="64">
        <v>45896.7055555556</v>
      </c>
      <c r="G209" s="64">
        <v>45894.705636574101</v>
      </c>
      <c r="H209" s="59" t="s">
        <v>90</v>
      </c>
      <c r="I209" s="60">
        <v>12000</v>
      </c>
      <c r="J209" s="58" t="s">
        <v>107</v>
      </c>
      <c r="K209" s="61" t="s">
        <v>108</v>
      </c>
      <c r="L209" s="64">
        <v>45546.651307870401</v>
      </c>
      <c r="M209" s="64">
        <v>45604.768553240698</v>
      </c>
      <c r="N209" s="38" t="s">
        <v>127</v>
      </c>
      <c r="O209" s="64">
        <v>45646.618148148104</v>
      </c>
      <c r="P209" s="64">
        <v>45652.696296296301</v>
      </c>
      <c r="Q209" s="38" t="s">
        <v>108</v>
      </c>
      <c r="R209" s="64">
        <v>45863.713391203702</v>
      </c>
      <c r="S209" s="64">
        <v>45867.771030092597</v>
      </c>
    </row>
    <row r="210" spans="1:19" s="38" customFormat="1" ht="14.4" customHeight="1" x14ac:dyDescent="0.25">
      <c r="A210" s="44">
        <v>209</v>
      </c>
      <c r="B210" s="45" t="s">
        <v>85</v>
      </c>
      <c r="C210" s="46" t="s">
        <v>264</v>
      </c>
      <c r="D210" s="38" t="s">
        <v>131</v>
      </c>
      <c r="E210" s="38" t="s">
        <v>106</v>
      </c>
      <c r="F210" s="64">
        <v>45896.705567129597</v>
      </c>
      <c r="G210" s="64">
        <v>45894.705648148098</v>
      </c>
      <c r="H210" s="59" t="s">
        <v>90</v>
      </c>
      <c r="I210" s="60">
        <v>12000</v>
      </c>
      <c r="J210" s="58" t="s">
        <v>107</v>
      </c>
      <c r="K210" s="61" t="s">
        <v>108</v>
      </c>
      <c r="L210" s="64">
        <v>45546.651307870401</v>
      </c>
      <c r="M210" s="64">
        <v>45604.768553240698</v>
      </c>
      <c r="N210" s="38" t="s">
        <v>127</v>
      </c>
      <c r="O210" s="64">
        <v>45646.618148148104</v>
      </c>
      <c r="P210" s="64">
        <v>45652.696296296301</v>
      </c>
      <c r="Q210" s="38" t="s">
        <v>108</v>
      </c>
      <c r="R210" s="64">
        <v>45863.713391203702</v>
      </c>
      <c r="S210" s="64">
        <v>45867.771030092597</v>
      </c>
    </row>
    <row r="211" spans="1:19" s="38" customFormat="1" ht="14.4" customHeight="1" x14ac:dyDescent="0.25">
      <c r="A211" s="44">
        <v>210</v>
      </c>
      <c r="B211" s="45" t="s">
        <v>85</v>
      </c>
      <c r="C211" s="46" t="s">
        <v>264</v>
      </c>
      <c r="D211" s="38" t="s">
        <v>132</v>
      </c>
      <c r="E211" s="38" t="s">
        <v>106</v>
      </c>
      <c r="F211" s="64">
        <v>45896.705590277801</v>
      </c>
      <c r="G211" s="64">
        <v>45894.705671296302</v>
      </c>
      <c r="H211" s="59" t="s">
        <v>90</v>
      </c>
      <c r="I211" s="60">
        <v>12000</v>
      </c>
      <c r="J211" s="58" t="s">
        <v>107</v>
      </c>
      <c r="K211" s="61" t="s">
        <v>108</v>
      </c>
      <c r="L211" s="64">
        <v>45546.651307870401</v>
      </c>
      <c r="M211" s="64">
        <v>45604.768553240698</v>
      </c>
      <c r="N211" s="38" t="s">
        <v>127</v>
      </c>
      <c r="O211" s="64">
        <v>45646.618148148104</v>
      </c>
      <c r="P211" s="64">
        <v>45652.696296296301</v>
      </c>
      <c r="Q211" s="38" t="s">
        <v>108</v>
      </c>
      <c r="R211" s="64">
        <v>45863.713391203702</v>
      </c>
      <c r="S211" s="64">
        <v>45867.771030092597</v>
      </c>
    </row>
    <row r="212" spans="1:19" s="38" customFormat="1" ht="14.4" customHeight="1" x14ac:dyDescent="0.25">
      <c r="A212" s="44">
        <v>211</v>
      </c>
      <c r="B212" s="45" t="s">
        <v>85</v>
      </c>
      <c r="C212" s="46" t="s">
        <v>264</v>
      </c>
      <c r="D212" s="38" t="s">
        <v>133</v>
      </c>
      <c r="E212" s="38" t="s">
        <v>106</v>
      </c>
      <c r="F212" s="64">
        <v>45896.705567129597</v>
      </c>
      <c r="G212" s="64">
        <v>45894.705648148098</v>
      </c>
      <c r="H212" s="59" t="s">
        <v>90</v>
      </c>
      <c r="I212" s="60">
        <v>12000</v>
      </c>
      <c r="J212" s="58" t="s">
        <v>107</v>
      </c>
      <c r="K212" s="61" t="s">
        <v>108</v>
      </c>
      <c r="L212" s="64">
        <v>45546.651307870401</v>
      </c>
      <c r="M212" s="64">
        <v>45604.768553240698</v>
      </c>
      <c r="N212" s="38" t="s">
        <v>127</v>
      </c>
      <c r="O212" s="64">
        <v>45646.618148148104</v>
      </c>
      <c r="P212" s="64">
        <v>45652.696296296301</v>
      </c>
      <c r="Q212" s="38" t="s">
        <v>108</v>
      </c>
      <c r="R212" s="64">
        <v>45863.713391203702</v>
      </c>
      <c r="S212" s="64">
        <v>45867.771030092597</v>
      </c>
    </row>
    <row r="213" spans="1:19" s="38" customFormat="1" ht="14.4" customHeight="1" x14ac:dyDescent="0.25">
      <c r="A213" s="44">
        <v>212</v>
      </c>
      <c r="B213" s="45" t="s">
        <v>85</v>
      </c>
      <c r="C213" s="46" t="s">
        <v>264</v>
      </c>
      <c r="D213" s="38" t="s">
        <v>134</v>
      </c>
      <c r="E213" s="38" t="s">
        <v>106</v>
      </c>
      <c r="F213" s="64">
        <v>45896.705578703702</v>
      </c>
      <c r="G213" s="64">
        <v>45894.705659722204</v>
      </c>
      <c r="H213" s="59" t="s">
        <v>90</v>
      </c>
      <c r="I213" s="60">
        <v>12000</v>
      </c>
      <c r="J213" s="58" t="s">
        <v>107</v>
      </c>
      <c r="K213" s="61" t="s">
        <v>108</v>
      </c>
      <c r="L213" s="64">
        <v>45546.651307870401</v>
      </c>
      <c r="M213" s="64">
        <v>45604.768553240698</v>
      </c>
      <c r="N213" s="38" t="s">
        <v>127</v>
      </c>
      <c r="O213" s="64">
        <v>45646.618148148104</v>
      </c>
      <c r="P213" s="64">
        <v>45652.696296296301</v>
      </c>
      <c r="Q213" s="38" t="s">
        <v>108</v>
      </c>
      <c r="R213" s="64">
        <v>45863.713391203702</v>
      </c>
      <c r="S213" s="64">
        <v>45867.771030092597</v>
      </c>
    </row>
    <row r="214" spans="1:19" s="38" customFormat="1" ht="14.4" customHeight="1" x14ac:dyDescent="0.25">
      <c r="A214" s="44">
        <v>213</v>
      </c>
      <c r="B214" s="45" t="s">
        <v>85</v>
      </c>
      <c r="C214" s="46" t="s">
        <v>264</v>
      </c>
      <c r="D214" s="38" t="s">
        <v>135</v>
      </c>
      <c r="E214" s="38" t="s">
        <v>106</v>
      </c>
      <c r="F214" s="64">
        <v>45896.705590277801</v>
      </c>
      <c r="G214" s="64">
        <v>45894.705694444398</v>
      </c>
      <c r="H214" s="59" t="s">
        <v>90</v>
      </c>
      <c r="I214" s="60">
        <v>12000</v>
      </c>
      <c r="J214" s="58" t="s">
        <v>107</v>
      </c>
      <c r="K214" s="61" t="s">
        <v>108</v>
      </c>
      <c r="L214" s="64">
        <v>45546.651307870401</v>
      </c>
      <c r="M214" s="64">
        <v>45604.768553240698</v>
      </c>
      <c r="N214" s="38" t="s">
        <v>127</v>
      </c>
      <c r="O214" s="64">
        <v>45646.618148148104</v>
      </c>
      <c r="P214" s="64">
        <v>45652.696296296301</v>
      </c>
      <c r="Q214" s="38" t="s">
        <v>108</v>
      </c>
      <c r="R214" s="64">
        <v>45863.713391203702</v>
      </c>
      <c r="S214" s="64">
        <v>45867.771030092597</v>
      </c>
    </row>
    <row r="215" spans="1:19" s="38" customFormat="1" ht="14.4" customHeight="1" x14ac:dyDescent="0.25">
      <c r="A215" s="44">
        <v>214</v>
      </c>
      <c r="B215" s="45" t="s">
        <v>85</v>
      </c>
      <c r="C215" s="46" t="s">
        <v>264</v>
      </c>
      <c r="D215" s="38" t="s">
        <v>136</v>
      </c>
      <c r="E215" s="38" t="s">
        <v>106</v>
      </c>
      <c r="F215" s="64">
        <v>45896.7130555556</v>
      </c>
      <c r="G215" s="64">
        <v>45894.713136574101</v>
      </c>
      <c r="H215" s="59" t="s">
        <v>90</v>
      </c>
      <c r="I215" s="60">
        <v>12000</v>
      </c>
      <c r="J215" s="58" t="s">
        <v>107</v>
      </c>
      <c r="K215" s="61" t="s">
        <v>108</v>
      </c>
      <c r="L215" s="64">
        <v>45546.651307870401</v>
      </c>
      <c r="M215" s="64">
        <v>45604.768553240698</v>
      </c>
      <c r="N215" s="38" t="s">
        <v>127</v>
      </c>
      <c r="O215" s="64">
        <v>45646.618148148104</v>
      </c>
      <c r="P215" s="64">
        <v>45652.696296296301</v>
      </c>
      <c r="Q215" s="38" t="s">
        <v>108</v>
      </c>
      <c r="R215" s="64">
        <v>45863.713391203702</v>
      </c>
      <c r="S215" s="64">
        <v>45867.771030092597</v>
      </c>
    </row>
    <row r="216" spans="1:19" s="38" customFormat="1" ht="14.4" customHeight="1" x14ac:dyDescent="0.25">
      <c r="A216" s="44">
        <v>215</v>
      </c>
      <c r="B216" s="45" t="s">
        <v>85</v>
      </c>
      <c r="C216" s="46" t="s">
        <v>264</v>
      </c>
      <c r="D216" s="38" t="s">
        <v>137</v>
      </c>
      <c r="E216" s="61"/>
      <c r="H216" s="59" t="s">
        <v>90</v>
      </c>
      <c r="I216" s="60">
        <v>12000</v>
      </c>
      <c r="K216" s="62"/>
      <c r="L216" s="63"/>
      <c r="M216" s="57"/>
    </row>
    <row r="217" spans="1:19" s="38" customFormat="1" ht="14.4" customHeight="1" x14ac:dyDescent="0.25">
      <c r="A217" s="44">
        <v>216</v>
      </c>
      <c r="B217" s="45" t="s">
        <v>85</v>
      </c>
      <c r="C217" s="46" t="s">
        <v>264</v>
      </c>
      <c r="D217" s="38" t="s">
        <v>138</v>
      </c>
      <c r="E217" s="61"/>
      <c r="H217" s="59" t="s">
        <v>90</v>
      </c>
      <c r="I217" s="60">
        <v>12000</v>
      </c>
      <c r="K217" s="62"/>
      <c r="L217" s="63"/>
      <c r="M217" s="57"/>
    </row>
    <row r="218" spans="1:19" s="38" customFormat="1" ht="14.4" customHeight="1" x14ac:dyDescent="0.25">
      <c r="A218" s="44">
        <v>217</v>
      </c>
      <c r="B218" s="45" t="s">
        <v>85</v>
      </c>
      <c r="C218" s="46" t="s">
        <v>264</v>
      </c>
      <c r="D218" s="38" t="s">
        <v>139</v>
      </c>
      <c r="E218" s="61"/>
      <c r="H218" s="59" t="s">
        <v>90</v>
      </c>
      <c r="I218" s="60">
        <v>12000</v>
      </c>
      <c r="K218" s="62"/>
      <c r="L218" s="63"/>
      <c r="M218" s="57"/>
    </row>
    <row r="219" spans="1:19" s="38" customFormat="1" ht="14.4" customHeight="1" x14ac:dyDescent="0.25">
      <c r="A219" s="44">
        <v>218</v>
      </c>
      <c r="B219" s="45" t="s">
        <v>85</v>
      </c>
      <c r="C219" s="46" t="s">
        <v>264</v>
      </c>
      <c r="D219" s="38" t="s">
        <v>140</v>
      </c>
      <c r="E219" s="61"/>
      <c r="H219" s="59" t="s">
        <v>90</v>
      </c>
      <c r="I219" s="60">
        <v>12000</v>
      </c>
      <c r="K219" s="62"/>
      <c r="L219" s="63"/>
      <c r="M219" s="57"/>
    </row>
    <row r="220" spans="1:19" s="38" customFormat="1" ht="14.4" customHeight="1" x14ac:dyDescent="0.25">
      <c r="A220" s="44">
        <v>219</v>
      </c>
      <c r="B220" s="45" t="s">
        <v>85</v>
      </c>
      <c r="C220" s="46" t="s">
        <v>264</v>
      </c>
      <c r="D220" s="38" t="s">
        <v>141</v>
      </c>
      <c r="E220" s="61"/>
      <c r="H220" s="59" t="s">
        <v>90</v>
      </c>
      <c r="I220" s="60">
        <v>12000</v>
      </c>
      <c r="K220" s="62"/>
      <c r="L220" s="63"/>
      <c r="M220" s="57"/>
    </row>
    <row r="221" spans="1:19" s="38" customFormat="1" ht="14.4" customHeight="1" x14ac:dyDescent="0.25">
      <c r="A221" s="44">
        <v>220</v>
      </c>
      <c r="B221" s="45" t="s">
        <v>85</v>
      </c>
      <c r="C221" s="46" t="s">
        <v>264</v>
      </c>
      <c r="D221" s="38" t="s">
        <v>142</v>
      </c>
      <c r="E221" s="61"/>
      <c r="H221" s="59" t="s">
        <v>90</v>
      </c>
      <c r="I221" s="60">
        <v>12000</v>
      </c>
      <c r="K221" s="62"/>
      <c r="L221" s="63"/>
      <c r="M221" s="57"/>
    </row>
    <row r="222" spans="1:19" s="38" customFormat="1" ht="14.4" customHeight="1" x14ac:dyDescent="0.25">
      <c r="A222" s="44">
        <v>221</v>
      </c>
      <c r="B222" s="45" t="s">
        <v>85</v>
      </c>
      <c r="C222" s="46" t="s">
        <v>264</v>
      </c>
      <c r="D222" s="38" t="s">
        <v>143</v>
      </c>
      <c r="E222" s="61" t="s">
        <v>265</v>
      </c>
      <c r="F222" s="64">
        <v>45611.575995370396</v>
      </c>
      <c r="G222" s="64">
        <v>45611.724386574097</v>
      </c>
      <c r="H222" s="54" t="s">
        <v>88</v>
      </c>
      <c r="I222" s="55">
        <v>16000</v>
      </c>
      <c r="J222" s="58" t="s">
        <v>107</v>
      </c>
      <c r="K222" s="62"/>
      <c r="L222" s="63"/>
      <c r="M222" s="57"/>
    </row>
    <row r="223" spans="1:19" s="38" customFormat="1" ht="14.4" customHeight="1" x14ac:dyDescent="0.25">
      <c r="A223" s="44">
        <v>222</v>
      </c>
      <c r="B223" s="45" t="s">
        <v>85</v>
      </c>
      <c r="C223" s="46" t="s">
        <v>264</v>
      </c>
      <c r="D223" s="38" t="s">
        <v>144</v>
      </c>
      <c r="E223" s="38" t="s">
        <v>106</v>
      </c>
      <c r="F223" s="64">
        <v>45745.658472222203</v>
      </c>
      <c r="G223" s="64">
        <v>45743.658587963</v>
      </c>
      <c r="H223" s="59" t="s">
        <v>90</v>
      </c>
      <c r="I223" s="60">
        <v>12000</v>
      </c>
      <c r="J223" s="58" t="s">
        <v>107</v>
      </c>
      <c r="K223" s="61" t="s">
        <v>108</v>
      </c>
      <c r="L223" s="64">
        <v>45546.6492476852</v>
      </c>
      <c r="M223" s="64">
        <v>45617.470763888901</v>
      </c>
    </row>
    <row r="224" spans="1:19" s="38" customFormat="1" ht="14.4" customHeight="1" x14ac:dyDescent="0.25">
      <c r="A224" s="44">
        <v>223</v>
      </c>
      <c r="B224" s="45" t="s">
        <v>85</v>
      </c>
      <c r="C224" s="46" t="s">
        <v>264</v>
      </c>
      <c r="D224" s="38" t="s">
        <v>145</v>
      </c>
      <c r="E224" s="38" t="s">
        <v>106</v>
      </c>
      <c r="F224" s="64">
        <v>45745.662013888897</v>
      </c>
      <c r="G224" s="64">
        <v>45743.662118055603</v>
      </c>
      <c r="H224" s="59" t="s">
        <v>90</v>
      </c>
      <c r="I224" s="60">
        <v>12000</v>
      </c>
      <c r="J224" s="58" t="s">
        <v>107</v>
      </c>
      <c r="K224" s="61" t="s">
        <v>108</v>
      </c>
      <c r="L224" s="64">
        <v>45546.650613425903</v>
      </c>
      <c r="M224" s="64">
        <v>45604.765150462998</v>
      </c>
    </row>
    <row r="225" spans="1:19" s="38" customFormat="1" ht="14.4" customHeight="1" x14ac:dyDescent="0.25">
      <c r="A225" s="44">
        <v>224</v>
      </c>
      <c r="B225" s="45" t="s">
        <v>85</v>
      </c>
      <c r="C225" s="46" t="s">
        <v>264</v>
      </c>
      <c r="D225" s="38" t="s">
        <v>147</v>
      </c>
      <c r="E225" s="38" t="s">
        <v>106</v>
      </c>
      <c r="F225" s="64">
        <v>45745.662094907399</v>
      </c>
      <c r="G225" s="64">
        <v>45743.662210648101</v>
      </c>
      <c r="H225" s="59" t="s">
        <v>90</v>
      </c>
      <c r="I225" s="60">
        <v>12000</v>
      </c>
      <c r="J225" s="58" t="s">
        <v>107</v>
      </c>
      <c r="K225" s="61" t="s">
        <v>108</v>
      </c>
      <c r="L225" s="64">
        <v>45546.650613425903</v>
      </c>
      <c r="M225" s="64">
        <v>45604.765150462998</v>
      </c>
    </row>
    <row r="226" spans="1:19" s="38" customFormat="1" ht="14.4" customHeight="1" x14ac:dyDescent="0.25">
      <c r="A226" s="44">
        <v>225</v>
      </c>
      <c r="B226" s="45" t="s">
        <v>85</v>
      </c>
      <c r="C226" s="46" t="s">
        <v>264</v>
      </c>
      <c r="D226" s="38" t="s">
        <v>148</v>
      </c>
      <c r="E226" s="38" t="s">
        <v>106</v>
      </c>
      <c r="F226" s="64">
        <v>45745.662118055603</v>
      </c>
      <c r="G226" s="64">
        <v>45743.662222222199</v>
      </c>
      <c r="H226" s="59" t="s">
        <v>90</v>
      </c>
      <c r="I226" s="60">
        <v>12000</v>
      </c>
      <c r="J226" s="58" t="s">
        <v>107</v>
      </c>
      <c r="K226" s="61" t="s">
        <v>108</v>
      </c>
      <c r="L226" s="64">
        <v>45546.650613425903</v>
      </c>
      <c r="M226" s="64">
        <v>45604.765150462998</v>
      </c>
    </row>
    <row r="227" spans="1:19" s="38" customFormat="1" ht="14.4" customHeight="1" x14ac:dyDescent="0.25">
      <c r="A227" s="44">
        <v>226</v>
      </c>
      <c r="B227" s="45" t="s">
        <v>85</v>
      </c>
      <c r="C227" s="46" t="s">
        <v>264</v>
      </c>
      <c r="D227" s="38" t="s">
        <v>149</v>
      </c>
      <c r="E227" s="38" t="s">
        <v>106</v>
      </c>
      <c r="F227" s="64">
        <v>45634.715798611098</v>
      </c>
      <c r="G227" s="64">
        <v>45632.715902777803</v>
      </c>
      <c r="H227" s="59" t="s">
        <v>90</v>
      </c>
      <c r="I227" s="60">
        <v>12000</v>
      </c>
      <c r="J227" s="58" t="s">
        <v>107</v>
      </c>
      <c r="K227" s="61" t="s">
        <v>108</v>
      </c>
      <c r="L227" s="64">
        <v>45546.650613425903</v>
      </c>
      <c r="M227" s="64">
        <v>45604.765150462998</v>
      </c>
    </row>
    <row r="228" spans="1:19" s="38" customFormat="1" ht="14.4" customHeight="1" x14ac:dyDescent="0.25">
      <c r="A228" s="44">
        <v>227</v>
      </c>
      <c r="B228" s="45" t="s">
        <v>85</v>
      </c>
      <c r="C228" s="46" t="s">
        <v>264</v>
      </c>
      <c r="D228" s="38" t="s">
        <v>150</v>
      </c>
      <c r="E228" s="38" t="s">
        <v>106</v>
      </c>
      <c r="F228" s="64">
        <v>45634.733194444401</v>
      </c>
      <c r="G228" s="64">
        <v>45632.733310185198</v>
      </c>
      <c r="H228" s="59" t="s">
        <v>90</v>
      </c>
      <c r="I228" s="60">
        <v>12000</v>
      </c>
      <c r="J228" s="58" t="s">
        <v>107</v>
      </c>
      <c r="K228" s="61" t="s">
        <v>108</v>
      </c>
      <c r="L228" s="64">
        <v>45546.649780092601</v>
      </c>
      <c r="M228" s="64">
        <v>45604.764224537001</v>
      </c>
    </row>
    <row r="229" spans="1:19" s="38" customFormat="1" ht="14.4" customHeight="1" x14ac:dyDescent="0.25">
      <c r="A229" s="44">
        <v>228</v>
      </c>
      <c r="B229" s="45" t="s">
        <v>85</v>
      </c>
      <c r="C229" s="46" t="s">
        <v>264</v>
      </c>
      <c r="D229" s="38" t="s">
        <v>151</v>
      </c>
      <c r="E229" s="38" t="s">
        <v>106</v>
      </c>
      <c r="F229" s="64">
        <v>45634.719386574099</v>
      </c>
      <c r="G229" s="64">
        <v>45632.719502314802</v>
      </c>
      <c r="H229" s="59" t="s">
        <v>90</v>
      </c>
      <c r="I229" s="60">
        <v>12000</v>
      </c>
      <c r="J229" s="58" t="s">
        <v>107</v>
      </c>
      <c r="K229" s="61" t="s">
        <v>108</v>
      </c>
      <c r="L229" s="64">
        <v>45546.649837962999</v>
      </c>
      <c r="M229" s="64">
        <v>45604.764398148101</v>
      </c>
    </row>
    <row r="230" spans="1:19" s="38" customFormat="1" ht="14.4" customHeight="1" x14ac:dyDescent="0.25">
      <c r="A230" s="44">
        <v>229</v>
      </c>
      <c r="B230" s="45" t="s">
        <v>85</v>
      </c>
      <c r="C230" s="46" t="s">
        <v>264</v>
      </c>
      <c r="D230" s="38" t="s">
        <v>152</v>
      </c>
      <c r="E230" s="38" t="s">
        <v>106</v>
      </c>
      <c r="F230" s="64">
        <v>45634.723171296297</v>
      </c>
      <c r="G230" s="64">
        <v>45632.723287036999</v>
      </c>
      <c r="H230" s="59" t="s">
        <v>90</v>
      </c>
      <c r="I230" s="60">
        <v>12000</v>
      </c>
      <c r="J230" s="58" t="s">
        <v>107</v>
      </c>
      <c r="K230" s="61" t="s">
        <v>108</v>
      </c>
      <c r="L230" s="64">
        <v>45546.650543981501</v>
      </c>
      <c r="M230" s="64">
        <v>45604.764629629601</v>
      </c>
    </row>
    <row r="231" spans="1:19" s="38" customFormat="1" ht="14.4" customHeight="1" x14ac:dyDescent="0.25">
      <c r="A231" s="44">
        <v>230</v>
      </c>
      <c r="B231" s="45" t="s">
        <v>85</v>
      </c>
      <c r="C231" s="46" t="s">
        <v>264</v>
      </c>
      <c r="D231" s="38" t="s">
        <v>153</v>
      </c>
      <c r="E231" s="38" t="s">
        <v>106</v>
      </c>
      <c r="F231" s="64">
        <v>45745.882210648102</v>
      </c>
      <c r="G231" s="64">
        <v>45744.882326388899</v>
      </c>
      <c r="H231" s="59" t="s">
        <v>90</v>
      </c>
      <c r="I231" s="60">
        <v>12000</v>
      </c>
      <c r="J231" s="58" t="s">
        <v>107</v>
      </c>
      <c r="K231" s="61" t="s">
        <v>108</v>
      </c>
      <c r="L231" s="64">
        <v>45546.650543981501</v>
      </c>
      <c r="M231" s="64">
        <v>45604.764803240701</v>
      </c>
      <c r="N231" s="38" t="s">
        <v>127</v>
      </c>
      <c r="O231" s="64">
        <v>45706.75</v>
      </c>
      <c r="P231" s="64">
        <v>45706.604166666701</v>
      </c>
      <c r="Q231" s="38" t="s">
        <v>108</v>
      </c>
      <c r="R231" s="64">
        <v>45728.677152777796</v>
      </c>
      <c r="S231" s="64">
        <v>45729.479166666701</v>
      </c>
    </row>
    <row r="232" spans="1:19" s="38" customFormat="1" ht="14.4" customHeight="1" x14ac:dyDescent="0.25">
      <c r="A232" s="44">
        <v>231</v>
      </c>
      <c r="B232" s="45" t="s">
        <v>85</v>
      </c>
      <c r="C232" s="46" t="s">
        <v>264</v>
      </c>
      <c r="D232" s="38" t="s">
        <v>154</v>
      </c>
      <c r="E232" s="38" t="s">
        <v>106</v>
      </c>
      <c r="F232" s="64">
        <v>45896.713078703702</v>
      </c>
      <c r="G232" s="64">
        <v>45894.713148148097</v>
      </c>
      <c r="H232" s="59" t="s">
        <v>90</v>
      </c>
      <c r="I232" s="60">
        <v>12000</v>
      </c>
      <c r="J232" s="58" t="s">
        <v>107</v>
      </c>
      <c r="K232" s="38" t="s">
        <v>108</v>
      </c>
      <c r="L232" s="64">
        <v>45863.713391203702</v>
      </c>
      <c r="M232" s="64">
        <v>45867.771030092597</v>
      </c>
    </row>
    <row r="233" spans="1:19" s="38" customFormat="1" ht="14.4" customHeight="1" x14ac:dyDescent="0.25">
      <c r="A233" s="44">
        <v>232</v>
      </c>
      <c r="B233" s="45" t="s">
        <v>85</v>
      </c>
      <c r="C233" s="46" t="s">
        <v>264</v>
      </c>
      <c r="D233" s="38" t="s">
        <v>155</v>
      </c>
      <c r="E233" s="38" t="s">
        <v>106</v>
      </c>
      <c r="F233" s="64">
        <v>45896.7167708333</v>
      </c>
      <c r="G233" s="64">
        <v>45894.716840277797</v>
      </c>
      <c r="H233" s="59" t="s">
        <v>90</v>
      </c>
      <c r="I233" s="60">
        <v>12000</v>
      </c>
      <c r="J233" s="58" t="s">
        <v>107</v>
      </c>
      <c r="K233" s="38" t="s">
        <v>108</v>
      </c>
      <c r="L233" s="64">
        <v>45863.713391203702</v>
      </c>
      <c r="M233" s="64">
        <v>45867.771030092597</v>
      </c>
    </row>
    <row r="234" spans="1:19" s="38" customFormat="1" ht="14.4" customHeight="1" x14ac:dyDescent="0.25">
      <c r="A234" s="44">
        <v>233</v>
      </c>
      <c r="B234" s="45" t="s">
        <v>85</v>
      </c>
      <c r="C234" s="46" t="s">
        <v>264</v>
      </c>
      <c r="D234" s="38" t="s">
        <v>156</v>
      </c>
      <c r="E234" s="38" t="s">
        <v>106</v>
      </c>
      <c r="F234" s="64">
        <v>45896.723958333299</v>
      </c>
      <c r="G234" s="64">
        <v>45894.724039351902</v>
      </c>
      <c r="H234" s="59" t="s">
        <v>90</v>
      </c>
      <c r="I234" s="60">
        <v>12000</v>
      </c>
      <c r="J234" s="58" t="s">
        <v>107</v>
      </c>
      <c r="K234" s="38" t="s">
        <v>108</v>
      </c>
      <c r="L234" s="64">
        <v>45863.713391203702</v>
      </c>
      <c r="M234" s="64">
        <v>45867.771030092597</v>
      </c>
    </row>
    <row r="235" spans="1:19" s="38" customFormat="1" ht="14.4" customHeight="1" x14ac:dyDescent="0.25">
      <c r="A235" s="44">
        <v>234</v>
      </c>
      <c r="B235" s="45" t="s">
        <v>85</v>
      </c>
      <c r="C235" s="46" t="s">
        <v>264</v>
      </c>
      <c r="D235" s="38" t="s">
        <v>157</v>
      </c>
      <c r="E235" s="38" t="s">
        <v>106</v>
      </c>
      <c r="F235" s="64">
        <v>45896.7202777778</v>
      </c>
      <c r="G235" s="64">
        <v>45894.720358796301</v>
      </c>
      <c r="H235" s="59" t="s">
        <v>90</v>
      </c>
      <c r="I235" s="60">
        <v>12000</v>
      </c>
      <c r="J235" s="58" t="s">
        <v>107</v>
      </c>
      <c r="K235" s="38" t="s">
        <v>108</v>
      </c>
      <c r="L235" s="64">
        <v>45863.713391203702</v>
      </c>
      <c r="M235" s="64">
        <v>45867.771030092597</v>
      </c>
    </row>
    <row r="236" spans="1:19" s="38" customFormat="1" ht="14.4" customHeight="1" x14ac:dyDescent="0.25">
      <c r="A236" s="44">
        <v>235</v>
      </c>
      <c r="B236" s="45" t="s">
        <v>85</v>
      </c>
      <c r="C236" s="46" t="s">
        <v>264</v>
      </c>
      <c r="D236" s="38" t="s">
        <v>158</v>
      </c>
      <c r="E236" s="38" t="s">
        <v>106</v>
      </c>
      <c r="F236" s="64">
        <v>45896.723287036999</v>
      </c>
      <c r="G236" s="64">
        <v>45894.723368055602</v>
      </c>
      <c r="H236" s="59" t="s">
        <v>90</v>
      </c>
      <c r="I236" s="60">
        <v>12000</v>
      </c>
      <c r="J236" s="58" t="s">
        <v>107</v>
      </c>
      <c r="K236" s="38" t="s">
        <v>108</v>
      </c>
      <c r="L236" s="64">
        <v>45887.375196759298</v>
      </c>
      <c r="M236" s="64">
        <v>45887.771030092597</v>
      </c>
    </row>
    <row r="237" spans="1:19" s="38" customFormat="1" ht="14.4" customHeight="1" x14ac:dyDescent="0.25">
      <c r="A237" s="44">
        <v>236</v>
      </c>
      <c r="B237" s="45" t="s">
        <v>85</v>
      </c>
      <c r="C237" s="46" t="s">
        <v>264</v>
      </c>
      <c r="D237" s="38" t="s">
        <v>159</v>
      </c>
      <c r="E237" s="38" t="s">
        <v>106</v>
      </c>
      <c r="F237" s="64">
        <v>45877.882187499999</v>
      </c>
      <c r="G237" s="64">
        <v>45876.8822685185</v>
      </c>
      <c r="H237" s="59" t="s">
        <v>90</v>
      </c>
      <c r="I237" s="60">
        <v>12000</v>
      </c>
      <c r="J237" s="58" t="s">
        <v>107</v>
      </c>
      <c r="K237" s="38" t="s">
        <v>108</v>
      </c>
      <c r="L237" s="64">
        <v>45863.713391203702</v>
      </c>
      <c r="M237" s="64">
        <v>45867.771030092597</v>
      </c>
    </row>
    <row r="238" spans="1:19" s="38" customFormat="1" ht="14.4" customHeight="1" x14ac:dyDescent="0.25">
      <c r="A238" s="44">
        <v>237</v>
      </c>
      <c r="B238" s="45" t="s">
        <v>85</v>
      </c>
      <c r="C238" s="46" t="s">
        <v>264</v>
      </c>
      <c r="D238" s="38" t="s">
        <v>160</v>
      </c>
      <c r="E238" s="38" t="s">
        <v>106</v>
      </c>
      <c r="F238" s="64">
        <v>45896.723993055602</v>
      </c>
      <c r="G238" s="64">
        <v>45894.724074074104</v>
      </c>
      <c r="H238" s="59" t="s">
        <v>90</v>
      </c>
      <c r="I238" s="60">
        <v>12000</v>
      </c>
      <c r="J238" s="58" t="s">
        <v>107</v>
      </c>
      <c r="K238" s="38" t="s">
        <v>108</v>
      </c>
      <c r="L238" s="64">
        <v>45887.375196759298</v>
      </c>
      <c r="M238" s="64">
        <v>45887.771030092597</v>
      </c>
    </row>
    <row r="239" spans="1:19" s="38" customFormat="1" ht="14.4" customHeight="1" x14ac:dyDescent="0.25">
      <c r="A239" s="44">
        <v>238</v>
      </c>
      <c r="B239" s="45" t="s">
        <v>85</v>
      </c>
      <c r="C239" s="46" t="s">
        <v>264</v>
      </c>
      <c r="D239" s="38" t="s">
        <v>161</v>
      </c>
      <c r="E239" s="61"/>
      <c r="H239" s="59" t="s">
        <v>90</v>
      </c>
      <c r="I239" s="60">
        <v>12000</v>
      </c>
      <c r="K239" s="62"/>
      <c r="L239" s="63"/>
      <c r="M239" s="57"/>
    </row>
    <row r="240" spans="1:19" s="38" customFormat="1" ht="14.4" customHeight="1" x14ac:dyDescent="0.25">
      <c r="A240" s="44">
        <v>239</v>
      </c>
      <c r="B240" s="45" t="s">
        <v>85</v>
      </c>
      <c r="C240" s="46" t="s">
        <v>264</v>
      </c>
      <c r="D240" s="38" t="s">
        <v>162</v>
      </c>
      <c r="E240" s="38" t="s">
        <v>106</v>
      </c>
      <c r="F240" s="64">
        <v>45745.686805555597</v>
      </c>
      <c r="G240" s="64">
        <v>45743.686909722201</v>
      </c>
      <c r="H240" s="54" t="s">
        <v>88</v>
      </c>
      <c r="I240" s="55">
        <v>16000</v>
      </c>
      <c r="J240" s="58" t="s">
        <v>107</v>
      </c>
      <c r="K240" s="61" t="s">
        <v>265</v>
      </c>
      <c r="L240" s="64">
        <v>45615.620439814797</v>
      </c>
      <c r="M240" s="64">
        <v>45617.470162037003</v>
      </c>
      <c r="N240" s="38" t="s">
        <v>146</v>
      </c>
      <c r="O240" s="64">
        <v>45621.834027777797</v>
      </c>
      <c r="P240" s="64">
        <v>45620.834143518499</v>
      </c>
    </row>
    <row r="241" spans="1:31" s="38" customFormat="1" ht="14.4" customHeight="1" x14ac:dyDescent="0.25">
      <c r="A241" s="44">
        <v>240</v>
      </c>
      <c r="B241" s="45" t="s">
        <v>85</v>
      </c>
      <c r="C241" s="46" t="s">
        <v>264</v>
      </c>
      <c r="D241" s="38" t="s">
        <v>163</v>
      </c>
      <c r="E241" s="38" t="s">
        <v>106</v>
      </c>
      <c r="F241" s="64">
        <v>45745.690300925897</v>
      </c>
      <c r="G241" s="64">
        <v>45743.690416666701</v>
      </c>
      <c r="H241" s="59" t="s">
        <v>90</v>
      </c>
      <c r="I241" s="60">
        <v>12000</v>
      </c>
      <c r="J241" s="58" t="s">
        <v>107</v>
      </c>
      <c r="K241" s="61" t="s">
        <v>108</v>
      </c>
      <c r="L241" s="64">
        <v>45546.650138888901</v>
      </c>
      <c r="M241" s="64">
        <v>45604.765902777799</v>
      </c>
    </row>
    <row r="242" spans="1:31" s="38" customFormat="1" ht="14.4" customHeight="1" x14ac:dyDescent="0.25">
      <c r="A242" s="44">
        <v>241</v>
      </c>
      <c r="B242" s="45" t="s">
        <v>85</v>
      </c>
      <c r="C242" s="46" t="s">
        <v>264</v>
      </c>
      <c r="D242" s="38" t="s">
        <v>164</v>
      </c>
      <c r="E242" s="38" t="s">
        <v>106</v>
      </c>
      <c r="F242" s="64">
        <v>45745.693807870397</v>
      </c>
      <c r="G242" s="64">
        <v>45743.693912037001</v>
      </c>
      <c r="H242" s="59" t="s">
        <v>90</v>
      </c>
      <c r="I242" s="60">
        <v>12000</v>
      </c>
      <c r="J242" s="58" t="s">
        <v>107</v>
      </c>
      <c r="K242" s="61" t="s">
        <v>108</v>
      </c>
      <c r="L242" s="64">
        <v>45546.650208333303</v>
      </c>
      <c r="M242" s="64">
        <v>45604.766018518501</v>
      </c>
    </row>
    <row r="243" spans="1:31" s="38" customFormat="1" ht="14.4" customHeight="1" x14ac:dyDescent="0.25">
      <c r="A243" s="44">
        <v>242</v>
      </c>
      <c r="B243" s="45" t="s">
        <v>85</v>
      </c>
      <c r="C243" s="46" t="s">
        <v>264</v>
      </c>
      <c r="D243" s="38" t="s">
        <v>165</v>
      </c>
      <c r="E243" s="38" t="s">
        <v>106</v>
      </c>
      <c r="F243" s="64">
        <v>45745.6938310185</v>
      </c>
      <c r="G243" s="64">
        <v>45743.693946759297</v>
      </c>
      <c r="H243" s="59" t="s">
        <v>90</v>
      </c>
      <c r="I243" s="60">
        <v>12000</v>
      </c>
      <c r="J243" s="58" t="s">
        <v>107</v>
      </c>
      <c r="K243" s="61" t="s">
        <v>108</v>
      </c>
      <c r="L243" s="64">
        <v>45713.750208333302</v>
      </c>
      <c r="M243" s="64">
        <v>45713.583541666703</v>
      </c>
    </row>
    <row r="244" spans="1:31" s="38" customFormat="1" ht="14.4" customHeight="1" x14ac:dyDescent="0.25">
      <c r="A244" s="44">
        <v>243</v>
      </c>
      <c r="B244" s="45" t="s">
        <v>85</v>
      </c>
      <c r="C244" s="46" t="s">
        <v>264</v>
      </c>
      <c r="D244" s="38" t="s">
        <v>166</v>
      </c>
      <c r="E244" s="38" t="s">
        <v>106</v>
      </c>
      <c r="F244" s="64">
        <v>45745.6938310185</v>
      </c>
      <c r="G244" s="64">
        <v>45743.693935185198</v>
      </c>
      <c r="H244" s="59" t="s">
        <v>90</v>
      </c>
      <c r="I244" s="60">
        <v>12000</v>
      </c>
      <c r="J244" s="58" t="s">
        <v>107</v>
      </c>
      <c r="K244" s="61" t="s">
        <v>108</v>
      </c>
      <c r="L244" s="64">
        <v>45546.650671296302</v>
      </c>
      <c r="M244" s="64">
        <v>45604.767453703702</v>
      </c>
    </row>
    <row r="245" spans="1:31" s="38" customFormat="1" ht="14.4" customHeight="1" x14ac:dyDescent="0.25">
      <c r="A245" s="44">
        <v>244</v>
      </c>
      <c r="B245" s="45" t="s">
        <v>85</v>
      </c>
      <c r="C245" s="46" t="s">
        <v>264</v>
      </c>
      <c r="D245" s="38" t="s">
        <v>167</v>
      </c>
      <c r="E245" s="38" t="s">
        <v>106</v>
      </c>
      <c r="F245" s="64">
        <v>45745.6938310185</v>
      </c>
      <c r="G245" s="64">
        <v>45743.693935185198</v>
      </c>
      <c r="H245" s="59" t="s">
        <v>90</v>
      </c>
      <c r="I245" s="60">
        <v>12000</v>
      </c>
      <c r="J245" s="58" t="s">
        <v>107</v>
      </c>
      <c r="K245" s="61" t="s">
        <v>108</v>
      </c>
      <c r="L245" s="64">
        <v>45546.650810185201</v>
      </c>
      <c r="M245" s="64">
        <v>45604.767326388901</v>
      </c>
    </row>
    <row r="246" spans="1:31" s="38" customFormat="1" ht="14.4" customHeight="1" x14ac:dyDescent="0.25">
      <c r="A246" s="44">
        <v>245</v>
      </c>
      <c r="B246" s="45" t="s">
        <v>85</v>
      </c>
      <c r="C246" s="46" t="s">
        <v>264</v>
      </c>
      <c r="D246" s="38" t="s">
        <v>168</v>
      </c>
      <c r="E246" s="38" t="s">
        <v>106</v>
      </c>
      <c r="F246" s="64">
        <v>45634.719039351898</v>
      </c>
      <c r="G246" s="64">
        <v>45632.7191550926</v>
      </c>
      <c r="H246" s="59" t="s">
        <v>90</v>
      </c>
      <c r="I246" s="60">
        <v>12000</v>
      </c>
      <c r="J246" s="58" t="s">
        <v>107</v>
      </c>
      <c r="K246" s="61" t="s">
        <v>108</v>
      </c>
      <c r="L246" s="64">
        <v>45546.650740740697</v>
      </c>
      <c r="M246" s="64">
        <v>45604.767337963</v>
      </c>
    </row>
    <row r="247" spans="1:31" s="38" customFormat="1" ht="14.4" customHeight="1" x14ac:dyDescent="0.25">
      <c r="A247" s="44">
        <v>246</v>
      </c>
      <c r="B247" s="45" t="s">
        <v>85</v>
      </c>
      <c r="C247" s="46" t="s">
        <v>264</v>
      </c>
      <c r="D247" s="38" t="s">
        <v>169</v>
      </c>
      <c r="E247" s="38" t="s">
        <v>106</v>
      </c>
      <c r="F247" s="64">
        <v>45634.726076388899</v>
      </c>
      <c r="G247" s="64">
        <v>45632.726180555597</v>
      </c>
      <c r="H247" s="59" t="s">
        <v>90</v>
      </c>
      <c r="I247" s="60">
        <v>12000</v>
      </c>
      <c r="J247" s="58" t="s">
        <v>107</v>
      </c>
      <c r="K247" s="61" t="s">
        <v>108</v>
      </c>
      <c r="L247" s="64">
        <v>45546.650671296302</v>
      </c>
      <c r="M247" s="64">
        <v>45604.767453703702</v>
      </c>
    </row>
    <row r="248" spans="1:31" s="38" customFormat="1" ht="14.4" customHeight="1" x14ac:dyDescent="0.25">
      <c r="A248" s="44">
        <v>247</v>
      </c>
      <c r="B248" s="45" t="s">
        <v>85</v>
      </c>
      <c r="C248" s="46" t="s">
        <v>264</v>
      </c>
      <c r="D248" s="38" t="s">
        <v>170</v>
      </c>
      <c r="E248" s="38" t="s">
        <v>106</v>
      </c>
      <c r="F248" s="64">
        <v>45634.726145833301</v>
      </c>
      <c r="G248" s="64">
        <v>45632.72625</v>
      </c>
      <c r="H248" s="59" t="s">
        <v>90</v>
      </c>
      <c r="I248" s="60">
        <v>12000</v>
      </c>
      <c r="J248" s="58" t="s">
        <v>107</v>
      </c>
      <c r="K248" s="61" t="s">
        <v>108</v>
      </c>
      <c r="L248" s="64">
        <v>45546.650925925896</v>
      </c>
      <c r="M248" s="64">
        <v>45604.767708333296</v>
      </c>
    </row>
    <row r="249" spans="1:31" s="38" customFormat="1" ht="14.4" customHeight="1" x14ac:dyDescent="0.25">
      <c r="A249" s="44">
        <v>248</v>
      </c>
      <c r="B249" s="45" t="s">
        <v>85</v>
      </c>
      <c r="C249" s="46" t="s">
        <v>264</v>
      </c>
      <c r="D249" s="38" t="s">
        <v>171</v>
      </c>
      <c r="E249" s="38" t="s">
        <v>106</v>
      </c>
      <c r="F249" s="64">
        <v>45634.726076388899</v>
      </c>
      <c r="G249" s="64">
        <v>45632.726180555597</v>
      </c>
      <c r="H249" s="59" t="s">
        <v>90</v>
      </c>
      <c r="I249" s="60">
        <v>12000</v>
      </c>
      <c r="J249" s="58" t="s">
        <v>107</v>
      </c>
      <c r="K249" s="61" t="s">
        <v>108</v>
      </c>
      <c r="L249" s="64">
        <v>45546.650983796302</v>
      </c>
      <c r="M249" s="64">
        <v>45604.767835648097</v>
      </c>
    </row>
    <row r="250" spans="1:31" s="38" customFormat="1" ht="14.4" customHeight="1" x14ac:dyDescent="0.25">
      <c r="A250" s="44">
        <v>249</v>
      </c>
      <c r="B250" s="45" t="s">
        <v>85</v>
      </c>
      <c r="C250" s="46" t="s">
        <v>264</v>
      </c>
      <c r="D250" s="38" t="s">
        <v>172</v>
      </c>
      <c r="E250" s="38" t="s">
        <v>106</v>
      </c>
      <c r="F250" s="64">
        <v>45996.882175925901</v>
      </c>
      <c r="G250" s="64">
        <v>45995.8823148148</v>
      </c>
      <c r="H250" s="59" t="s">
        <v>90</v>
      </c>
      <c r="I250" s="60">
        <v>12000</v>
      </c>
      <c r="J250" s="58" t="s">
        <v>107</v>
      </c>
      <c r="K250" s="61" t="s">
        <v>265</v>
      </c>
      <c r="L250" s="64">
        <v>45617.702071759297</v>
      </c>
      <c r="M250" s="64">
        <v>45618.630046296297</v>
      </c>
      <c r="N250" s="38" t="s">
        <v>146</v>
      </c>
      <c r="O250" s="64">
        <v>45621.834027777797</v>
      </c>
      <c r="P250" s="64">
        <v>45620.834143518499</v>
      </c>
      <c r="Q250" s="38" t="s">
        <v>127</v>
      </c>
      <c r="R250" s="64">
        <v>45706.75</v>
      </c>
      <c r="S250" s="64">
        <v>45706.604166666701</v>
      </c>
      <c r="T250" s="38" t="s">
        <v>108</v>
      </c>
      <c r="U250" s="64">
        <v>45728.677152777796</v>
      </c>
      <c r="V250" s="64">
        <v>45729.479166666701</v>
      </c>
      <c r="W250" s="38" t="s">
        <v>106</v>
      </c>
      <c r="X250" s="64">
        <v>45745.882210648102</v>
      </c>
      <c r="Y250" s="64">
        <v>45744.882326388899</v>
      </c>
      <c r="Z250" s="58" t="s">
        <v>266</v>
      </c>
      <c r="AA250" s="64">
        <v>45860.383449074099</v>
      </c>
      <c r="AB250" s="64">
        <v>45860.770949074104</v>
      </c>
      <c r="AC250" s="38" t="s">
        <v>108</v>
      </c>
      <c r="AD250" s="64">
        <v>45989</v>
      </c>
      <c r="AE250" s="64">
        <v>45989.788935185199</v>
      </c>
    </row>
    <row r="251" spans="1:31" s="38" customFormat="1" ht="14.4" customHeight="1" x14ac:dyDescent="0.25">
      <c r="A251" s="44">
        <v>250</v>
      </c>
      <c r="B251" s="45" t="s">
        <v>85</v>
      </c>
      <c r="C251" s="46" t="s">
        <v>264</v>
      </c>
      <c r="D251" s="38" t="s">
        <v>173</v>
      </c>
      <c r="E251" s="38" t="s">
        <v>106</v>
      </c>
      <c r="F251" s="64">
        <v>45896.723263888904</v>
      </c>
      <c r="G251" s="64">
        <v>45894.723333333299</v>
      </c>
      <c r="H251" s="59" t="s">
        <v>90</v>
      </c>
      <c r="I251" s="60">
        <v>12000</v>
      </c>
      <c r="J251" s="58" t="s">
        <v>107</v>
      </c>
      <c r="K251" s="38" t="s">
        <v>108</v>
      </c>
      <c r="L251" s="64">
        <v>45863.713391203702</v>
      </c>
      <c r="M251" s="64">
        <v>45867.771030092597</v>
      </c>
    </row>
    <row r="252" spans="1:31" s="38" customFormat="1" ht="14.4" customHeight="1" x14ac:dyDescent="0.25">
      <c r="A252" s="44">
        <v>251</v>
      </c>
      <c r="B252" s="45" t="s">
        <v>85</v>
      </c>
      <c r="C252" s="46" t="s">
        <v>264</v>
      </c>
      <c r="D252" s="38" t="s">
        <v>174</v>
      </c>
      <c r="E252" s="38" t="s">
        <v>106</v>
      </c>
      <c r="F252" s="64">
        <v>45896.726736111101</v>
      </c>
      <c r="G252" s="64">
        <v>45894.726817129602</v>
      </c>
      <c r="H252" s="59" t="s">
        <v>90</v>
      </c>
      <c r="I252" s="60">
        <v>12000</v>
      </c>
      <c r="J252" s="58" t="s">
        <v>107</v>
      </c>
      <c r="K252" s="38" t="s">
        <v>108</v>
      </c>
      <c r="L252" s="64">
        <v>45863.713391203702</v>
      </c>
      <c r="M252" s="64">
        <v>45867.771030092597</v>
      </c>
    </row>
    <row r="253" spans="1:31" s="38" customFormat="1" ht="14.4" customHeight="1" x14ac:dyDescent="0.25">
      <c r="A253" s="44">
        <v>252</v>
      </c>
      <c r="B253" s="45" t="s">
        <v>85</v>
      </c>
      <c r="C253" s="46" t="s">
        <v>264</v>
      </c>
      <c r="D253" s="38" t="s">
        <v>175</v>
      </c>
      <c r="E253" s="38" t="s">
        <v>106</v>
      </c>
      <c r="F253" s="64">
        <v>45896.730335648099</v>
      </c>
      <c r="G253" s="64">
        <v>45894.730416666702</v>
      </c>
      <c r="H253" s="59" t="s">
        <v>90</v>
      </c>
      <c r="I253" s="60">
        <v>12000</v>
      </c>
      <c r="J253" s="58" t="s">
        <v>107</v>
      </c>
      <c r="K253" s="38" t="s">
        <v>108</v>
      </c>
      <c r="L253" s="64">
        <v>45863.713391203702</v>
      </c>
      <c r="M253" s="64">
        <v>45867.771030092597</v>
      </c>
    </row>
    <row r="254" spans="1:31" s="38" customFormat="1" ht="14.4" customHeight="1" x14ac:dyDescent="0.25">
      <c r="A254" s="44">
        <v>253</v>
      </c>
      <c r="B254" s="45" t="s">
        <v>85</v>
      </c>
      <c r="C254" s="46" t="s">
        <v>264</v>
      </c>
      <c r="D254" s="38" t="s">
        <v>176</v>
      </c>
      <c r="E254" s="38" t="s">
        <v>106</v>
      </c>
      <c r="F254" s="64">
        <v>45896.726793981499</v>
      </c>
      <c r="G254" s="64">
        <v>45894.726875</v>
      </c>
      <c r="H254" s="59" t="s">
        <v>90</v>
      </c>
      <c r="I254" s="60">
        <v>12000</v>
      </c>
      <c r="J254" s="58" t="s">
        <v>107</v>
      </c>
      <c r="K254" s="38" t="s">
        <v>108</v>
      </c>
      <c r="L254" s="64">
        <v>45863.713391203702</v>
      </c>
      <c r="M254" s="64">
        <v>45867.771030092597</v>
      </c>
    </row>
    <row r="255" spans="1:31" s="38" customFormat="1" ht="14.4" customHeight="1" x14ac:dyDescent="0.25">
      <c r="A255" s="44">
        <v>254</v>
      </c>
      <c r="B255" s="45" t="s">
        <v>85</v>
      </c>
      <c r="C255" s="46" t="s">
        <v>264</v>
      </c>
      <c r="D255" s="38" t="s">
        <v>177</v>
      </c>
      <c r="E255" s="38" t="s">
        <v>127</v>
      </c>
      <c r="F255" s="64">
        <v>45814.618182870399</v>
      </c>
      <c r="G255" s="64">
        <v>45819.369976851798</v>
      </c>
      <c r="H255" s="59" t="s">
        <v>90</v>
      </c>
      <c r="I255" s="60">
        <v>12000</v>
      </c>
      <c r="J255" s="58" t="s">
        <v>107</v>
      </c>
      <c r="K255" s="65" t="s">
        <v>108</v>
      </c>
      <c r="L255" s="64">
        <v>45793.684976851902</v>
      </c>
      <c r="M255" s="64">
        <v>45794.750254629602</v>
      </c>
    </row>
    <row r="256" spans="1:31" s="38" customFormat="1" ht="14.4" customHeight="1" x14ac:dyDescent="0.25">
      <c r="A256" s="44">
        <v>255</v>
      </c>
      <c r="B256" s="45" t="s">
        <v>85</v>
      </c>
      <c r="C256" s="46" t="s">
        <v>264</v>
      </c>
      <c r="D256" s="38" t="s">
        <v>178</v>
      </c>
      <c r="E256" s="61" t="s">
        <v>265</v>
      </c>
      <c r="F256" s="64">
        <v>45611.575995370396</v>
      </c>
      <c r="G256" s="64">
        <v>45611.7244444444</v>
      </c>
      <c r="H256" s="54" t="s">
        <v>88</v>
      </c>
      <c r="I256" s="55">
        <v>16000</v>
      </c>
      <c r="J256" s="58" t="s">
        <v>107</v>
      </c>
      <c r="K256" s="62"/>
      <c r="L256" s="63"/>
      <c r="M256" s="57"/>
    </row>
    <row r="257" spans="1:31" s="38" customFormat="1" ht="14.4" customHeight="1" x14ac:dyDescent="0.25">
      <c r="A257" s="44">
        <v>256</v>
      </c>
      <c r="B257" s="45" t="s">
        <v>85</v>
      </c>
      <c r="C257" s="46" t="s">
        <v>264</v>
      </c>
      <c r="D257" s="38" t="s">
        <v>179</v>
      </c>
      <c r="E257" s="38" t="s">
        <v>106</v>
      </c>
      <c r="F257" s="64">
        <v>45745.702939814801</v>
      </c>
      <c r="G257" s="64">
        <v>45743.703055555598</v>
      </c>
      <c r="H257" s="59" t="s">
        <v>90</v>
      </c>
      <c r="I257" s="60">
        <v>12000</v>
      </c>
      <c r="J257" s="58" t="s">
        <v>107</v>
      </c>
      <c r="K257" s="61" t="s">
        <v>108</v>
      </c>
      <c r="L257" s="64">
        <v>45546.651342592602</v>
      </c>
      <c r="M257" s="64">
        <v>45604.768194444398</v>
      </c>
    </row>
    <row r="258" spans="1:31" s="38" customFormat="1" ht="14.4" customHeight="1" x14ac:dyDescent="0.25">
      <c r="A258" s="44">
        <v>257</v>
      </c>
      <c r="B258" s="45" t="s">
        <v>85</v>
      </c>
      <c r="C258" s="46" t="s">
        <v>264</v>
      </c>
      <c r="D258" s="38" t="s">
        <v>180</v>
      </c>
      <c r="E258" s="38" t="s">
        <v>106</v>
      </c>
      <c r="F258" s="64">
        <v>45745.7044328704</v>
      </c>
      <c r="G258" s="64">
        <v>45743.704548611102</v>
      </c>
      <c r="H258" s="59" t="s">
        <v>90</v>
      </c>
      <c r="I258" s="60">
        <v>12000</v>
      </c>
      <c r="J258" s="58" t="s">
        <v>107</v>
      </c>
      <c r="K258" s="61" t="s">
        <v>108</v>
      </c>
      <c r="L258" s="64">
        <v>45546.651342592602</v>
      </c>
      <c r="M258" s="64">
        <v>45604.768194444398</v>
      </c>
    </row>
    <row r="259" spans="1:31" s="38" customFormat="1" ht="14.4" customHeight="1" x14ac:dyDescent="0.25">
      <c r="A259" s="44">
        <v>258</v>
      </c>
      <c r="B259" s="45" t="s">
        <v>85</v>
      </c>
      <c r="C259" s="46" t="s">
        <v>264</v>
      </c>
      <c r="D259" s="38" t="s">
        <v>181</v>
      </c>
      <c r="E259" s="38" t="s">
        <v>106</v>
      </c>
      <c r="F259" s="64">
        <v>45746.779594907399</v>
      </c>
      <c r="G259" s="64">
        <v>45744.779699074097</v>
      </c>
      <c r="H259" s="59" t="s">
        <v>90</v>
      </c>
      <c r="I259" s="60">
        <v>12000</v>
      </c>
      <c r="J259" s="58" t="s">
        <v>107</v>
      </c>
      <c r="K259" s="61" t="s">
        <v>108</v>
      </c>
      <c r="L259" s="64">
        <v>45546.651342592602</v>
      </c>
      <c r="M259" s="64">
        <v>45604.768194444398</v>
      </c>
    </row>
    <row r="260" spans="1:31" s="38" customFormat="1" ht="14.4" customHeight="1" x14ac:dyDescent="0.25">
      <c r="A260" s="44">
        <v>259</v>
      </c>
      <c r="B260" s="45" t="s">
        <v>85</v>
      </c>
      <c r="C260" s="46" t="s">
        <v>264</v>
      </c>
      <c r="D260" s="38" t="s">
        <v>182</v>
      </c>
      <c r="E260" s="38" t="s">
        <v>106</v>
      </c>
      <c r="F260" s="64">
        <v>45746.786666666703</v>
      </c>
      <c r="G260" s="64">
        <v>45744.7867708333</v>
      </c>
      <c r="H260" s="59" t="s">
        <v>90</v>
      </c>
      <c r="I260" s="60">
        <v>12000</v>
      </c>
      <c r="J260" s="58" t="s">
        <v>107</v>
      </c>
      <c r="K260" s="61" t="s">
        <v>108</v>
      </c>
      <c r="L260" s="64">
        <v>45546.651342592602</v>
      </c>
      <c r="M260" s="64">
        <v>45604.768194444398</v>
      </c>
    </row>
    <row r="261" spans="1:31" s="38" customFormat="1" ht="14.4" customHeight="1" x14ac:dyDescent="0.25">
      <c r="A261" s="44">
        <v>260</v>
      </c>
      <c r="B261" s="45" t="s">
        <v>85</v>
      </c>
      <c r="C261" s="46" t="s">
        <v>264</v>
      </c>
      <c r="D261" s="38" t="s">
        <v>183</v>
      </c>
      <c r="E261" s="38" t="s">
        <v>106</v>
      </c>
      <c r="F261" s="64">
        <v>45634.715960648202</v>
      </c>
      <c r="G261" s="64">
        <v>45632.716076388897</v>
      </c>
      <c r="H261" s="59" t="s">
        <v>90</v>
      </c>
      <c r="I261" s="60">
        <v>12000</v>
      </c>
      <c r="J261" s="58" t="s">
        <v>107</v>
      </c>
      <c r="K261" s="61" t="s">
        <v>108</v>
      </c>
      <c r="L261" s="64">
        <v>45546.651307870401</v>
      </c>
      <c r="M261" s="64">
        <v>45604.768553240698</v>
      </c>
    </row>
    <row r="262" spans="1:31" s="38" customFormat="1" ht="14.4" customHeight="1" x14ac:dyDescent="0.25">
      <c r="A262" s="44">
        <v>261</v>
      </c>
      <c r="B262" s="45" t="s">
        <v>85</v>
      </c>
      <c r="C262" s="46" t="s">
        <v>264</v>
      </c>
      <c r="D262" s="38" t="s">
        <v>184</v>
      </c>
      <c r="E262" s="38" t="s">
        <v>106</v>
      </c>
      <c r="F262" s="64">
        <v>45634.7265625</v>
      </c>
      <c r="G262" s="64">
        <v>45632.726678240702</v>
      </c>
      <c r="H262" s="59" t="s">
        <v>90</v>
      </c>
      <c r="I262" s="60">
        <v>12000</v>
      </c>
      <c r="J262" s="58" t="s">
        <v>107</v>
      </c>
      <c r="K262" s="61" t="s">
        <v>108</v>
      </c>
      <c r="L262" s="64">
        <v>45546.651342592602</v>
      </c>
      <c r="M262" s="64">
        <v>45604.768194444398</v>
      </c>
    </row>
    <row r="263" spans="1:31" s="38" customFormat="1" ht="14.4" customHeight="1" x14ac:dyDescent="0.25">
      <c r="A263" s="44">
        <v>262</v>
      </c>
      <c r="B263" s="45" t="s">
        <v>85</v>
      </c>
      <c r="C263" s="46" t="s">
        <v>264</v>
      </c>
      <c r="D263" s="38" t="s">
        <v>185</v>
      </c>
      <c r="E263" s="38" t="s">
        <v>106</v>
      </c>
      <c r="F263" s="64">
        <v>45634.730138888903</v>
      </c>
      <c r="G263" s="64">
        <v>45632.730254629598</v>
      </c>
      <c r="H263" s="59" t="s">
        <v>90</v>
      </c>
      <c r="I263" s="60">
        <v>12000</v>
      </c>
      <c r="J263" s="58" t="s">
        <v>107</v>
      </c>
      <c r="K263" s="61" t="s">
        <v>108</v>
      </c>
      <c r="L263" s="64">
        <v>45546.654641203699</v>
      </c>
      <c r="M263" s="64">
        <v>45604.768796296303</v>
      </c>
    </row>
    <row r="264" spans="1:31" s="38" customFormat="1" ht="14.4" customHeight="1" x14ac:dyDescent="0.25">
      <c r="A264" s="44">
        <v>263</v>
      </c>
      <c r="B264" s="45" t="s">
        <v>85</v>
      </c>
      <c r="C264" s="46" t="s">
        <v>264</v>
      </c>
      <c r="D264" s="38" t="s">
        <v>186</v>
      </c>
      <c r="E264" s="38" t="s">
        <v>106</v>
      </c>
      <c r="F264" s="64">
        <v>45634.733749999999</v>
      </c>
      <c r="G264" s="64">
        <v>45632.733865740702</v>
      </c>
      <c r="H264" s="59" t="s">
        <v>90</v>
      </c>
      <c r="I264" s="60">
        <v>12000</v>
      </c>
      <c r="J264" s="58" t="s">
        <v>107</v>
      </c>
      <c r="K264" s="61" t="s">
        <v>108</v>
      </c>
      <c r="L264" s="64">
        <v>45546.6547222222</v>
      </c>
      <c r="M264" s="64">
        <v>45604.768935185202</v>
      </c>
    </row>
    <row r="265" spans="1:31" s="38" customFormat="1" ht="14.4" customHeight="1" x14ac:dyDescent="0.25">
      <c r="A265" s="44">
        <v>264</v>
      </c>
      <c r="B265" s="45" t="s">
        <v>85</v>
      </c>
      <c r="C265" s="46" t="s">
        <v>264</v>
      </c>
      <c r="D265" s="38" t="s">
        <v>187</v>
      </c>
      <c r="E265" s="38" t="s">
        <v>106</v>
      </c>
      <c r="F265" s="64">
        <v>45634.730277777802</v>
      </c>
      <c r="G265" s="64">
        <v>45632.730393518497</v>
      </c>
      <c r="H265" s="59" t="s">
        <v>90</v>
      </c>
      <c r="I265" s="60">
        <v>12000</v>
      </c>
      <c r="J265" s="58" t="s">
        <v>107</v>
      </c>
      <c r="K265" s="61" t="s">
        <v>108</v>
      </c>
      <c r="L265" s="64">
        <v>45546.654791666697</v>
      </c>
      <c r="M265" s="64">
        <v>45604.769085648099</v>
      </c>
    </row>
    <row r="266" spans="1:31" s="38" customFormat="1" ht="14.4" customHeight="1" x14ac:dyDescent="0.25">
      <c r="A266" s="44">
        <v>265</v>
      </c>
      <c r="B266" s="45" t="s">
        <v>85</v>
      </c>
      <c r="C266" s="46" t="s">
        <v>264</v>
      </c>
      <c r="D266" s="38" t="s">
        <v>188</v>
      </c>
      <c r="E266" s="38" t="s">
        <v>106</v>
      </c>
      <c r="F266" s="64">
        <v>45634.733425925901</v>
      </c>
      <c r="G266" s="64">
        <v>45632.733541666697</v>
      </c>
      <c r="H266" s="59" t="s">
        <v>90</v>
      </c>
      <c r="I266" s="60">
        <v>12000</v>
      </c>
      <c r="J266" s="58" t="s">
        <v>107</v>
      </c>
      <c r="K266" s="61" t="s">
        <v>108</v>
      </c>
      <c r="L266" s="64">
        <v>45617.612627314797</v>
      </c>
      <c r="M266" s="64">
        <v>45618.630127314798</v>
      </c>
    </row>
    <row r="267" spans="1:31" s="38" customFormat="1" ht="14.4" customHeight="1" x14ac:dyDescent="0.25">
      <c r="A267" s="44">
        <v>266</v>
      </c>
      <c r="B267" s="45" t="s">
        <v>85</v>
      </c>
      <c r="C267" s="46" t="s">
        <v>264</v>
      </c>
      <c r="D267" s="38" t="s">
        <v>189</v>
      </c>
      <c r="E267" s="38" t="s">
        <v>106</v>
      </c>
      <c r="F267" s="64">
        <v>45993.882187499999</v>
      </c>
      <c r="G267" s="64">
        <v>45992.882326388899</v>
      </c>
      <c r="H267" s="59" t="s">
        <v>90</v>
      </c>
      <c r="I267" s="60">
        <v>12000</v>
      </c>
      <c r="J267" s="58" t="s">
        <v>107</v>
      </c>
      <c r="K267" s="61" t="s">
        <v>265</v>
      </c>
      <c r="L267" s="64">
        <v>45617.702372685198</v>
      </c>
      <c r="M267" s="64">
        <v>45618.630208333299</v>
      </c>
      <c r="N267" s="38" t="s">
        <v>146</v>
      </c>
      <c r="O267" s="64">
        <v>45621.834027777797</v>
      </c>
      <c r="P267" s="64">
        <v>45620.834143518499</v>
      </c>
      <c r="Q267" s="38" t="s">
        <v>127</v>
      </c>
      <c r="R267" s="64">
        <v>45706.75</v>
      </c>
      <c r="S267" s="64">
        <v>45706.604166666701</v>
      </c>
      <c r="T267" s="38" t="s">
        <v>108</v>
      </c>
      <c r="U267" s="64">
        <v>45728.677152777796</v>
      </c>
      <c r="V267" s="64">
        <v>45729.479166666701</v>
      </c>
      <c r="W267" s="38" t="s">
        <v>106</v>
      </c>
      <c r="X267" s="64">
        <v>45745.882210648102</v>
      </c>
      <c r="Y267" s="64">
        <v>45744.882326388899</v>
      </c>
      <c r="Z267" s="58" t="s">
        <v>266</v>
      </c>
      <c r="AA267" s="64">
        <v>45801.618333333303</v>
      </c>
      <c r="AB267" s="64">
        <v>45812.771111111098</v>
      </c>
      <c r="AC267" s="38" t="s">
        <v>108</v>
      </c>
      <c r="AD267" s="64">
        <v>45989</v>
      </c>
      <c r="AE267" s="64">
        <v>45989.7890162037</v>
      </c>
    </row>
    <row r="268" spans="1:31" s="38" customFormat="1" ht="14.4" customHeight="1" x14ac:dyDescent="0.25">
      <c r="A268" s="44">
        <v>267</v>
      </c>
      <c r="B268" s="45" t="s">
        <v>85</v>
      </c>
      <c r="C268" s="46" t="s">
        <v>264</v>
      </c>
      <c r="D268" s="38" t="s">
        <v>190</v>
      </c>
      <c r="E268" s="38" t="s">
        <v>106</v>
      </c>
      <c r="F268" s="64">
        <v>45829.882164351897</v>
      </c>
      <c r="G268" s="64">
        <v>45828.882233796299</v>
      </c>
      <c r="H268" s="59" t="s">
        <v>90</v>
      </c>
      <c r="I268" s="60">
        <v>12000</v>
      </c>
      <c r="J268" s="58" t="s">
        <v>107</v>
      </c>
      <c r="K268" s="61" t="s">
        <v>108</v>
      </c>
      <c r="L268" s="64">
        <v>45806.587708333303</v>
      </c>
      <c r="M268" s="64">
        <v>45812.771111111098</v>
      </c>
    </row>
    <row r="269" spans="1:31" s="38" customFormat="1" ht="14.4" customHeight="1" x14ac:dyDescent="0.25">
      <c r="A269" s="44">
        <v>268</v>
      </c>
      <c r="B269" s="45" t="s">
        <v>85</v>
      </c>
      <c r="C269" s="46" t="s">
        <v>264</v>
      </c>
      <c r="D269" s="38" t="s">
        <v>191</v>
      </c>
      <c r="E269" s="38" t="s">
        <v>106</v>
      </c>
      <c r="F269" s="64">
        <v>46017.634108796301</v>
      </c>
      <c r="G269" s="64">
        <v>46015.634247685201</v>
      </c>
      <c r="H269" s="59" t="s">
        <v>90</v>
      </c>
      <c r="I269" s="60">
        <v>12000</v>
      </c>
      <c r="J269" s="58" t="s">
        <v>107</v>
      </c>
      <c r="K269" s="61" t="s">
        <v>108</v>
      </c>
      <c r="L269" s="64">
        <v>45806.587708333303</v>
      </c>
      <c r="M269" s="64">
        <v>45812.771111111098</v>
      </c>
    </row>
    <row r="270" spans="1:31" s="38" customFormat="1" ht="14.4" customHeight="1" x14ac:dyDescent="0.25">
      <c r="A270" s="44">
        <v>269</v>
      </c>
      <c r="B270" s="45" t="s">
        <v>85</v>
      </c>
      <c r="C270" s="46" t="s">
        <v>264</v>
      </c>
      <c r="D270" s="38" t="s">
        <v>192</v>
      </c>
      <c r="E270" s="38" t="s">
        <v>106</v>
      </c>
      <c r="F270" s="64">
        <v>45896.733946759297</v>
      </c>
      <c r="G270" s="64">
        <v>45894.7340162037</v>
      </c>
      <c r="H270" s="59" t="s">
        <v>90</v>
      </c>
      <c r="I270" s="60">
        <v>12000</v>
      </c>
      <c r="J270" s="58" t="s">
        <v>107</v>
      </c>
      <c r="K270" s="38" t="s">
        <v>108</v>
      </c>
      <c r="L270" s="64">
        <v>45863.713391203702</v>
      </c>
      <c r="M270" s="64">
        <v>45867.771030092597</v>
      </c>
    </row>
    <row r="271" spans="1:31" s="38" customFormat="1" ht="14.4" customHeight="1" x14ac:dyDescent="0.25">
      <c r="A271" s="44">
        <v>270</v>
      </c>
      <c r="B271" s="45" t="s">
        <v>85</v>
      </c>
      <c r="C271" s="46" t="s">
        <v>264</v>
      </c>
      <c r="D271" s="38" t="s">
        <v>193</v>
      </c>
      <c r="E271" s="38" t="s">
        <v>106</v>
      </c>
      <c r="F271" s="64">
        <v>45896.737129629597</v>
      </c>
      <c r="G271" s="64">
        <v>45894.737210648098</v>
      </c>
      <c r="H271" s="59" t="s">
        <v>90</v>
      </c>
      <c r="I271" s="60">
        <v>12000</v>
      </c>
      <c r="J271" s="58" t="s">
        <v>107</v>
      </c>
      <c r="K271" s="38" t="s">
        <v>108</v>
      </c>
      <c r="L271" s="64">
        <v>45863.713391203702</v>
      </c>
      <c r="M271" s="64">
        <v>45867.771030092597</v>
      </c>
    </row>
    <row r="272" spans="1:31" s="38" customFormat="1" ht="14.4" customHeight="1" x14ac:dyDescent="0.25">
      <c r="A272" s="44">
        <v>271</v>
      </c>
      <c r="B272" s="45" t="s">
        <v>85</v>
      </c>
      <c r="C272" s="46" t="s">
        <v>264</v>
      </c>
      <c r="D272" s="38" t="s">
        <v>194</v>
      </c>
      <c r="E272" s="38" t="s">
        <v>106</v>
      </c>
      <c r="F272" s="64">
        <v>45896.730335648099</v>
      </c>
      <c r="G272" s="64">
        <v>45894.731215277803</v>
      </c>
      <c r="H272" s="59" t="s">
        <v>90</v>
      </c>
      <c r="I272" s="60">
        <v>12000</v>
      </c>
      <c r="J272" s="58" t="s">
        <v>107</v>
      </c>
      <c r="K272" s="38" t="s">
        <v>108</v>
      </c>
      <c r="L272" s="64">
        <v>45863.713391203702</v>
      </c>
      <c r="M272" s="64">
        <v>45867.771030092597</v>
      </c>
    </row>
    <row r="273" spans="1:22" s="38" customFormat="1" ht="14.4" customHeight="1" x14ac:dyDescent="0.25">
      <c r="A273" s="44">
        <v>272</v>
      </c>
      <c r="B273" s="45" t="s">
        <v>85</v>
      </c>
      <c r="C273" s="46" t="s">
        <v>264</v>
      </c>
      <c r="D273" s="38" t="s">
        <v>195</v>
      </c>
      <c r="E273" s="38" t="s">
        <v>106</v>
      </c>
      <c r="F273" s="64">
        <v>45896.730335648099</v>
      </c>
      <c r="G273" s="64">
        <v>45894.730416666702</v>
      </c>
      <c r="H273" s="59" t="s">
        <v>90</v>
      </c>
      <c r="I273" s="60">
        <v>12000</v>
      </c>
      <c r="J273" s="58" t="s">
        <v>107</v>
      </c>
      <c r="K273" s="38" t="s">
        <v>108</v>
      </c>
      <c r="L273" s="64">
        <v>45863.713391203702</v>
      </c>
      <c r="M273" s="64">
        <v>45867.771030092597</v>
      </c>
    </row>
    <row r="274" spans="1:22" s="38" customFormat="1" ht="14.4" customHeight="1" x14ac:dyDescent="0.25">
      <c r="A274" s="44">
        <v>273</v>
      </c>
      <c r="B274" s="45" t="s">
        <v>85</v>
      </c>
      <c r="C274" s="46" t="s">
        <v>264</v>
      </c>
      <c r="D274" s="38" t="s">
        <v>196</v>
      </c>
      <c r="E274" s="38" t="s">
        <v>106</v>
      </c>
      <c r="F274" s="64">
        <v>45746.783125000002</v>
      </c>
      <c r="G274" s="64">
        <v>45744.783240740697</v>
      </c>
      <c r="H274" s="54" t="s">
        <v>88</v>
      </c>
      <c r="I274" s="55">
        <v>16000</v>
      </c>
      <c r="J274" s="58" t="s">
        <v>107</v>
      </c>
      <c r="K274" s="61" t="s">
        <v>265</v>
      </c>
      <c r="L274" s="64">
        <v>45615.620555555601</v>
      </c>
      <c r="M274" s="64">
        <v>45617.470243055599</v>
      </c>
      <c r="N274" s="38" t="s">
        <v>146</v>
      </c>
      <c r="O274" s="64">
        <v>45621.834027777797</v>
      </c>
      <c r="P274" s="64">
        <v>45620.834143518499</v>
      </c>
    </row>
    <row r="275" spans="1:22" s="38" customFormat="1" ht="14.4" customHeight="1" x14ac:dyDescent="0.25">
      <c r="A275" s="44">
        <v>274</v>
      </c>
      <c r="B275" s="45" t="s">
        <v>85</v>
      </c>
      <c r="C275" s="46" t="s">
        <v>264</v>
      </c>
      <c r="D275" s="38" t="s">
        <v>197</v>
      </c>
      <c r="E275" s="38" t="s">
        <v>106</v>
      </c>
      <c r="F275" s="64">
        <v>45746.786666666703</v>
      </c>
      <c r="G275" s="64">
        <v>45744.7867708333</v>
      </c>
      <c r="H275" s="59" t="s">
        <v>90</v>
      </c>
      <c r="I275" s="60">
        <v>12000</v>
      </c>
      <c r="J275" s="58" t="s">
        <v>107</v>
      </c>
      <c r="K275" s="61" t="s">
        <v>108</v>
      </c>
      <c r="L275" s="64">
        <v>45546.655092592599</v>
      </c>
      <c r="M275" s="64">
        <v>45604.769594907397</v>
      </c>
    </row>
    <row r="276" spans="1:22" s="38" customFormat="1" ht="14.4" customHeight="1" x14ac:dyDescent="0.25">
      <c r="A276" s="44">
        <v>275</v>
      </c>
      <c r="B276" s="45" t="s">
        <v>85</v>
      </c>
      <c r="C276" s="46" t="s">
        <v>264</v>
      </c>
      <c r="D276" s="38" t="s">
        <v>198</v>
      </c>
      <c r="E276" s="38" t="s">
        <v>106</v>
      </c>
      <c r="F276" s="64">
        <v>45746.783125000002</v>
      </c>
      <c r="G276" s="64">
        <v>45744.783240740697</v>
      </c>
      <c r="H276" s="59" t="s">
        <v>90</v>
      </c>
      <c r="I276" s="60">
        <v>12000</v>
      </c>
      <c r="J276" s="58" t="s">
        <v>107</v>
      </c>
      <c r="K276" s="61" t="s">
        <v>108</v>
      </c>
      <c r="L276" s="64">
        <v>45546.655162037001</v>
      </c>
      <c r="M276" s="64">
        <v>45604.769722222198</v>
      </c>
    </row>
    <row r="277" spans="1:22" s="38" customFormat="1" ht="14.4" customHeight="1" x14ac:dyDescent="0.25">
      <c r="A277" s="44">
        <v>276</v>
      </c>
      <c r="B277" s="45" t="s">
        <v>85</v>
      </c>
      <c r="C277" s="46" t="s">
        <v>264</v>
      </c>
      <c r="D277" s="38" t="s">
        <v>199</v>
      </c>
      <c r="E277" s="38" t="s">
        <v>106</v>
      </c>
      <c r="F277" s="64">
        <v>45746.779826388898</v>
      </c>
      <c r="G277" s="64">
        <v>45744.779930555596</v>
      </c>
      <c r="H277" s="59" t="s">
        <v>90</v>
      </c>
      <c r="I277" s="60">
        <v>12000</v>
      </c>
      <c r="J277" s="58" t="s">
        <v>107</v>
      </c>
      <c r="K277" s="61" t="s">
        <v>108</v>
      </c>
      <c r="L277" s="64">
        <v>45546.655231481498</v>
      </c>
      <c r="M277" s="64">
        <v>45604.769826388903</v>
      </c>
    </row>
    <row r="278" spans="1:22" s="38" customFormat="1" ht="14.4" customHeight="1" x14ac:dyDescent="0.25">
      <c r="A278" s="44">
        <v>277</v>
      </c>
      <c r="B278" s="45" t="s">
        <v>85</v>
      </c>
      <c r="C278" s="46" t="s">
        <v>264</v>
      </c>
      <c r="D278" s="38" t="s">
        <v>200</v>
      </c>
      <c r="E278" s="38" t="s">
        <v>106</v>
      </c>
      <c r="F278" s="64">
        <v>45746.783148148097</v>
      </c>
      <c r="G278" s="64">
        <v>45744.783263888901</v>
      </c>
      <c r="H278" s="59" t="s">
        <v>90</v>
      </c>
      <c r="I278" s="60">
        <v>12000</v>
      </c>
      <c r="J278" s="58" t="s">
        <v>107</v>
      </c>
      <c r="K278" s="61" t="s">
        <v>108</v>
      </c>
      <c r="L278" s="64">
        <v>45546.655289351896</v>
      </c>
      <c r="M278" s="64">
        <v>45604.769930555602</v>
      </c>
    </row>
    <row r="279" spans="1:22" s="38" customFormat="1" ht="14.4" customHeight="1" x14ac:dyDescent="0.25">
      <c r="A279" s="44">
        <v>278</v>
      </c>
      <c r="B279" s="45" t="s">
        <v>85</v>
      </c>
      <c r="C279" s="46" t="s">
        <v>264</v>
      </c>
      <c r="D279" s="38" t="s">
        <v>201</v>
      </c>
      <c r="E279" s="38" t="s">
        <v>106</v>
      </c>
      <c r="F279" s="64">
        <v>45746.783194444397</v>
      </c>
      <c r="G279" s="64">
        <v>45744.783310185201</v>
      </c>
      <c r="H279" s="59" t="s">
        <v>90</v>
      </c>
      <c r="I279" s="60">
        <v>12000</v>
      </c>
      <c r="J279" s="58" t="s">
        <v>107</v>
      </c>
      <c r="K279" s="61" t="s">
        <v>108</v>
      </c>
      <c r="L279" s="64">
        <v>45546.655092592599</v>
      </c>
      <c r="M279" s="64">
        <v>45604.769594907397</v>
      </c>
    </row>
    <row r="280" spans="1:22" s="38" customFormat="1" ht="14.4" customHeight="1" x14ac:dyDescent="0.25">
      <c r="A280" s="44">
        <v>279</v>
      </c>
      <c r="B280" s="45" t="s">
        <v>85</v>
      </c>
      <c r="C280" s="46" t="s">
        <v>264</v>
      </c>
      <c r="D280" s="38" t="s">
        <v>202</v>
      </c>
      <c r="E280" s="38" t="s">
        <v>106</v>
      </c>
      <c r="F280" s="64">
        <v>45633.670057870397</v>
      </c>
      <c r="G280" s="64">
        <v>45631.670173611099</v>
      </c>
      <c r="H280" s="59" t="s">
        <v>90</v>
      </c>
      <c r="I280" s="60">
        <v>12000</v>
      </c>
      <c r="J280" s="58" t="s">
        <v>107</v>
      </c>
      <c r="K280" s="61" t="s">
        <v>108</v>
      </c>
      <c r="L280" s="64">
        <v>45546.655092592599</v>
      </c>
      <c r="M280" s="64">
        <v>45604.769594907397</v>
      </c>
    </row>
    <row r="281" spans="1:22" s="38" customFormat="1" ht="14.4" customHeight="1" x14ac:dyDescent="0.25">
      <c r="A281" s="44">
        <v>280</v>
      </c>
      <c r="B281" s="45" t="s">
        <v>85</v>
      </c>
      <c r="C281" s="46" t="s">
        <v>264</v>
      </c>
      <c r="D281" s="38" t="s">
        <v>203</v>
      </c>
      <c r="E281" s="38" t="s">
        <v>106</v>
      </c>
      <c r="F281" s="64">
        <v>45633.670057870397</v>
      </c>
      <c r="G281" s="64">
        <v>45631.670173611099</v>
      </c>
      <c r="H281" s="59" t="s">
        <v>90</v>
      </c>
      <c r="I281" s="60">
        <v>12000</v>
      </c>
      <c r="J281" s="58" t="s">
        <v>107</v>
      </c>
      <c r="K281" s="61" t="s">
        <v>108</v>
      </c>
      <c r="L281" s="64">
        <v>45546.655092592599</v>
      </c>
      <c r="M281" s="64">
        <v>45604.769594907397</v>
      </c>
    </row>
    <row r="282" spans="1:22" s="38" customFormat="1" ht="14.4" customHeight="1" x14ac:dyDescent="0.25">
      <c r="A282" s="44">
        <v>281</v>
      </c>
      <c r="B282" s="45" t="s">
        <v>85</v>
      </c>
      <c r="C282" s="46" t="s">
        <v>264</v>
      </c>
      <c r="D282" s="38" t="s">
        <v>204</v>
      </c>
      <c r="E282" s="38" t="s">
        <v>106</v>
      </c>
      <c r="F282" s="64">
        <v>45633.670115740701</v>
      </c>
      <c r="G282" s="64">
        <v>45631.670219907399</v>
      </c>
      <c r="H282" s="59" t="s">
        <v>90</v>
      </c>
      <c r="I282" s="60">
        <v>12000</v>
      </c>
      <c r="J282" s="58" t="s">
        <v>107</v>
      </c>
      <c r="K282" s="61" t="s">
        <v>108</v>
      </c>
      <c r="L282" s="64">
        <v>45546.655092592599</v>
      </c>
      <c r="M282" s="64">
        <v>45604.769594907397</v>
      </c>
    </row>
    <row r="283" spans="1:22" s="38" customFormat="1" ht="14.4" customHeight="1" x14ac:dyDescent="0.25">
      <c r="A283" s="44">
        <v>282</v>
      </c>
      <c r="B283" s="45" t="s">
        <v>85</v>
      </c>
      <c r="C283" s="46" t="s">
        <v>264</v>
      </c>
      <c r="D283" s="38" t="s">
        <v>205</v>
      </c>
      <c r="E283" s="38" t="s">
        <v>106</v>
      </c>
      <c r="F283" s="64">
        <v>45633.670057870397</v>
      </c>
      <c r="G283" s="64">
        <v>45631.670173611099</v>
      </c>
      <c r="H283" s="59" t="s">
        <v>90</v>
      </c>
      <c r="I283" s="60">
        <v>12000</v>
      </c>
      <c r="J283" s="58" t="s">
        <v>107</v>
      </c>
      <c r="K283" s="61" t="s">
        <v>108</v>
      </c>
      <c r="L283" s="64">
        <v>45546.655092592599</v>
      </c>
      <c r="M283" s="64">
        <v>45604.769594907397</v>
      </c>
    </row>
    <row r="284" spans="1:22" s="38" customFormat="1" ht="14.4" customHeight="1" x14ac:dyDescent="0.25">
      <c r="A284" s="44">
        <v>283</v>
      </c>
      <c r="B284" s="45" t="s">
        <v>85</v>
      </c>
      <c r="C284" s="46" t="s">
        <v>264</v>
      </c>
      <c r="D284" s="38" t="s">
        <v>206</v>
      </c>
      <c r="E284" s="38" t="s">
        <v>106</v>
      </c>
      <c r="F284" s="64">
        <v>45745.882210648102</v>
      </c>
      <c r="G284" s="64">
        <v>45744.882326388899</v>
      </c>
      <c r="H284" s="59" t="s">
        <v>90</v>
      </c>
      <c r="I284" s="60">
        <v>12000</v>
      </c>
      <c r="J284" s="58" t="s">
        <v>107</v>
      </c>
      <c r="K284" s="61" t="s">
        <v>265</v>
      </c>
      <c r="L284" s="64">
        <v>45617.702685185199</v>
      </c>
      <c r="M284" s="64">
        <v>45618.630289351902</v>
      </c>
      <c r="N284" s="38" t="s">
        <v>146</v>
      </c>
      <c r="O284" s="64">
        <v>45621.834027777797</v>
      </c>
      <c r="P284" s="64">
        <v>45620.834143518499</v>
      </c>
      <c r="Q284" s="38" t="s">
        <v>127</v>
      </c>
      <c r="R284" s="64">
        <v>45706.75</v>
      </c>
      <c r="S284" s="64">
        <v>45706.604166666701</v>
      </c>
      <c r="T284" s="38" t="s">
        <v>108</v>
      </c>
      <c r="U284" s="64">
        <v>45728.677152777796</v>
      </c>
      <c r="V284" s="64">
        <v>45729.479166666701</v>
      </c>
    </row>
    <row r="285" spans="1:22" s="38" customFormat="1" ht="14.4" customHeight="1" x14ac:dyDescent="0.25">
      <c r="A285" s="44">
        <v>284</v>
      </c>
      <c r="B285" s="45" t="s">
        <v>85</v>
      </c>
      <c r="C285" s="46" t="s">
        <v>264</v>
      </c>
      <c r="D285" s="38" t="s">
        <v>207</v>
      </c>
      <c r="E285" s="38" t="s">
        <v>106</v>
      </c>
      <c r="F285" s="64">
        <v>45829.882164351897</v>
      </c>
      <c r="G285" s="64">
        <v>45828.882233796299</v>
      </c>
      <c r="H285" s="59" t="s">
        <v>90</v>
      </c>
      <c r="I285" s="60">
        <v>12000</v>
      </c>
      <c r="J285" s="58" t="s">
        <v>107</v>
      </c>
      <c r="K285" s="61" t="s">
        <v>108</v>
      </c>
      <c r="L285" s="64">
        <v>45806.587708333303</v>
      </c>
      <c r="M285" s="64">
        <v>45812.771111111098</v>
      </c>
    </row>
    <row r="286" spans="1:22" s="38" customFormat="1" ht="14.4" customHeight="1" x14ac:dyDescent="0.25">
      <c r="A286" s="44">
        <v>285</v>
      </c>
      <c r="B286" s="45" t="s">
        <v>85</v>
      </c>
      <c r="C286" s="46" t="s">
        <v>264</v>
      </c>
      <c r="D286" s="38" t="s">
        <v>208</v>
      </c>
      <c r="E286" s="38" t="s">
        <v>106</v>
      </c>
      <c r="F286" s="64">
        <v>45829.882164351897</v>
      </c>
      <c r="G286" s="64">
        <v>45828.882233796299</v>
      </c>
      <c r="H286" s="59" t="s">
        <v>90</v>
      </c>
      <c r="I286" s="60">
        <v>12000</v>
      </c>
      <c r="J286" s="58" t="s">
        <v>107</v>
      </c>
      <c r="K286" s="61" t="s">
        <v>108</v>
      </c>
      <c r="L286" s="64">
        <v>45806.587708333303</v>
      </c>
      <c r="M286" s="64">
        <v>45812.771111111098</v>
      </c>
    </row>
    <row r="287" spans="1:22" s="38" customFormat="1" ht="14.4" customHeight="1" x14ac:dyDescent="0.25">
      <c r="A287" s="44">
        <v>286</v>
      </c>
      <c r="B287" s="45" t="s">
        <v>85</v>
      </c>
      <c r="C287" s="46" t="s">
        <v>264</v>
      </c>
      <c r="D287" s="38" t="s">
        <v>209</v>
      </c>
      <c r="E287" s="38" t="s">
        <v>106</v>
      </c>
      <c r="F287" s="64">
        <v>45896.733946759297</v>
      </c>
      <c r="G287" s="64">
        <v>45894.7340162037</v>
      </c>
      <c r="H287" s="59" t="s">
        <v>90</v>
      </c>
      <c r="I287" s="60">
        <v>12000</v>
      </c>
      <c r="J287" s="58" t="s">
        <v>107</v>
      </c>
      <c r="K287" s="38" t="s">
        <v>108</v>
      </c>
      <c r="L287" s="64">
        <v>45863.713391203702</v>
      </c>
      <c r="M287" s="64">
        <v>45867.771030092597</v>
      </c>
    </row>
    <row r="288" spans="1:22" s="38" customFormat="1" ht="14.4" customHeight="1" x14ac:dyDescent="0.25">
      <c r="A288" s="44">
        <v>287</v>
      </c>
      <c r="B288" s="45" t="s">
        <v>85</v>
      </c>
      <c r="C288" s="46" t="s">
        <v>264</v>
      </c>
      <c r="D288" s="38" t="s">
        <v>210</v>
      </c>
      <c r="E288" s="38" t="s">
        <v>106</v>
      </c>
      <c r="F288" s="64">
        <v>45896.733912037002</v>
      </c>
      <c r="G288" s="64">
        <v>45894.733993055597</v>
      </c>
      <c r="H288" s="59" t="s">
        <v>90</v>
      </c>
      <c r="I288" s="60">
        <v>12000</v>
      </c>
      <c r="J288" s="58" t="s">
        <v>107</v>
      </c>
      <c r="K288" s="38" t="s">
        <v>108</v>
      </c>
      <c r="L288" s="64">
        <v>45863.713391203702</v>
      </c>
      <c r="M288" s="64">
        <v>45867.771030092597</v>
      </c>
    </row>
    <row r="289" spans="1:31" s="38" customFormat="1" ht="14.4" customHeight="1" x14ac:dyDescent="0.25">
      <c r="A289" s="44">
        <v>288</v>
      </c>
      <c r="B289" s="45" t="s">
        <v>85</v>
      </c>
      <c r="C289" s="46" t="s">
        <v>264</v>
      </c>
      <c r="D289" s="38" t="s">
        <v>211</v>
      </c>
      <c r="E289" s="61"/>
      <c r="H289" s="59" t="s">
        <v>90</v>
      </c>
      <c r="I289" s="60">
        <v>12000</v>
      </c>
      <c r="J289" s="58" t="s">
        <v>107</v>
      </c>
      <c r="K289" s="62"/>
      <c r="L289" s="63"/>
      <c r="M289" s="57"/>
    </row>
    <row r="290" spans="1:31" s="38" customFormat="1" ht="14.4" customHeight="1" x14ac:dyDescent="0.25">
      <c r="A290" s="44">
        <v>289</v>
      </c>
      <c r="B290" s="45" t="s">
        <v>85</v>
      </c>
      <c r="C290" s="46" t="s">
        <v>264</v>
      </c>
      <c r="D290" s="38" t="s">
        <v>212</v>
      </c>
      <c r="E290" s="61" t="s">
        <v>265</v>
      </c>
      <c r="F290" s="64">
        <v>45611.575995370396</v>
      </c>
      <c r="G290" s="64">
        <v>45611.7244907407</v>
      </c>
      <c r="H290" s="54" t="s">
        <v>88</v>
      </c>
      <c r="I290" s="55">
        <v>16000</v>
      </c>
      <c r="J290" s="58" t="s">
        <v>107</v>
      </c>
      <c r="K290" s="62"/>
      <c r="L290" s="63"/>
      <c r="M290" s="57"/>
    </row>
    <row r="291" spans="1:31" s="38" customFormat="1" ht="14.4" customHeight="1" x14ac:dyDescent="0.25">
      <c r="A291" s="44">
        <v>290</v>
      </c>
      <c r="B291" s="45" t="s">
        <v>85</v>
      </c>
      <c r="C291" s="46" t="s">
        <v>264</v>
      </c>
      <c r="D291" s="38" t="s">
        <v>213</v>
      </c>
      <c r="E291" s="38" t="s">
        <v>106</v>
      </c>
      <c r="F291" s="64">
        <v>45746.779664351903</v>
      </c>
      <c r="G291" s="64">
        <v>45744.7797685185</v>
      </c>
      <c r="H291" s="59" t="s">
        <v>90</v>
      </c>
      <c r="I291" s="60">
        <v>12000</v>
      </c>
      <c r="J291" s="58" t="s">
        <v>107</v>
      </c>
      <c r="K291" s="61" t="s">
        <v>108</v>
      </c>
      <c r="L291" s="64">
        <v>45546.655648148102</v>
      </c>
      <c r="M291" s="64">
        <v>45604.772685185198</v>
      </c>
    </row>
    <row r="292" spans="1:31" s="38" customFormat="1" ht="14.4" customHeight="1" x14ac:dyDescent="0.25">
      <c r="A292" s="44">
        <v>291</v>
      </c>
      <c r="B292" s="45" t="s">
        <v>85</v>
      </c>
      <c r="C292" s="46" t="s">
        <v>264</v>
      </c>
      <c r="D292" s="38" t="s">
        <v>214</v>
      </c>
      <c r="E292" s="38" t="s">
        <v>106</v>
      </c>
      <c r="F292" s="64">
        <v>45746.779664351903</v>
      </c>
      <c r="G292" s="64">
        <v>45744.7797685185</v>
      </c>
      <c r="H292" s="59" t="s">
        <v>90</v>
      </c>
      <c r="I292" s="60">
        <v>12000</v>
      </c>
      <c r="J292" s="58" t="s">
        <v>107</v>
      </c>
      <c r="K292" s="61" t="s">
        <v>108</v>
      </c>
      <c r="L292" s="64">
        <v>45604.674780092602</v>
      </c>
      <c r="M292" s="64">
        <v>45609.724560185197</v>
      </c>
    </row>
    <row r="293" spans="1:31" s="38" customFormat="1" ht="14.4" customHeight="1" x14ac:dyDescent="0.25">
      <c r="A293" s="44">
        <v>292</v>
      </c>
      <c r="B293" s="45" t="s">
        <v>85</v>
      </c>
      <c r="C293" s="46" t="s">
        <v>264</v>
      </c>
      <c r="D293" s="38" t="s">
        <v>215</v>
      </c>
      <c r="E293" s="38" t="s">
        <v>106</v>
      </c>
      <c r="F293" s="64">
        <v>45746.779664351903</v>
      </c>
      <c r="G293" s="64">
        <v>45744.7797685185</v>
      </c>
      <c r="H293" s="59" t="s">
        <v>90</v>
      </c>
      <c r="I293" s="60">
        <v>12000</v>
      </c>
      <c r="J293" s="58" t="s">
        <v>107</v>
      </c>
      <c r="K293" s="61" t="s">
        <v>108</v>
      </c>
      <c r="L293" s="64">
        <v>45546.655787037002</v>
      </c>
      <c r="M293" s="64">
        <v>45604.772800925901</v>
      </c>
    </row>
    <row r="294" spans="1:31" s="38" customFormat="1" ht="14.4" customHeight="1" x14ac:dyDescent="0.25">
      <c r="A294" s="44">
        <v>293</v>
      </c>
      <c r="B294" s="45" t="s">
        <v>85</v>
      </c>
      <c r="C294" s="46" t="s">
        <v>264</v>
      </c>
      <c r="D294" s="38" t="s">
        <v>216</v>
      </c>
      <c r="E294" s="38" t="s">
        <v>106</v>
      </c>
      <c r="F294" s="64">
        <v>45746.779699074097</v>
      </c>
      <c r="G294" s="64">
        <v>45744.779803240701</v>
      </c>
      <c r="H294" s="59" t="s">
        <v>90</v>
      </c>
      <c r="I294" s="60">
        <v>12000</v>
      </c>
      <c r="J294" s="58" t="s">
        <v>107</v>
      </c>
      <c r="K294" s="61" t="s">
        <v>108</v>
      </c>
      <c r="L294" s="64">
        <v>45546.655787037002</v>
      </c>
      <c r="M294" s="64">
        <v>45604.772800925901</v>
      </c>
    </row>
    <row r="295" spans="1:31" s="38" customFormat="1" ht="14.4" customHeight="1" x14ac:dyDescent="0.25">
      <c r="A295" s="44">
        <v>294</v>
      </c>
      <c r="B295" s="45" t="s">
        <v>85</v>
      </c>
      <c r="C295" s="46" t="s">
        <v>264</v>
      </c>
      <c r="D295" s="38" t="s">
        <v>217</v>
      </c>
      <c r="E295" s="38" t="s">
        <v>106</v>
      </c>
      <c r="F295" s="64">
        <v>45633.673715277801</v>
      </c>
      <c r="G295" s="64">
        <v>45631.673831018503</v>
      </c>
      <c r="H295" s="59" t="s">
        <v>90</v>
      </c>
      <c r="I295" s="60">
        <v>12000</v>
      </c>
      <c r="J295" s="58" t="s">
        <v>107</v>
      </c>
      <c r="K295" s="61" t="s">
        <v>108</v>
      </c>
      <c r="L295" s="64">
        <v>45546.655787037002</v>
      </c>
      <c r="M295" s="64">
        <v>45604.772800925901</v>
      </c>
    </row>
    <row r="296" spans="1:31" s="38" customFormat="1" ht="14.4" customHeight="1" x14ac:dyDescent="0.25">
      <c r="A296" s="44">
        <v>295</v>
      </c>
      <c r="B296" s="45" t="s">
        <v>85</v>
      </c>
      <c r="C296" s="46" t="s">
        <v>264</v>
      </c>
      <c r="D296" s="38" t="s">
        <v>218</v>
      </c>
      <c r="E296" s="38" t="s">
        <v>106</v>
      </c>
      <c r="F296" s="64">
        <v>45633.673715277801</v>
      </c>
      <c r="G296" s="64">
        <v>45631.673831018503</v>
      </c>
      <c r="H296" s="59" t="s">
        <v>90</v>
      </c>
      <c r="I296" s="60">
        <v>12000</v>
      </c>
      <c r="J296" s="58" t="s">
        <v>107</v>
      </c>
      <c r="K296" s="61" t="s">
        <v>108</v>
      </c>
      <c r="L296" s="64">
        <v>45546.655787037002</v>
      </c>
      <c r="M296" s="64">
        <v>45604.772800925901</v>
      </c>
    </row>
    <row r="297" spans="1:31" s="38" customFormat="1" ht="14.4" customHeight="1" x14ac:dyDescent="0.25">
      <c r="A297" s="44">
        <v>296</v>
      </c>
      <c r="B297" s="45" t="s">
        <v>85</v>
      </c>
      <c r="C297" s="46" t="s">
        <v>264</v>
      </c>
      <c r="D297" s="38" t="s">
        <v>219</v>
      </c>
      <c r="E297" s="38" t="s">
        <v>106</v>
      </c>
      <c r="F297" s="64">
        <v>45633.673680555599</v>
      </c>
      <c r="G297" s="64">
        <v>45631.673784722203</v>
      </c>
      <c r="H297" s="59" t="s">
        <v>90</v>
      </c>
      <c r="I297" s="60">
        <v>12000</v>
      </c>
      <c r="J297" s="58" t="s">
        <v>107</v>
      </c>
      <c r="K297" s="61" t="s">
        <v>108</v>
      </c>
      <c r="L297" s="64">
        <v>45546.655787037002</v>
      </c>
      <c r="M297" s="64">
        <v>45604.772800925901</v>
      </c>
    </row>
    <row r="298" spans="1:31" s="38" customFormat="1" ht="14.4" customHeight="1" x14ac:dyDescent="0.25">
      <c r="A298" s="44">
        <v>297</v>
      </c>
      <c r="B298" s="45" t="s">
        <v>85</v>
      </c>
      <c r="C298" s="46" t="s">
        <v>264</v>
      </c>
      <c r="D298" s="38" t="s">
        <v>220</v>
      </c>
      <c r="E298" s="38" t="s">
        <v>106</v>
      </c>
      <c r="F298" s="64">
        <v>45633.673680555599</v>
      </c>
      <c r="G298" s="64">
        <v>45631.673784722203</v>
      </c>
      <c r="H298" s="59" t="s">
        <v>90</v>
      </c>
      <c r="I298" s="60">
        <v>12000</v>
      </c>
      <c r="J298" s="58" t="s">
        <v>107</v>
      </c>
      <c r="K298" s="61" t="s">
        <v>108</v>
      </c>
      <c r="L298" s="64">
        <v>45546.656805555598</v>
      </c>
      <c r="M298" s="64">
        <v>45604.773495370398</v>
      </c>
    </row>
    <row r="299" spans="1:31" s="38" customFormat="1" ht="14.4" customHeight="1" x14ac:dyDescent="0.25">
      <c r="A299" s="44">
        <v>298</v>
      </c>
      <c r="B299" s="45" t="s">
        <v>85</v>
      </c>
      <c r="C299" s="46" t="s">
        <v>264</v>
      </c>
      <c r="D299" s="38" t="s">
        <v>221</v>
      </c>
      <c r="E299" s="38" t="s">
        <v>106</v>
      </c>
      <c r="F299" s="64">
        <v>45633.673680555599</v>
      </c>
      <c r="G299" s="64">
        <v>45631.673784722203</v>
      </c>
      <c r="H299" s="59" t="s">
        <v>90</v>
      </c>
      <c r="I299" s="60">
        <v>12000</v>
      </c>
      <c r="J299" s="58" t="s">
        <v>107</v>
      </c>
      <c r="K299" s="61" t="s">
        <v>108</v>
      </c>
      <c r="L299" s="64">
        <v>45546.656805555598</v>
      </c>
      <c r="M299" s="64">
        <v>45604.773495370398</v>
      </c>
    </row>
    <row r="300" spans="1:31" s="38" customFormat="1" ht="14.4" customHeight="1" x14ac:dyDescent="0.25">
      <c r="A300" s="44">
        <v>299</v>
      </c>
      <c r="B300" s="45" t="s">
        <v>85</v>
      </c>
      <c r="C300" s="46" t="s">
        <v>264</v>
      </c>
      <c r="D300" s="38" t="s">
        <v>222</v>
      </c>
      <c r="E300" s="38" t="s">
        <v>106</v>
      </c>
      <c r="F300" s="64">
        <v>45633.673680555599</v>
      </c>
      <c r="G300" s="64">
        <v>45631.673784722203</v>
      </c>
      <c r="H300" s="59" t="s">
        <v>90</v>
      </c>
      <c r="I300" s="60">
        <v>12000</v>
      </c>
      <c r="J300" s="58" t="s">
        <v>107</v>
      </c>
      <c r="K300" s="61" t="s">
        <v>108</v>
      </c>
      <c r="L300" s="64">
        <v>45617.606296296297</v>
      </c>
      <c r="M300" s="64">
        <v>45618.6303819444</v>
      </c>
    </row>
    <row r="301" spans="1:31" s="38" customFormat="1" ht="14.4" customHeight="1" x14ac:dyDescent="0.25">
      <c r="A301" s="44">
        <v>300</v>
      </c>
      <c r="B301" s="45" t="s">
        <v>85</v>
      </c>
      <c r="C301" s="46" t="s">
        <v>264</v>
      </c>
      <c r="D301" s="38" t="s">
        <v>223</v>
      </c>
      <c r="E301" s="38" t="s">
        <v>106</v>
      </c>
      <c r="F301" s="64">
        <v>45993.882187499999</v>
      </c>
      <c r="G301" s="64">
        <v>45992.882326388899</v>
      </c>
      <c r="H301" s="59" t="s">
        <v>90</v>
      </c>
      <c r="I301" s="60">
        <v>12000</v>
      </c>
      <c r="J301" s="58" t="s">
        <v>107</v>
      </c>
      <c r="K301" s="61" t="s">
        <v>265</v>
      </c>
      <c r="L301" s="64">
        <v>45617.702881944402</v>
      </c>
      <c r="M301" s="64">
        <v>45618.630462963003</v>
      </c>
      <c r="N301" s="38" t="s">
        <v>146</v>
      </c>
      <c r="O301" s="64">
        <v>45621.834027777797</v>
      </c>
      <c r="P301" s="64">
        <v>45620.834143518499</v>
      </c>
      <c r="Q301" s="38" t="s">
        <v>127</v>
      </c>
      <c r="R301" s="64">
        <v>45706.75</v>
      </c>
      <c r="S301" s="64">
        <v>45706.604166666701</v>
      </c>
      <c r="T301" s="38" t="s">
        <v>108</v>
      </c>
      <c r="U301" s="64">
        <v>45728.677152777796</v>
      </c>
      <c r="V301" s="64">
        <v>45729.479166666701</v>
      </c>
      <c r="W301" s="38" t="s">
        <v>106</v>
      </c>
      <c r="X301" s="64">
        <v>45746.882199074098</v>
      </c>
      <c r="Y301" s="64">
        <v>45745.882303240702</v>
      </c>
      <c r="Z301" s="58" t="s">
        <v>266</v>
      </c>
      <c r="AA301" s="64">
        <v>45860.383449074099</v>
      </c>
      <c r="AB301" s="64">
        <v>45860.770949074104</v>
      </c>
      <c r="AC301" s="38" t="s">
        <v>108</v>
      </c>
      <c r="AD301" s="64">
        <v>45989</v>
      </c>
      <c r="AE301" s="64">
        <v>45989.7895601852</v>
      </c>
    </row>
    <row r="302" spans="1:31" s="38" customFormat="1" ht="14.4" customHeight="1" x14ac:dyDescent="0.25">
      <c r="A302" s="44">
        <v>301</v>
      </c>
      <c r="B302" s="45" t="s">
        <v>85</v>
      </c>
      <c r="C302" s="46" t="s">
        <v>264</v>
      </c>
      <c r="D302" s="38" t="s">
        <v>224</v>
      </c>
      <c r="E302" s="38" t="s">
        <v>106</v>
      </c>
      <c r="F302" s="64">
        <v>45830.882210648102</v>
      </c>
      <c r="G302" s="64">
        <v>45829.882280092599</v>
      </c>
      <c r="H302" s="59" t="s">
        <v>90</v>
      </c>
      <c r="I302" s="60">
        <v>12000</v>
      </c>
      <c r="J302" s="58" t="s">
        <v>107</v>
      </c>
      <c r="K302" s="61" t="s">
        <v>108</v>
      </c>
      <c r="L302" s="64">
        <v>45806.587708333303</v>
      </c>
      <c r="M302" s="64">
        <v>45812.771111111098</v>
      </c>
    </row>
    <row r="303" spans="1:31" s="38" customFormat="1" ht="14.4" customHeight="1" x14ac:dyDescent="0.25">
      <c r="A303" s="44">
        <v>302</v>
      </c>
      <c r="B303" s="45" t="s">
        <v>85</v>
      </c>
      <c r="C303" s="46" t="s">
        <v>264</v>
      </c>
      <c r="D303" s="38" t="s">
        <v>225</v>
      </c>
      <c r="E303" s="38" t="s">
        <v>106</v>
      </c>
      <c r="F303" s="64">
        <v>45830.882210648102</v>
      </c>
      <c r="G303" s="64">
        <v>45829.882280092599</v>
      </c>
      <c r="H303" s="59" t="s">
        <v>90</v>
      </c>
      <c r="I303" s="60">
        <v>12000</v>
      </c>
      <c r="J303" s="58" t="s">
        <v>107</v>
      </c>
      <c r="K303" s="61" t="s">
        <v>108</v>
      </c>
      <c r="L303" s="64">
        <v>45806.587708333303</v>
      </c>
      <c r="M303" s="64">
        <v>45812.771111111098</v>
      </c>
    </row>
    <row r="304" spans="1:31" s="38" customFormat="1" ht="14.4" customHeight="1" x14ac:dyDescent="0.25">
      <c r="A304" s="44">
        <v>303</v>
      </c>
      <c r="B304" s="45" t="s">
        <v>85</v>
      </c>
      <c r="C304" s="46" t="s">
        <v>264</v>
      </c>
      <c r="D304" s="38" t="s">
        <v>226</v>
      </c>
      <c r="E304" s="38" t="s">
        <v>106</v>
      </c>
      <c r="F304" s="64">
        <v>45877.882187499999</v>
      </c>
      <c r="G304" s="64">
        <v>45876.8822685185</v>
      </c>
      <c r="H304" s="59" t="s">
        <v>90</v>
      </c>
      <c r="I304" s="60">
        <v>12000</v>
      </c>
      <c r="J304" s="58" t="s">
        <v>107</v>
      </c>
      <c r="K304" s="38" t="s">
        <v>108</v>
      </c>
      <c r="L304" s="64">
        <v>45863.713391203702</v>
      </c>
      <c r="M304" s="64">
        <v>45867.771030092597</v>
      </c>
    </row>
    <row r="305" spans="1:16" s="38" customFormat="1" ht="14.4" customHeight="1" x14ac:dyDescent="0.25">
      <c r="A305" s="44">
        <v>304</v>
      </c>
      <c r="B305" s="45" t="s">
        <v>85</v>
      </c>
      <c r="C305" s="46" t="s">
        <v>264</v>
      </c>
      <c r="D305" s="38" t="s">
        <v>227</v>
      </c>
      <c r="E305" s="38" t="s">
        <v>106</v>
      </c>
      <c r="F305" s="64">
        <v>45877.882187499999</v>
      </c>
      <c r="G305" s="64">
        <v>45876.8822685185</v>
      </c>
      <c r="H305" s="59" t="s">
        <v>90</v>
      </c>
      <c r="I305" s="60">
        <v>12000</v>
      </c>
      <c r="J305" s="58" t="s">
        <v>107</v>
      </c>
      <c r="K305" s="38" t="s">
        <v>108</v>
      </c>
      <c r="L305" s="64">
        <v>45863.713391203702</v>
      </c>
      <c r="M305" s="64">
        <v>45867.771030092597</v>
      </c>
    </row>
    <row r="306" spans="1:16" s="38" customFormat="1" ht="14.4" customHeight="1" x14ac:dyDescent="0.25">
      <c r="A306" s="44">
        <v>305</v>
      </c>
      <c r="B306" s="45" t="s">
        <v>85</v>
      </c>
      <c r="C306" s="46" t="s">
        <v>264</v>
      </c>
      <c r="D306" s="38" t="s">
        <v>228</v>
      </c>
      <c r="E306" s="38" t="s">
        <v>106</v>
      </c>
      <c r="F306" s="64">
        <v>45896.740578703699</v>
      </c>
      <c r="G306" s="64">
        <v>45894.7406597222</v>
      </c>
      <c r="H306" s="59" t="s">
        <v>90</v>
      </c>
      <c r="I306" s="60">
        <v>12000</v>
      </c>
      <c r="J306" s="58" t="s">
        <v>107</v>
      </c>
      <c r="K306" s="38" t="s">
        <v>108</v>
      </c>
      <c r="L306" s="64">
        <v>45863.713391203702</v>
      </c>
      <c r="M306" s="64">
        <v>45867.771030092597</v>
      </c>
    </row>
    <row r="307" spans="1:16" s="38" customFormat="1" ht="14.4" customHeight="1" x14ac:dyDescent="0.25">
      <c r="A307" s="44">
        <v>306</v>
      </c>
      <c r="B307" s="45" t="s">
        <v>85</v>
      </c>
      <c r="C307" s="46" t="s">
        <v>264</v>
      </c>
      <c r="D307" s="38" t="s">
        <v>229</v>
      </c>
      <c r="E307" s="38" t="s">
        <v>106</v>
      </c>
      <c r="F307" s="64">
        <v>45896.741192129601</v>
      </c>
      <c r="G307" s="64">
        <v>45894.741261574098</v>
      </c>
      <c r="H307" s="59" t="s">
        <v>90</v>
      </c>
      <c r="I307" s="60">
        <v>12000</v>
      </c>
      <c r="J307" s="58" t="s">
        <v>107</v>
      </c>
      <c r="K307" s="38" t="s">
        <v>108</v>
      </c>
      <c r="L307" s="64">
        <v>45863.713391203702</v>
      </c>
      <c r="M307" s="64">
        <v>45867.771030092597</v>
      </c>
    </row>
    <row r="308" spans="1:16" s="38" customFormat="1" ht="14.4" customHeight="1" x14ac:dyDescent="0.25">
      <c r="A308" s="44">
        <v>307</v>
      </c>
      <c r="B308" s="45" t="s">
        <v>85</v>
      </c>
      <c r="C308" s="46" t="s">
        <v>264</v>
      </c>
      <c r="D308" s="38" t="s">
        <v>230</v>
      </c>
      <c r="E308" s="38" t="s">
        <v>106</v>
      </c>
      <c r="F308" s="64">
        <v>45746.765590277799</v>
      </c>
      <c r="G308" s="64">
        <v>45744.765694444402</v>
      </c>
      <c r="H308" s="54" t="s">
        <v>88</v>
      </c>
      <c r="I308" s="55">
        <v>16000</v>
      </c>
      <c r="J308" s="58" t="s">
        <v>107</v>
      </c>
      <c r="K308" s="61" t="s">
        <v>265</v>
      </c>
      <c r="L308" s="64">
        <v>45615.620798611097</v>
      </c>
      <c r="M308" s="64">
        <v>45617.470393518503</v>
      </c>
      <c r="N308" s="38" t="s">
        <v>146</v>
      </c>
      <c r="O308" s="64">
        <v>45621.834027777797</v>
      </c>
      <c r="P308" s="64">
        <v>45620.834143518499</v>
      </c>
    </row>
    <row r="309" spans="1:16" s="38" customFormat="1" ht="14.4" customHeight="1" x14ac:dyDescent="0.25">
      <c r="A309" s="44">
        <v>308</v>
      </c>
      <c r="B309" s="45" t="s">
        <v>85</v>
      </c>
      <c r="C309" s="46" t="s">
        <v>264</v>
      </c>
      <c r="D309" s="38" t="s">
        <v>231</v>
      </c>
      <c r="E309" s="38" t="s">
        <v>106</v>
      </c>
      <c r="F309" s="64">
        <v>45739.787141203698</v>
      </c>
      <c r="G309" s="64">
        <v>45737.787256944401</v>
      </c>
      <c r="H309" s="59" t="s">
        <v>90</v>
      </c>
      <c r="I309" s="60">
        <v>12000</v>
      </c>
      <c r="J309" s="58" t="s">
        <v>107</v>
      </c>
      <c r="K309" s="61" t="s">
        <v>108</v>
      </c>
      <c r="L309" s="64">
        <v>45546.6578240741</v>
      </c>
      <c r="M309" s="64">
        <v>45604.774363425902</v>
      </c>
    </row>
    <row r="310" spans="1:16" s="38" customFormat="1" ht="14.4" customHeight="1" x14ac:dyDescent="0.25">
      <c r="A310" s="44">
        <v>309</v>
      </c>
      <c r="B310" s="45" t="s">
        <v>85</v>
      </c>
      <c r="C310" s="46" t="s">
        <v>264</v>
      </c>
      <c r="D310" s="38" t="s">
        <v>232</v>
      </c>
      <c r="E310" s="38" t="s">
        <v>106</v>
      </c>
      <c r="F310" s="64">
        <v>45739.780185185198</v>
      </c>
      <c r="G310" s="64">
        <v>45737.780335648102</v>
      </c>
      <c r="H310" s="59" t="s">
        <v>90</v>
      </c>
      <c r="I310" s="60">
        <v>12000</v>
      </c>
      <c r="J310" s="58" t="s">
        <v>107</v>
      </c>
      <c r="K310" s="61" t="s">
        <v>108</v>
      </c>
      <c r="L310" s="64">
        <v>45546.6578240741</v>
      </c>
      <c r="M310" s="64">
        <v>45604.774363425902</v>
      </c>
    </row>
    <row r="311" spans="1:16" s="38" customFormat="1" ht="14.4" customHeight="1" x14ac:dyDescent="0.25">
      <c r="A311" s="44">
        <v>310</v>
      </c>
      <c r="B311" s="45" t="s">
        <v>85</v>
      </c>
      <c r="C311" s="46" t="s">
        <v>264</v>
      </c>
      <c r="D311" s="38" t="s">
        <v>233</v>
      </c>
      <c r="E311" s="38" t="s">
        <v>106</v>
      </c>
      <c r="F311" s="64">
        <v>45739.780138888898</v>
      </c>
      <c r="G311" s="64">
        <v>45737.780254629601</v>
      </c>
      <c r="H311" s="59" t="s">
        <v>90</v>
      </c>
      <c r="I311" s="60">
        <v>12000</v>
      </c>
      <c r="J311" s="58" t="s">
        <v>107</v>
      </c>
      <c r="K311" s="61" t="s">
        <v>108</v>
      </c>
      <c r="L311" s="64">
        <v>45546.6578240741</v>
      </c>
      <c r="M311" s="64">
        <v>45604.774363425902</v>
      </c>
    </row>
    <row r="312" spans="1:16" s="38" customFormat="1" ht="14.4" customHeight="1" x14ac:dyDescent="0.25">
      <c r="A312" s="44">
        <v>311</v>
      </c>
      <c r="B312" s="45" t="s">
        <v>85</v>
      </c>
      <c r="C312" s="46" t="s">
        <v>264</v>
      </c>
      <c r="D312" s="38" t="s">
        <v>234</v>
      </c>
      <c r="E312" s="38" t="s">
        <v>106</v>
      </c>
      <c r="F312" s="64">
        <v>45739.7801736111</v>
      </c>
      <c r="G312" s="64">
        <v>45737.780335648102</v>
      </c>
      <c r="H312" s="59" t="s">
        <v>90</v>
      </c>
      <c r="I312" s="60">
        <v>12000</v>
      </c>
      <c r="J312" s="58" t="s">
        <v>107</v>
      </c>
      <c r="K312" s="61" t="s">
        <v>108</v>
      </c>
      <c r="L312" s="64">
        <v>45546.6578240741</v>
      </c>
      <c r="M312" s="64">
        <v>45604.774363425902</v>
      </c>
    </row>
    <row r="313" spans="1:16" s="38" customFormat="1" ht="14.4" customHeight="1" x14ac:dyDescent="0.25">
      <c r="A313" s="44">
        <v>312</v>
      </c>
      <c r="B313" s="45" t="s">
        <v>85</v>
      </c>
      <c r="C313" s="46" t="s">
        <v>264</v>
      </c>
      <c r="D313" s="38" t="s">
        <v>235</v>
      </c>
      <c r="E313" s="38" t="s">
        <v>106</v>
      </c>
      <c r="F313" s="64">
        <v>45739.783657407403</v>
      </c>
      <c r="G313" s="64">
        <v>45791.523553240702</v>
      </c>
      <c r="H313" s="59" t="s">
        <v>90</v>
      </c>
      <c r="I313" s="60">
        <v>12000</v>
      </c>
      <c r="J313" s="58" t="s">
        <v>107</v>
      </c>
      <c r="K313" s="61" t="s">
        <v>108</v>
      </c>
      <c r="L313" s="64">
        <v>45546.657881944397</v>
      </c>
      <c r="M313" s="64">
        <v>45604.774479166699</v>
      </c>
    </row>
    <row r="314" spans="1:16" s="38" customFormat="1" ht="14.4" customHeight="1" x14ac:dyDescent="0.25">
      <c r="A314" s="44">
        <v>313</v>
      </c>
      <c r="B314" s="45" t="s">
        <v>85</v>
      </c>
      <c r="C314" s="46" t="s">
        <v>264</v>
      </c>
      <c r="D314" s="38" t="s">
        <v>236</v>
      </c>
      <c r="E314" s="38" t="s">
        <v>106</v>
      </c>
      <c r="F314" s="64">
        <v>45633.677164351902</v>
      </c>
      <c r="G314" s="64">
        <v>45631.677268518499</v>
      </c>
      <c r="H314" s="59" t="s">
        <v>90</v>
      </c>
      <c r="I314" s="60">
        <v>12000</v>
      </c>
      <c r="J314" s="58" t="s">
        <v>107</v>
      </c>
      <c r="K314" s="61" t="s">
        <v>108</v>
      </c>
      <c r="L314" s="64">
        <v>45546.657939814802</v>
      </c>
      <c r="M314" s="64">
        <v>45604.774583333303</v>
      </c>
    </row>
    <row r="315" spans="1:16" s="38" customFormat="1" ht="14.4" customHeight="1" x14ac:dyDescent="0.25">
      <c r="A315" s="44">
        <v>314</v>
      </c>
      <c r="B315" s="45" t="s">
        <v>85</v>
      </c>
      <c r="C315" s="46" t="s">
        <v>264</v>
      </c>
      <c r="D315" s="38" t="s">
        <v>237</v>
      </c>
      <c r="E315" s="38" t="s">
        <v>106</v>
      </c>
      <c r="F315" s="64">
        <v>45633.677199074104</v>
      </c>
      <c r="G315" s="64">
        <v>45631.6773032407</v>
      </c>
      <c r="H315" s="59" t="s">
        <v>90</v>
      </c>
      <c r="I315" s="60">
        <v>12000</v>
      </c>
      <c r="J315" s="58" t="s">
        <v>107</v>
      </c>
      <c r="K315" s="61" t="s">
        <v>108</v>
      </c>
      <c r="L315" s="64">
        <v>45546.657997685201</v>
      </c>
      <c r="M315" s="64">
        <v>45604.7746990741</v>
      </c>
    </row>
    <row r="316" spans="1:16" s="38" customFormat="1" ht="14.4" customHeight="1" x14ac:dyDescent="0.25">
      <c r="A316" s="44">
        <v>315</v>
      </c>
      <c r="B316" s="45" t="s">
        <v>85</v>
      </c>
      <c r="C316" s="46" t="s">
        <v>264</v>
      </c>
      <c r="D316" s="38" t="s">
        <v>238</v>
      </c>
      <c r="E316" s="38" t="s">
        <v>106</v>
      </c>
      <c r="F316" s="64">
        <v>45633.677164351902</v>
      </c>
      <c r="G316" s="64">
        <v>45631.677268518499</v>
      </c>
      <c r="H316" s="59" t="s">
        <v>90</v>
      </c>
      <c r="I316" s="60">
        <v>12000</v>
      </c>
      <c r="J316" s="58" t="s">
        <v>107</v>
      </c>
      <c r="K316" s="61" t="s">
        <v>108</v>
      </c>
      <c r="L316" s="64">
        <v>45546.658055555599</v>
      </c>
      <c r="M316" s="64">
        <v>45604.774837962999</v>
      </c>
    </row>
    <row r="317" spans="1:16" s="38" customFormat="1" ht="14.4" customHeight="1" x14ac:dyDescent="0.25">
      <c r="A317" s="44">
        <v>316</v>
      </c>
      <c r="B317" s="45" t="s">
        <v>85</v>
      </c>
      <c r="C317" s="46" t="s">
        <v>264</v>
      </c>
      <c r="D317" s="38" t="s">
        <v>239</v>
      </c>
      <c r="E317" s="38" t="s">
        <v>106</v>
      </c>
      <c r="F317" s="64">
        <v>45633.677268518499</v>
      </c>
      <c r="G317" s="64">
        <v>45631.677372685197</v>
      </c>
      <c r="H317" s="59" t="s">
        <v>90</v>
      </c>
      <c r="I317" s="60">
        <v>12000</v>
      </c>
      <c r="J317" s="58" t="s">
        <v>107</v>
      </c>
      <c r="K317" s="61" t="s">
        <v>108</v>
      </c>
      <c r="L317" s="64">
        <v>45546.658113425903</v>
      </c>
      <c r="M317" s="64">
        <v>45604.774942129603</v>
      </c>
    </row>
    <row r="318" spans="1:16" s="38" customFormat="1" ht="14.4" customHeight="1" x14ac:dyDescent="0.25">
      <c r="A318" s="44">
        <v>317</v>
      </c>
      <c r="B318" s="45" t="s">
        <v>85</v>
      </c>
      <c r="C318" s="46" t="s">
        <v>264</v>
      </c>
      <c r="D318" s="38" t="s">
        <v>240</v>
      </c>
      <c r="E318" s="38" t="s">
        <v>106</v>
      </c>
      <c r="F318" s="64">
        <v>45829.882164351897</v>
      </c>
      <c r="G318" s="64">
        <v>45828.882233796299</v>
      </c>
      <c r="H318" s="59" t="s">
        <v>90</v>
      </c>
      <c r="I318" s="60">
        <v>12000</v>
      </c>
      <c r="J318" s="58" t="s">
        <v>107</v>
      </c>
      <c r="K318" s="61" t="s">
        <v>108</v>
      </c>
      <c r="L318" s="64">
        <v>45806.587708333303</v>
      </c>
      <c r="M318" s="64">
        <v>45812.771111111098</v>
      </c>
    </row>
    <row r="319" spans="1:16" s="38" customFormat="1" ht="14.4" customHeight="1" x14ac:dyDescent="0.25">
      <c r="A319" s="44">
        <v>318</v>
      </c>
      <c r="B319" s="45" t="s">
        <v>85</v>
      </c>
      <c r="C319" s="46" t="s">
        <v>264</v>
      </c>
      <c r="D319" s="38" t="s">
        <v>241</v>
      </c>
      <c r="E319" s="38" t="s">
        <v>106</v>
      </c>
      <c r="F319" s="64">
        <v>45829.882164351897</v>
      </c>
      <c r="G319" s="64">
        <v>45828.882233796299</v>
      </c>
      <c r="H319" s="59" t="s">
        <v>90</v>
      </c>
      <c r="I319" s="60">
        <v>12000</v>
      </c>
      <c r="J319" s="58" t="s">
        <v>107</v>
      </c>
      <c r="K319" s="61" t="s">
        <v>108</v>
      </c>
      <c r="L319" s="64">
        <v>45806.587708333303</v>
      </c>
      <c r="M319" s="64">
        <v>45812.771111111098</v>
      </c>
    </row>
    <row r="320" spans="1:16" s="38" customFormat="1" ht="14.4" customHeight="1" x14ac:dyDescent="0.25">
      <c r="A320" s="44">
        <v>319</v>
      </c>
      <c r="B320" s="45" t="s">
        <v>85</v>
      </c>
      <c r="C320" s="46" t="s">
        <v>264</v>
      </c>
      <c r="D320" s="38" t="s">
        <v>242</v>
      </c>
      <c r="E320" s="38" t="s">
        <v>106</v>
      </c>
      <c r="F320" s="64">
        <v>45877.882187499999</v>
      </c>
      <c r="G320" s="64">
        <v>45876.8822685185</v>
      </c>
      <c r="H320" s="59" t="s">
        <v>90</v>
      </c>
      <c r="I320" s="60">
        <v>12000</v>
      </c>
      <c r="J320" s="58" t="s">
        <v>107</v>
      </c>
      <c r="K320" s="38" t="s">
        <v>108</v>
      </c>
      <c r="L320" s="64">
        <v>45863.713391203702</v>
      </c>
      <c r="M320" s="64">
        <v>45867.771030092597</v>
      </c>
    </row>
    <row r="321" spans="1:31" s="38" customFormat="1" ht="14.4" customHeight="1" x14ac:dyDescent="0.25">
      <c r="A321" s="44">
        <v>320</v>
      </c>
      <c r="B321" s="45" t="s">
        <v>85</v>
      </c>
      <c r="C321" s="46" t="s">
        <v>264</v>
      </c>
      <c r="D321" s="38" t="s">
        <v>243</v>
      </c>
      <c r="E321" s="38" t="s">
        <v>106</v>
      </c>
      <c r="F321" s="64">
        <v>45877.882187499999</v>
      </c>
      <c r="G321" s="64">
        <v>45876.8822685185</v>
      </c>
      <c r="H321" s="59" t="s">
        <v>90</v>
      </c>
      <c r="I321" s="60">
        <v>12000</v>
      </c>
      <c r="J321" s="58" t="s">
        <v>107</v>
      </c>
      <c r="K321" s="38" t="s">
        <v>108</v>
      </c>
      <c r="L321" s="64">
        <v>45863.713391203702</v>
      </c>
      <c r="M321" s="64">
        <v>45868.771030092597</v>
      </c>
    </row>
    <row r="322" spans="1:31" s="38" customFormat="1" ht="14.4" customHeight="1" x14ac:dyDescent="0.25">
      <c r="A322" s="44">
        <v>321</v>
      </c>
      <c r="B322" s="45" t="s">
        <v>85</v>
      </c>
      <c r="C322" s="46" t="s">
        <v>264</v>
      </c>
      <c r="D322" s="38" t="s">
        <v>244</v>
      </c>
      <c r="E322" s="38" t="s">
        <v>106</v>
      </c>
      <c r="F322" s="64">
        <v>45877.882187499999</v>
      </c>
      <c r="G322" s="64">
        <v>45876.8822685185</v>
      </c>
      <c r="H322" s="59" t="s">
        <v>90</v>
      </c>
      <c r="I322" s="60">
        <v>12000</v>
      </c>
      <c r="J322" s="58" t="s">
        <v>107</v>
      </c>
      <c r="K322" s="38" t="s">
        <v>108</v>
      </c>
      <c r="L322" s="64">
        <v>45863.713391203702</v>
      </c>
      <c r="M322" s="64">
        <v>45867.771030092597</v>
      </c>
    </row>
    <row r="323" spans="1:31" s="38" customFormat="1" ht="14.4" customHeight="1" x14ac:dyDescent="0.25">
      <c r="A323" s="44">
        <v>322</v>
      </c>
      <c r="B323" s="45" t="s">
        <v>85</v>
      </c>
      <c r="C323" s="46" t="s">
        <v>264</v>
      </c>
      <c r="D323" s="38" t="s">
        <v>245</v>
      </c>
      <c r="E323" s="38" t="s">
        <v>106</v>
      </c>
      <c r="F323" s="64">
        <v>45877.882187499999</v>
      </c>
      <c r="G323" s="64">
        <v>45876.8822685185</v>
      </c>
      <c r="H323" s="59" t="s">
        <v>90</v>
      </c>
      <c r="I323" s="60">
        <v>12000</v>
      </c>
      <c r="J323" s="58" t="s">
        <v>107</v>
      </c>
      <c r="K323" s="38" t="s">
        <v>108</v>
      </c>
      <c r="L323" s="64">
        <v>45863.713391203702</v>
      </c>
      <c r="M323" s="64">
        <v>45867.771030092597</v>
      </c>
    </row>
    <row r="324" spans="1:31" s="38" customFormat="1" ht="14.4" customHeight="1" x14ac:dyDescent="0.25">
      <c r="A324" s="44">
        <v>323</v>
      </c>
      <c r="B324" s="45" t="s">
        <v>85</v>
      </c>
      <c r="C324" s="46" t="s">
        <v>264</v>
      </c>
      <c r="D324" s="38" t="s">
        <v>246</v>
      </c>
      <c r="E324" s="38" t="s">
        <v>106</v>
      </c>
      <c r="F324" s="64">
        <v>45745.715173611097</v>
      </c>
      <c r="G324" s="64">
        <v>45743.715277777803</v>
      </c>
      <c r="H324" s="54" t="s">
        <v>88</v>
      </c>
      <c r="I324" s="55">
        <v>16000</v>
      </c>
      <c r="J324" s="58" t="s">
        <v>107</v>
      </c>
      <c r="K324" s="61" t="s">
        <v>265</v>
      </c>
      <c r="L324" s="64">
        <v>45615.620983796303</v>
      </c>
      <c r="M324" s="64">
        <v>45617.470335648097</v>
      </c>
      <c r="N324" s="38" t="s">
        <v>146</v>
      </c>
      <c r="O324" s="64">
        <v>45621.834027777797</v>
      </c>
      <c r="P324" s="64">
        <v>45620.834143518499</v>
      </c>
    </row>
    <row r="325" spans="1:31" s="38" customFormat="1" ht="14.4" customHeight="1" x14ac:dyDescent="0.25">
      <c r="A325" s="44">
        <v>324</v>
      </c>
      <c r="B325" s="45" t="s">
        <v>85</v>
      </c>
      <c r="C325" s="46" t="s">
        <v>264</v>
      </c>
      <c r="D325" s="38" t="s">
        <v>247</v>
      </c>
      <c r="E325" s="38" t="s">
        <v>106</v>
      </c>
      <c r="F325" s="64">
        <v>45745.7114814815</v>
      </c>
      <c r="G325" s="64">
        <v>45743.711597222202</v>
      </c>
      <c r="H325" s="59" t="s">
        <v>90</v>
      </c>
      <c r="I325" s="60">
        <v>12000</v>
      </c>
      <c r="J325" s="58" t="s">
        <v>107</v>
      </c>
      <c r="K325" s="61" t="s">
        <v>108</v>
      </c>
      <c r="L325" s="64">
        <v>45546.658298611103</v>
      </c>
      <c r="M325" s="64">
        <v>45604.775428240697</v>
      </c>
    </row>
    <row r="326" spans="1:31" s="38" customFormat="1" ht="14.4" customHeight="1" x14ac:dyDescent="0.25">
      <c r="A326" s="44">
        <v>325</v>
      </c>
      <c r="B326" s="45" t="s">
        <v>85</v>
      </c>
      <c r="C326" s="46" t="s">
        <v>264</v>
      </c>
      <c r="D326" s="38" t="s">
        <v>248</v>
      </c>
      <c r="E326" s="38" t="s">
        <v>106</v>
      </c>
      <c r="F326" s="64">
        <v>45745.714999999997</v>
      </c>
      <c r="G326" s="64">
        <v>45743.715104166702</v>
      </c>
      <c r="H326" s="59" t="s">
        <v>90</v>
      </c>
      <c r="I326" s="60">
        <v>12000</v>
      </c>
      <c r="J326" s="58" t="s">
        <v>107</v>
      </c>
      <c r="K326" s="61" t="s">
        <v>108</v>
      </c>
      <c r="L326" s="64">
        <v>45546.658298611103</v>
      </c>
      <c r="M326" s="64">
        <v>45604.775428240697</v>
      </c>
    </row>
    <row r="327" spans="1:31" s="38" customFormat="1" ht="14.4" customHeight="1" x14ac:dyDescent="0.25">
      <c r="A327" s="44">
        <v>326</v>
      </c>
      <c r="B327" s="45" t="s">
        <v>85</v>
      </c>
      <c r="C327" s="46" t="s">
        <v>264</v>
      </c>
      <c r="D327" s="38" t="s">
        <v>249</v>
      </c>
      <c r="E327" s="38" t="s">
        <v>106</v>
      </c>
      <c r="F327" s="64">
        <v>45745.714999999997</v>
      </c>
      <c r="G327" s="64">
        <v>45743.715115740699</v>
      </c>
      <c r="H327" s="59" t="s">
        <v>90</v>
      </c>
      <c r="I327" s="60">
        <v>12000</v>
      </c>
      <c r="J327" s="58" t="s">
        <v>107</v>
      </c>
      <c r="K327" s="61" t="s">
        <v>108</v>
      </c>
      <c r="L327" s="64">
        <v>45546.658298611103</v>
      </c>
      <c r="M327" s="64">
        <v>45604.775428240697</v>
      </c>
    </row>
    <row r="328" spans="1:31" s="38" customFormat="1" ht="14.4" customHeight="1" x14ac:dyDescent="0.25">
      <c r="A328" s="44">
        <v>327</v>
      </c>
      <c r="B328" s="45" t="s">
        <v>85</v>
      </c>
      <c r="C328" s="46" t="s">
        <v>264</v>
      </c>
      <c r="D328" s="38" t="s">
        <v>250</v>
      </c>
      <c r="E328" s="38" t="s">
        <v>106</v>
      </c>
      <c r="F328" s="64">
        <v>45745.714999999997</v>
      </c>
      <c r="G328" s="64">
        <v>45743.715115740699</v>
      </c>
      <c r="H328" s="59" t="s">
        <v>90</v>
      </c>
      <c r="I328" s="60">
        <v>12000</v>
      </c>
      <c r="J328" s="58" t="s">
        <v>107</v>
      </c>
      <c r="K328" s="61" t="s">
        <v>108</v>
      </c>
      <c r="L328" s="64">
        <v>45546.658356481501</v>
      </c>
      <c r="M328" s="64">
        <v>45604.775543981501</v>
      </c>
    </row>
    <row r="329" spans="1:31" s="38" customFormat="1" ht="14.4" customHeight="1" x14ac:dyDescent="0.25">
      <c r="A329" s="44">
        <v>328</v>
      </c>
      <c r="B329" s="45" t="s">
        <v>85</v>
      </c>
      <c r="C329" s="46" t="s">
        <v>264</v>
      </c>
      <c r="D329" s="38" t="s">
        <v>251</v>
      </c>
      <c r="E329" s="38" t="s">
        <v>106</v>
      </c>
      <c r="F329" s="64">
        <v>45745.718495370398</v>
      </c>
      <c r="G329" s="64">
        <v>45743.7186111111</v>
      </c>
      <c r="H329" s="59" t="s">
        <v>90</v>
      </c>
      <c r="I329" s="60">
        <v>12000</v>
      </c>
      <c r="J329" s="58" t="s">
        <v>107</v>
      </c>
      <c r="K329" s="61" t="s">
        <v>108</v>
      </c>
      <c r="L329" s="64">
        <v>45546.658402777801</v>
      </c>
      <c r="M329" s="64">
        <v>45604.775659722203</v>
      </c>
    </row>
    <row r="330" spans="1:31" s="38" customFormat="1" ht="14.4" customHeight="1" x14ac:dyDescent="0.25">
      <c r="A330" s="44">
        <v>329</v>
      </c>
      <c r="B330" s="45" t="s">
        <v>85</v>
      </c>
      <c r="C330" s="46" t="s">
        <v>264</v>
      </c>
      <c r="D330" s="38" t="s">
        <v>252</v>
      </c>
      <c r="E330" s="38" t="s">
        <v>106</v>
      </c>
      <c r="F330" s="64">
        <v>45633.6773032407</v>
      </c>
      <c r="G330" s="64">
        <v>45631.677407407398</v>
      </c>
      <c r="H330" s="59" t="s">
        <v>90</v>
      </c>
      <c r="I330" s="60">
        <v>12000</v>
      </c>
      <c r="J330" s="58" t="s">
        <v>107</v>
      </c>
      <c r="K330" s="61" t="s">
        <v>108</v>
      </c>
      <c r="L330" s="64">
        <v>45546.658460648097</v>
      </c>
      <c r="M330" s="64">
        <v>45604.775763888902</v>
      </c>
    </row>
    <row r="331" spans="1:31" s="38" customFormat="1" ht="14.4" customHeight="1" x14ac:dyDescent="0.25">
      <c r="A331" s="44">
        <v>330</v>
      </c>
      <c r="B331" s="45" t="s">
        <v>85</v>
      </c>
      <c r="C331" s="46" t="s">
        <v>264</v>
      </c>
      <c r="D331" s="38" t="s">
        <v>253</v>
      </c>
      <c r="E331" s="38" t="s">
        <v>106</v>
      </c>
      <c r="F331" s="64">
        <v>45633.680740740703</v>
      </c>
      <c r="G331" s="64">
        <v>45631.680844907401</v>
      </c>
      <c r="H331" s="59" t="s">
        <v>90</v>
      </c>
      <c r="I331" s="60">
        <v>12000</v>
      </c>
      <c r="J331" s="58" t="s">
        <v>107</v>
      </c>
      <c r="K331" s="61" t="s">
        <v>108</v>
      </c>
      <c r="L331" s="64">
        <v>45546.658298611103</v>
      </c>
      <c r="M331" s="64">
        <v>45604.775428240697</v>
      </c>
    </row>
    <row r="332" spans="1:31" s="38" customFormat="1" ht="14.4" customHeight="1" x14ac:dyDescent="0.25">
      <c r="A332" s="44">
        <v>331</v>
      </c>
      <c r="B332" s="45" t="s">
        <v>85</v>
      </c>
      <c r="C332" s="46" t="s">
        <v>264</v>
      </c>
      <c r="D332" s="38" t="s">
        <v>254</v>
      </c>
      <c r="E332" s="38" t="s">
        <v>106</v>
      </c>
      <c r="F332" s="64">
        <v>45633.680694444403</v>
      </c>
      <c r="G332" s="64">
        <v>45631.6808101852</v>
      </c>
      <c r="H332" s="59" t="s">
        <v>90</v>
      </c>
      <c r="I332" s="60">
        <v>12000</v>
      </c>
      <c r="J332" s="58" t="s">
        <v>107</v>
      </c>
      <c r="K332" s="61" t="s">
        <v>108</v>
      </c>
      <c r="L332" s="64">
        <v>45546.658298611103</v>
      </c>
      <c r="M332" s="64">
        <v>45604.775428240697</v>
      </c>
    </row>
    <row r="333" spans="1:31" s="38" customFormat="1" ht="14.4" customHeight="1" x14ac:dyDescent="0.25">
      <c r="A333" s="44">
        <v>332</v>
      </c>
      <c r="B333" s="45" t="s">
        <v>85</v>
      </c>
      <c r="C333" s="46" t="s">
        <v>264</v>
      </c>
      <c r="D333" s="38" t="s">
        <v>255</v>
      </c>
      <c r="E333" s="38" t="s">
        <v>106</v>
      </c>
      <c r="F333" s="64">
        <v>45634.7194212963</v>
      </c>
      <c r="G333" s="64">
        <v>45632.719537037003</v>
      </c>
      <c r="H333" s="59" t="s">
        <v>90</v>
      </c>
      <c r="I333" s="60">
        <v>12000</v>
      </c>
      <c r="J333" s="58" t="s">
        <v>107</v>
      </c>
      <c r="K333" s="61" t="s">
        <v>108</v>
      </c>
      <c r="L333" s="64">
        <v>45546.658298611103</v>
      </c>
      <c r="M333" s="64">
        <v>45604.775428240697</v>
      </c>
    </row>
    <row r="334" spans="1:31" s="38" customFormat="1" ht="14.4" customHeight="1" x14ac:dyDescent="0.25">
      <c r="A334" s="44">
        <v>333</v>
      </c>
      <c r="B334" s="45" t="s">
        <v>85</v>
      </c>
      <c r="C334" s="46" t="s">
        <v>264</v>
      </c>
      <c r="D334" s="38" t="s">
        <v>256</v>
      </c>
      <c r="E334" s="38" t="s">
        <v>106</v>
      </c>
      <c r="F334" s="64">
        <v>45993.882187499999</v>
      </c>
      <c r="G334" s="64">
        <v>45992.882326388899</v>
      </c>
      <c r="H334" s="59" t="s">
        <v>90</v>
      </c>
      <c r="I334" s="60">
        <v>12000</v>
      </c>
      <c r="J334" s="58" t="s">
        <v>107</v>
      </c>
      <c r="K334" s="61" t="s">
        <v>265</v>
      </c>
      <c r="L334" s="64">
        <v>45617.703136574099</v>
      </c>
      <c r="M334" s="64">
        <v>45618.630543981497</v>
      </c>
      <c r="N334" s="38" t="s">
        <v>146</v>
      </c>
      <c r="O334" s="64">
        <v>45621.834027777797</v>
      </c>
      <c r="P334" s="64">
        <v>45620.834143518499</v>
      </c>
      <c r="Q334" s="38" t="s">
        <v>127</v>
      </c>
      <c r="R334" s="64">
        <v>45706.75</v>
      </c>
      <c r="S334" s="64">
        <v>45706.604166666701</v>
      </c>
      <c r="T334" s="38" t="s">
        <v>108</v>
      </c>
      <c r="U334" s="64">
        <v>45728.677152777796</v>
      </c>
      <c r="V334" s="64">
        <v>45729.479166666701</v>
      </c>
      <c r="W334" s="38" t="s">
        <v>106</v>
      </c>
      <c r="X334" s="64">
        <v>45746.882199074098</v>
      </c>
      <c r="Y334" s="64">
        <v>45745.882303240702</v>
      </c>
      <c r="Z334" s="58" t="s">
        <v>266</v>
      </c>
      <c r="AA334" s="64">
        <v>45860.383449074099</v>
      </c>
      <c r="AB334" s="64">
        <v>45860.770949074104</v>
      </c>
      <c r="AC334" s="38" t="s">
        <v>108</v>
      </c>
      <c r="AD334" s="64">
        <v>45989</v>
      </c>
      <c r="AE334" s="64">
        <v>45989.789664351898</v>
      </c>
    </row>
    <row r="335" spans="1:31" s="38" customFormat="1" ht="14.4" customHeight="1" x14ac:dyDescent="0.25">
      <c r="A335" s="44">
        <v>334</v>
      </c>
      <c r="B335" s="45" t="s">
        <v>85</v>
      </c>
      <c r="C335" s="46" t="s">
        <v>264</v>
      </c>
      <c r="D335" s="38" t="s">
        <v>257</v>
      </c>
      <c r="E335" s="38" t="s">
        <v>106</v>
      </c>
      <c r="F335" s="64">
        <v>45829.882164351897</v>
      </c>
      <c r="G335" s="64">
        <v>45828.882233796299</v>
      </c>
      <c r="H335" s="59" t="s">
        <v>90</v>
      </c>
      <c r="I335" s="60">
        <v>12000</v>
      </c>
      <c r="J335" s="58" t="s">
        <v>107</v>
      </c>
      <c r="K335" s="61" t="s">
        <v>108</v>
      </c>
      <c r="L335" s="64">
        <v>45806.587708333303</v>
      </c>
      <c r="M335" s="64">
        <v>45812.771111111098</v>
      </c>
    </row>
    <row r="336" spans="1:31" s="38" customFormat="1" ht="14.4" customHeight="1" x14ac:dyDescent="0.25">
      <c r="A336" s="44">
        <v>335</v>
      </c>
      <c r="B336" s="45" t="s">
        <v>85</v>
      </c>
      <c r="C336" s="46" t="s">
        <v>264</v>
      </c>
      <c r="D336" s="38" t="s">
        <v>258</v>
      </c>
      <c r="E336" s="38" t="s">
        <v>106</v>
      </c>
      <c r="F336" s="64">
        <v>45830.882210648102</v>
      </c>
      <c r="G336" s="64">
        <v>45829.882280092599</v>
      </c>
      <c r="H336" s="59" t="s">
        <v>90</v>
      </c>
      <c r="I336" s="60">
        <v>12000</v>
      </c>
      <c r="J336" s="58" t="s">
        <v>107</v>
      </c>
      <c r="K336" s="61" t="s">
        <v>108</v>
      </c>
      <c r="L336" s="64">
        <v>45806.587708333303</v>
      </c>
      <c r="M336" s="64">
        <v>45812.771111111098</v>
      </c>
    </row>
    <row r="337" spans="1:16" s="38" customFormat="1" ht="14.4" customHeight="1" x14ac:dyDescent="0.25">
      <c r="A337" s="44">
        <v>336</v>
      </c>
      <c r="B337" s="45" t="s">
        <v>85</v>
      </c>
      <c r="C337" s="46" t="s">
        <v>264</v>
      </c>
      <c r="D337" s="38" t="s">
        <v>259</v>
      </c>
      <c r="E337" s="38" t="s">
        <v>106</v>
      </c>
      <c r="F337" s="64">
        <v>45877.882187499999</v>
      </c>
      <c r="G337" s="64">
        <v>45876.8822685185</v>
      </c>
      <c r="H337" s="59" t="s">
        <v>90</v>
      </c>
      <c r="I337" s="60">
        <v>12000</v>
      </c>
      <c r="J337" s="58" t="s">
        <v>107</v>
      </c>
      <c r="K337" s="38" t="s">
        <v>108</v>
      </c>
      <c r="L337" s="64">
        <v>45863.713391203702</v>
      </c>
      <c r="M337" s="64">
        <v>45867.771030092597</v>
      </c>
    </row>
    <row r="338" spans="1:16" s="38" customFormat="1" ht="14.4" customHeight="1" x14ac:dyDescent="0.25">
      <c r="A338" s="44">
        <v>337</v>
      </c>
      <c r="B338" s="45" t="s">
        <v>85</v>
      </c>
      <c r="C338" s="46" t="s">
        <v>264</v>
      </c>
      <c r="D338" s="38" t="s">
        <v>260</v>
      </c>
      <c r="E338" s="38" t="s">
        <v>106</v>
      </c>
      <c r="F338" s="64">
        <v>45877.882187499999</v>
      </c>
      <c r="G338" s="64">
        <v>45876.8822685185</v>
      </c>
      <c r="H338" s="59" t="s">
        <v>90</v>
      </c>
      <c r="I338" s="60">
        <v>12000</v>
      </c>
      <c r="J338" s="58" t="s">
        <v>107</v>
      </c>
      <c r="K338" s="38" t="s">
        <v>108</v>
      </c>
      <c r="L338" s="64">
        <v>45863.713391203702</v>
      </c>
      <c r="M338" s="64">
        <v>45867.771030092597</v>
      </c>
    </row>
    <row r="339" spans="1:16" s="38" customFormat="1" ht="14.4" customHeight="1" x14ac:dyDescent="0.25">
      <c r="A339" s="44">
        <v>338</v>
      </c>
      <c r="B339" s="45" t="s">
        <v>85</v>
      </c>
      <c r="C339" s="46" t="s">
        <v>264</v>
      </c>
      <c r="D339" s="38" t="s">
        <v>261</v>
      </c>
      <c r="E339" s="38" t="s">
        <v>106</v>
      </c>
      <c r="F339" s="64">
        <v>45877.882187499999</v>
      </c>
      <c r="G339" s="64">
        <v>45876.8822685185</v>
      </c>
      <c r="H339" s="59" t="s">
        <v>90</v>
      </c>
      <c r="I339" s="60">
        <v>12000</v>
      </c>
      <c r="J339" s="58" t="s">
        <v>107</v>
      </c>
      <c r="K339" s="38" t="s">
        <v>108</v>
      </c>
      <c r="L339" s="64">
        <v>45863.713391203702</v>
      </c>
      <c r="M339" s="64">
        <v>45867.771030092597</v>
      </c>
    </row>
    <row r="340" spans="1:16" s="38" customFormat="1" ht="14.4" customHeight="1" x14ac:dyDescent="0.25">
      <c r="A340" s="44">
        <v>339</v>
      </c>
      <c r="B340" s="45" t="s">
        <v>85</v>
      </c>
      <c r="C340" s="46" t="s">
        <v>264</v>
      </c>
      <c r="D340" s="38" t="s">
        <v>262</v>
      </c>
      <c r="E340" s="38" t="s">
        <v>106</v>
      </c>
      <c r="F340" s="64">
        <v>45877.882187499999</v>
      </c>
      <c r="G340" s="64">
        <v>45876.8822685185</v>
      </c>
      <c r="H340" s="59" t="s">
        <v>90</v>
      </c>
      <c r="I340" s="60">
        <v>12000</v>
      </c>
      <c r="J340" s="58" t="s">
        <v>107</v>
      </c>
      <c r="K340" s="38" t="s">
        <v>108</v>
      </c>
      <c r="L340" s="64">
        <v>45863.713391203702</v>
      </c>
      <c r="M340" s="64">
        <v>45867.771030092597</v>
      </c>
    </row>
    <row r="341" spans="1:16" s="38" customFormat="1" ht="14.4" customHeight="1" x14ac:dyDescent="0.25">
      <c r="A341" s="44">
        <v>340</v>
      </c>
      <c r="B341" s="45" t="s">
        <v>85</v>
      </c>
      <c r="C341" s="46" t="s">
        <v>264</v>
      </c>
      <c r="D341" s="38" t="s">
        <v>263</v>
      </c>
      <c r="E341" s="61"/>
      <c r="H341" s="59" t="s">
        <v>90</v>
      </c>
      <c r="I341" s="60">
        <v>12000</v>
      </c>
      <c r="K341" s="62"/>
      <c r="L341" s="63"/>
      <c r="M341" s="57"/>
    </row>
    <row r="342" spans="1:16" s="38" customFormat="1" ht="14.4" customHeight="1" x14ac:dyDescent="0.25">
      <c r="A342" s="44">
        <v>341</v>
      </c>
      <c r="B342" s="45" t="s">
        <v>85</v>
      </c>
      <c r="C342" s="46" t="s">
        <v>267</v>
      </c>
      <c r="D342" s="46" t="s">
        <v>87</v>
      </c>
      <c r="E342" s="61"/>
      <c r="H342" s="54" t="s">
        <v>88</v>
      </c>
      <c r="I342" s="55">
        <v>16000</v>
      </c>
      <c r="K342" s="62"/>
      <c r="L342" s="63"/>
      <c r="M342" s="57"/>
    </row>
    <row r="343" spans="1:16" s="38" customFormat="1" ht="14.4" customHeight="1" x14ac:dyDescent="0.25">
      <c r="A343" s="44">
        <v>342</v>
      </c>
      <c r="B343" s="45" t="s">
        <v>85</v>
      </c>
      <c r="C343" s="72" t="s">
        <v>267</v>
      </c>
      <c r="D343" s="72" t="s">
        <v>89</v>
      </c>
      <c r="E343" s="131" t="s">
        <v>106</v>
      </c>
      <c r="F343" s="76">
        <v>46198.882256944402</v>
      </c>
      <c r="G343" s="76">
        <v>46197.882476851897</v>
      </c>
      <c r="H343" s="54" t="s">
        <v>88</v>
      </c>
      <c r="I343" s="55">
        <v>16000</v>
      </c>
      <c r="J343" s="58" t="s">
        <v>107</v>
      </c>
      <c r="K343" s="61" t="s">
        <v>265</v>
      </c>
      <c r="L343" s="64">
        <v>46184.760706018518</v>
      </c>
      <c r="M343" s="64">
        <v>46191.770833333336</v>
      </c>
      <c r="N343" s="67" t="s">
        <v>146</v>
      </c>
      <c r="O343" s="68">
        <v>46193.916782407403</v>
      </c>
      <c r="P343" s="68">
        <v>46192.917002314804</v>
      </c>
    </row>
    <row r="344" spans="1:16" s="38" customFormat="1" ht="14.4" customHeight="1" x14ac:dyDescent="0.25">
      <c r="A344" s="44">
        <v>343</v>
      </c>
      <c r="B344" s="45" t="s">
        <v>85</v>
      </c>
      <c r="C344" s="46" t="s">
        <v>267</v>
      </c>
      <c r="D344" s="46" t="s">
        <v>91</v>
      </c>
      <c r="E344" s="61"/>
      <c r="H344" s="54" t="s">
        <v>88</v>
      </c>
      <c r="I344" s="55">
        <v>16000</v>
      </c>
      <c r="K344" s="62"/>
      <c r="L344" s="63"/>
      <c r="M344" s="57"/>
    </row>
    <row r="345" spans="1:16" s="38" customFormat="1" ht="14.4" customHeight="1" x14ac:dyDescent="0.25">
      <c r="A345" s="44">
        <v>344</v>
      </c>
      <c r="B345" s="45" t="s">
        <v>85</v>
      </c>
      <c r="C345" s="46" t="s">
        <v>267</v>
      </c>
      <c r="D345" s="46" t="s">
        <v>92</v>
      </c>
      <c r="E345" s="61"/>
      <c r="H345" s="54" t="s">
        <v>88</v>
      </c>
      <c r="I345" s="55">
        <v>16000</v>
      </c>
      <c r="K345" s="62"/>
      <c r="L345" s="63"/>
      <c r="M345" s="57"/>
    </row>
    <row r="346" spans="1:16" s="38" customFormat="1" ht="14.4" customHeight="1" x14ac:dyDescent="0.25">
      <c r="A346" s="44">
        <v>345</v>
      </c>
      <c r="B346" s="45" t="s">
        <v>85</v>
      </c>
      <c r="C346" s="46" t="s">
        <v>267</v>
      </c>
      <c r="D346" s="46" t="s">
        <v>93</v>
      </c>
      <c r="E346" s="61"/>
      <c r="H346" s="54" t="s">
        <v>88</v>
      </c>
      <c r="I346" s="55">
        <v>16000</v>
      </c>
      <c r="K346" s="62"/>
      <c r="L346" s="63"/>
      <c r="M346" s="57"/>
    </row>
    <row r="347" spans="1:16" s="38" customFormat="1" ht="14.4" customHeight="1" x14ac:dyDescent="0.25">
      <c r="A347" s="44">
        <v>346</v>
      </c>
      <c r="B347" s="45" t="s">
        <v>85</v>
      </c>
      <c r="C347" s="46" t="s">
        <v>267</v>
      </c>
      <c r="D347" s="46" t="s">
        <v>94</v>
      </c>
      <c r="E347" s="61"/>
      <c r="H347" s="54" t="s">
        <v>88</v>
      </c>
      <c r="I347" s="55">
        <v>16000</v>
      </c>
      <c r="K347" s="62"/>
      <c r="L347" s="63"/>
      <c r="M347" s="57"/>
    </row>
    <row r="348" spans="1:16" s="38" customFormat="1" ht="14.4" customHeight="1" x14ac:dyDescent="0.25">
      <c r="A348" s="44">
        <v>347</v>
      </c>
      <c r="B348" s="45" t="s">
        <v>85</v>
      </c>
      <c r="C348" s="46" t="s">
        <v>267</v>
      </c>
      <c r="D348" s="46" t="s">
        <v>95</v>
      </c>
      <c r="E348" s="61"/>
      <c r="H348" s="54" t="s">
        <v>88</v>
      </c>
      <c r="I348" s="55">
        <v>16000</v>
      </c>
      <c r="K348" s="62"/>
      <c r="L348" s="63"/>
      <c r="M348" s="57"/>
    </row>
    <row r="349" spans="1:16" s="38" customFormat="1" ht="14.4" customHeight="1" x14ac:dyDescent="0.25">
      <c r="A349" s="44">
        <v>348</v>
      </c>
      <c r="B349" s="45" t="s">
        <v>85</v>
      </c>
      <c r="C349" s="46" t="s">
        <v>267</v>
      </c>
      <c r="D349" s="46" t="s">
        <v>96</v>
      </c>
      <c r="E349" s="61" t="s">
        <v>265</v>
      </c>
      <c r="F349" s="64">
        <v>45856.592615740701</v>
      </c>
      <c r="G349" s="64">
        <v>45859.771087963003</v>
      </c>
      <c r="H349" s="54" t="s">
        <v>88</v>
      </c>
      <c r="I349" s="55">
        <v>16000</v>
      </c>
      <c r="J349" s="58" t="s">
        <v>107</v>
      </c>
      <c r="K349" s="62"/>
      <c r="L349" s="63"/>
      <c r="M349" s="57"/>
    </row>
    <row r="350" spans="1:16" s="38" customFormat="1" ht="14.4" customHeight="1" x14ac:dyDescent="0.25">
      <c r="A350" s="44">
        <v>349</v>
      </c>
      <c r="B350" s="45" t="s">
        <v>85</v>
      </c>
      <c r="C350" s="46" t="s">
        <v>267</v>
      </c>
      <c r="D350" s="46" t="s">
        <v>97</v>
      </c>
      <c r="E350" s="61" t="s">
        <v>265</v>
      </c>
      <c r="F350" s="64">
        <v>45429.5702199074</v>
      </c>
      <c r="G350" s="64">
        <v>45430.691585648201</v>
      </c>
      <c r="H350" s="54" t="s">
        <v>88</v>
      </c>
      <c r="I350" s="55">
        <v>16000</v>
      </c>
      <c r="J350" s="58" t="s">
        <v>107</v>
      </c>
      <c r="K350" s="62"/>
      <c r="L350" s="63"/>
      <c r="M350" s="57"/>
    </row>
    <row r="351" spans="1:16" s="38" customFormat="1" ht="14.4" customHeight="1" x14ac:dyDescent="0.25">
      <c r="A351" s="44">
        <v>350</v>
      </c>
      <c r="B351" s="45" t="s">
        <v>85</v>
      </c>
      <c r="C351" s="46" t="s">
        <v>267</v>
      </c>
      <c r="D351" s="46" t="s">
        <v>98</v>
      </c>
      <c r="E351" s="61" t="s">
        <v>265</v>
      </c>
      <c r="F351" s="64">
        <v>45429.5719328704</v>
      </c>
      <c r="G351" s="64">
        <v>45430.691701388903</v>
      </c>
      <c r="H351" s="54" t="s">
        <v>88</v>
      </c>
      <c r="I351" s="55">
        <v>16000</v>
      </c>
      <c r="J351" s="58" t="s">
        <v>107</v>
      </c>
      <c r="K351" s="62"/>
      <c r="L351" s="63"/>
      <c r="M351" s="57"/>
    </row>
    <row r="352" spans="1:16" s="38" customFormat="1" ht="14.4" customHeight="1" x14ac:dyDescent="0.25">
      <c r="A352" s="44">
        <v>351</v>
      </c>
      <c r="B352" s="45" t="s">
        <v>85</v>
      </c>
      <c r="C352" s="46" t="s">
        <v>267</v>
      </c>
      <c r="D352" s="46" t="s">
        <v>99</v>
      </c>
      <c r="E352" s="61" t="s">
        <v>265</v>
      </c>
      <c r="F352" s="64">
        <v>45429.5785763889</v>
      </c>
      <c r="G352" s="64">
        <v>45430.691782407397</v>
      </c>
      <c r="H352" s="54" t="s">
        <v>88</v>
      </c>
      <c r="I352" s="55">
        <v>16000</v>
      </c>
      <c r="J352" s="58" t="s">
        <v>107</v>
      </c>
      <c r="K352" s="62"/>
      <c r="L352" s="63"/>
      <c r="M352" s="57"/>
    </row>
    <row r="353" spans="1:16" s="38" customFormat="1" ht="14.4" customHeight="1" x14ac:dyDescent="0.25">
      <c r="A353" s="44">
        <v>352</v>
      </c>
      <c r="B353" s="45" t="s">
        <v>85</v>
      </c>
      <c r="C353" s="46" t="s">
        <v>267</v>
      </c>
      <c r="D353" s="46" t="s">
        <v>100</v>
      </c>
      <c r="E353" s="61" t="s">
        <v>265</v>
      </c>
      <c r="F353" s="64">
        <v>45429.569537037001</v>
      </c>
      <c r="G353" s="64">
        <v>45430.690833333298</v>
      </c>
      <c r="H353" s="54" t="s">
        <v>88</v>
      </c>
      <c r="I353" s="55">
        <v>16000</v>
      </c>
      <c r="J353" s="58" t="s">
        <v>107</v>
      </c>
      <c r="K353" s="62"/>
      <c r="L353" s="63"/>
      <c r="M353" s="57"/>
    </row>
    <row r="354" spans="1:16" s="38" customFormat="1" ht="14.4" customHeight="1" x14ac:dyDescent="0.25">
      <c r="A354" s="44">
        <v>353</v>
      </c>
      <c r="B354" s="45" t="s">
        <v>85</v>
      </c>
      <c r="C354" s="46" t="s">
        <v>267</v>
      </c>
      <c r="D354" s="46" t="s">
        <v>105</v>
      </c>
      <c r="E354" s="61"/>
      <c r="H354" s="54" t="s">
        <v>88</v>
      </c>
      <c r="I354" s="55">
        <v>16000</v>
      </c>
      <c r="K354" s="62"/>
      <c r="L354" s="63"/>
      <c r="M354" s="57"/>
    </row>
    <row r="355" spans="1:16" s="38" customFormat="1" ht="14.4" customHeight="1" x14ac:dyDescent="0.25">
      <c r="A355" s="44">
        <v>354</v>
      </c>
      <c r="B355" s="45" t="s">
        <v>85</v>
      </c>
      <c r="C355" s="72" t="s">
        <v>267</v>
      </c>
      <c r="D355" s="72" t="s">
        <v>109</v>
      </c>
      <c r="E355" s="131" t="s">
        <v>106</v>
      </c>
      <c r="F355" s="76">
        <v>46198.882256944402</v>
      </c>
      <c r="G355" s="76">
        <v>46197.882476851897</v>
      </c>
      <c r="H355" s="54" t="s">
        <v>88</v>
      </c>
      <c r="I355" s="55">
        <v>16000</v>
      </c>
      <c r="J355" s="58" t="s">
        <v>107</v>
      </c>
      <c r="K355" s="61" t="s">
        <v>265</v>
      </c>
      <c r="L355" s="64">
        <v>46184.760706018518</v>
      </c>
      <c r="M355" s="64">
        <v>46191.770833333336</v>
      </c>
      <c r="N355" s="67" t="s">
        <v>146</v>
      </c>
      <c r="O355" s="68">
        <v>46195.916770833297</v>
      </c>
      <c r="P355" s="68">
        <v>46194.916979166701</v>
      </c>
    </row>
    <row r="356" spans="1:16" s="38" customFormat="1" ht="14.4" customHeight="1" x14ac:dyDescent="0.25">
      <c r="A356" s="44">
        <v>355</v>
      </c>
      <c r="B356" s="45" t="s">
        <v>85</v>
      </c>
      <c r="C356" s="46" t="s">
        <v>267</v>
      </c>
      <c r="D356" s="46" t="s">
        <v>110</v>
      </c>
      <c r="E356" s="61"/>
      <c r="H356" s="54" t="s">
        <v>88</v>
      </c>
      <c r="I356" s="55">
        <v>16000</v>
      </c>
      <c r="K356" s="62"/>
      <c r="L356" s="63"/>
      <c r="M356" s="57"/>
    </row>
    <row r="357" spans="1:16" s="38" customFormat="1" ht="14.4" customHeight="1" x14ac:dyDescent="0.25">
      <c r="A357" s="44">
        <v>356</v>
      </c>
      <c r="B357" s="45" t="s">
        <v>85</v>
      </c>
      <c r="C357" s="46" t="s">
        <v>267</v>
      </c>
      <c r="D357" s="46" t="s">
        <v>111</v>
      </c>
      <c r="E357" s="61"/>
      <c r="H357" s="54" t="s">
        <v>88</v>
      </c>
      <c r="I357" s="55">
        <v>16000</v>
      </c>
      <c r="K357" s="62"/>
      <c r="L357" s="63"/>
      <c r="M357" s="57"/>
    </row>
    <row r="358" spans="1:16" s="38" customFormat="1" ht="14.4" customHeight="1" x14ac:dyDescent="0.25">
      <c r="A358" s="44">
        <v>357</v>
      </c>
      <c r="B358" s="45" t="s">
        <v>85</v>
      </c>
      <c r="C358" s="46" t="s">
        <v>267</v>
      </c>
      <c r="D358" s="46" t="s">
        <v>112</v>
      </c>
      <c r="E358" s="61"/>
      <c r="H358" s="54" t="s">
        <v>88</v>
      </c>
      <c r="I358" s="55">
        <v>16000</v>
      </c>
      <c r="K358" s="62"/>
      <c r="L358" s="63"/>
      <c r="M358" s="57"/>
    </row>
    <row r="359" spans="1:16" s="38" customFormat="1" ht="14.4" customHeight="1" x14ac:dyDescent="0.25">
      <c r="A359" s="44">
        <v>358</v>
      </c>
      <c r="B359" s="45" t="s">
        <v>85</v>
      </c>
      <c r="C359" s="46" t="s">
        <v>267</v>
      </c>
      <c r="D359" s="46" t="s">
        <v>113</v>
      </c>
      <c r="E359" s="61"/>
      <c r="H359" s="54" t="s">
        <v>88</v>
      </c>
      <c r="I359" s="55">
        <v>16000</v>
      </c>
      <c r="K359" s="62"/>
      <c r="L359" s="63"/>
      <c r="M359" s="57"/>
    </row>
    <row r="360" spans="1:16" s="38" customFormat="1" ht="14.4" customHeight="1" x14ac:dyDescent="0.25">
      <c r="A360" s="44">
        <v>359</v>
      </c>
      <c r="B360" s="45" t="s">
        <v>85</v>
      </c>
      <c r="C360" s="46" t="s">
        <v>267</v>
      </c>
      <c r="D360" s="46" t="s">
        <v>114</v>
      </c>
      <c r="E360" s="61"/>
      <c r="H360" s="54" t="s">
        <v>88</v>
      </c>
      <c r="I360" s="55">
        <v>16000</v>
      </c>
      <c r="K360" s="62"/>
      <c r="L360" s="63"/>
      <c r="M360" s="57"/>
    </row>
    <row r="361" spans="1:16" s="38" customFormat="1" ht="14.4" customHeight="1" x14ac:dyDescent="0.25">
      <c r="A361" s="44">
        <v>360</v>
      </c>
      <c r="B361" s="45" t="s">
        <v>85</v>
      </c>
      <c r="C361" s="46" t="s">
        <v>267</v>
      </c>
      <c r="D361" s="46" t="s">
        <v>115</v>
      </c>
      <c r="E361" s="61" t="s">
        <v>265</v>
      </c>
      <c r="F361" s="64">
        <v>45856.592615740701</v>
      </c>
      <c r="G361" s="64">
        <v>45859.771087963003</v>
      </c>
      <c r="H361" s="54" t="s">
        <v>88</v>
      </c>
      <c r="I361" s="55">
        <v>16000</v>
      </c>
      <c r="J361" s="58" t="s">
        <v>107</v>
      </c>
      <c r="K361" s="62"/>
      <c r="L361" s="63"/>
      <c r="M361" s="57"/>
    </row>
    <row r="362" spans="1:16" s="38" customFormat="1" ht="14.4" customHeight="1" x14ac:dyDescent="0.25">
      <c r="A362" s="44">
        <v>361</v>
      </c>
      <c r="B362" s="45" t="s">
        <v>85</v>
      </c>
      <c r="C362" s="46" t="s">
        <v>267</v>
      </c>
      <c r="D362" s="46" t="s">
        <v>116</v>
      </c>
      <c r="E362" s="61"/>
      <c r="H362" s="54" t="s">
        <v>88</v>
      </c>
      <c r="I362" s="55">
        <v>16000</v>
      </c>
      <c r="K362" s="62"/>
      <c r="L362" s="63"/>
      <c r="M362" s="57"/>
    </row>
    <row r="363" spans="1:16" s="38" customFormat="1" ht="14.4" customHeight="1" x14ac:dyDescent="0.25">
      <c r="A363" s="44">
        <v>362</v>
      </c>
      <c r="B363" s="45" t="s">
        <v>85</v>
      </c>
      <c r="C363" s="46" t="s">
        <v>267</v>
      </c>
      <c r="D363" s="46" t="s">
        <v>117</v>
      </c>
      <c r="E363" s="61" t="s">
        <v>265</v>
      </c>
      <c r="F363" s="64">
        <v>45429.460902777799</v>
      </c>
      <c r="G363" s="64">
        <v>45430.691863425898</v>
      </c>
      <c r="H363" s="54" t="s">
        <v>88</v>
      </c>
      <c r="I363" s="55">
        <v>16000</v>
      </c>
      <c r="J363" s="58" t="s">
        <v>107</v>
      </c>
      <c r="K363" s="62"/>
      <c r="L363" s="63"/>
      <c r="M363" s="57"/>
    </row>
    <row r="364" spans="1:16" s="38" customFormat="1" ht="14.4" customHeight="1" x14ac:dyDescent="0.25">
      <c r="A364" s="44">
        <v>363</v>
      </c>
      <c r="B364" s="45" t="s">
        <v>85</v>
      </c>
      <c r="C364" s="46" t="s">
        <v>267</v>
      </c>
      <c r="D364" s="46" t="s">
        <v>118</v>
      </c>
      <c r="E364" s="61" t="s">
        <v>265</v>
      </c>
      <c r="F364" s="64">
        <v>45429.5730092593</v>
      </c>
      <c r="G364" s="64">
        <v>45430.690879629597</v>
      </c>
      <c r="H364" s="54" t="s">
        <v>88</v>
      </c>
      <c r="I364" s="55">
        <v>16000</v>
      </c>
      <c r="J364" s="58" t="s">
        <v>107</v>
      </c>
      <c r="K364" s="62"/>
      <c r="L364" s="63"/>
      <c r="M364" s="57"/>
    </row>
    <row r="365" spans="1:16" s="38" customFormat="1" ht="14.4" customHeight="1" x14ac:dyDescent="0.25">
      <c r="A365" s="44">
        <v>364</v>
      </c>
      <c r="B365" s="45" t="s">
        <v>85</v>
      </c>
      <c r="C365" s="46" t="s">
        <v>267</v>
      </c>
      <c r="D365" s="46" t="s">
        <v>119</v>
      </c>
      <c r="E365" s="61" t="s">
        <v>265</v>
      </c>
      <c r="F365" s="64">
        <v>45429.567766203698</v>
      </c>
      <c r="G365" s="64">
        <v>45430.691979166702</v>
      </c>
      <c r="H365" s="54" t="s">
        <v>88</v>
      </c>
      <c r="I365" s="55">
        <v>16000</v>
      </c>
      <c r="J365" s="58" t="s">
        <v>107</v>
      </c>
      <c r="K365" s="62"/>
      <c r="L365" s="63"/>
      <c r="M365" s="57"/>
    </row>
    <row r="366" spans="1:16" s="38" customFormat="1" ht="14.4" customHeight="1" x14ac:dyDescent="0.25">
      <c r="A366" s="44">
        <v>365</v>
      </c>
      <c r="B366" s="45" t="s">
        <v>85</v>
      </c>
      <c r="C366" s="46" t="s">
        <v>267</v>
      </c>
      <c r="D366" s="46" t="s">
        <v>120</v>
      </c>
      <c r="E366" s="61" t="s">
        <v>265</v>
      </c>
      <c r="F366" s="64">
        <v>45429.573946759301</v>
      </c>
      <c r="G366" s="64">
        <v>45430.690949074102</v>
      </c>
      <c r="H366" s="54" t="s">
        <v>88</v>
      </c>
      <c r="I366" s="55">
        <v>16000</v>
      </c>
      <c r="J366" s="58" t="s">
        <v>107</v>
      </c>
      <c r="K366" s="62"/>
      <c r="L366" s="63"/>
      <c r="M366" s="57"/>
    </row>
    <row r="367" spans="1:16" s="38" customFormat="1" ht="14.4" customHeight="1" x14ac:dyDescent="0.25">
      <c r="A367" s="44">
        <v>366</v>
      </c>
      <c r="B367" s="45" t="s">
        <v>85</v>
      </c>
      <c r="C367" s="46" t="s">
        <v>267</v>
      </c>
      <c r="D367" s="46" t="s">
        <v>121</v>
      </c>
      <c r="E367" s="61" t="s">
        <v>265</v>
      </c>
      <c r="F367" s="64">
        <v>45429.578298611101</v>
      </c>
      <c r="G367" s="64">
        <v>45430.691030092603</v>
      </c>
      <c r="H367" s="54" t="s">
        <v>88</v>
      </c>
      <c r="I367" s="55">
        <v>16000</v>
      </c>
      <c r="J367" s="58" t="s">
        <v>107</v>
      </c>
      <c r="K367" s="62"/>
      <c r="L367" s="63"/>
      <c r="M367" s="57"/>
    </row>
    <row r="368" spans="1:16" s="38" customFormat="1" ht="14.4" customHeight="1" x14ac:dyDescent="0.25">
      <c r="A368" s="44">
        <v>367</v>
      </c>
      <c r="B368" s="45" t="s">
        <v>85</v>
      </c>
      <c r="C368" s="46" t="s">
        <v>267</v>
      </c>
      <c r="D368" s="38" t="s">
        <v>126</v>
      </c>
      <c r="E368" s="61" t="s">
        <v>265</v>
      </c>
      <c r="F368" s="64">
        <v>46184.760648148149</v>
      </c>
      <c r="G368" s="64">
        <v>46191.770833333336</v>
      </c>
      <c r="H368" s="54" t="s">
        <v>88</v>
      </c>
      <c r="I368" s="55">
        <v>16000</v>
      </c>
      <c r="J368" s="58" t="s">
        <v>107</v>
      </c>
      <c r="K368" s="62"/>
      <c r="L368" s="63"/>
      <c r="M368" s="57"/>
    </row>
    <row r="369" spans="1:16" s="38" customFormat="1" ht="14.4" customHeight="1" x14ac:dyDescent="0.25">
      <c r="A369" s="44">
        <v>368</v>
      </c>
      <c r="B369" s="45" t="s">
        <v>85</v>
      </c>
      <c r="C369" s="46" t="s">
        <v>267</v>
      </c>
      <c r="D369" s="38" t="s">
        <v>128</v>
      </c>
      <c r="E369" s="61"/>
      <c r="H369" s="54" t="s">
        <v>88</v>
      </c>
      <c r="I369" s="55">
        <v>16000</v>
      </c>
      <c r="K369" s="62"/>
      <c r="L369" s="63"/>
      <c r="M369" s="57"/>
    </row>
    <row r="370" spans="1:16" s="38" customFormat="1" ht="14.4" customHeight="1" x14ac:dyDescent="0.25">
      <c r="A370" s="44">
        <v>369</v>
      </c>
      <c r="B370" s="45" t="s">
        <v>85</v>
      </c>
      <c r="C370" s="46" t="s">
        <v>267</v>
      </c>
      <c r="D370" s="38" t="s">
        <v>129</v>
      </c>
      <c r="E370" s="61"/>
      <c r="H370" s="54" t="s">
        <v>88</v>
      </c>
      <c r="I370" s="55">
        <v>16000</v>
      </c>
      <c r="K370" s="62"/>
      <c r="L370" s="63"/>
      <c r="M370" s="57"/>
    </row>
    <row r="371" spans="1:16" s="38" customFormat="1" ht="14.4" customHeight="1" x14ac:dyDescent="0.25">
      <c r="A371" s="44">
        <v>370</v>
      </c>
      <c r="B371" s="45" t="s">
        <v>85</v>
      </c>
      <c r="C371" s="46" t="s">
        <v>267</v>
      </c>
      <c r="D371" s="38" t="s">
        <v>130</v>
      </c>
      <c r="E371" s="61"/>
      <c r="H371" s="54" t="s">
        <v>88</v>
      </c>
      <c r="I371" s="55">
        <v>16000</v>
      </c>
      <c r="K371" s="62"/>
      <c r="L371" s="63"/>
      <c r="M371" s="57"/>
    </row>
    <row r="372" spans="1:16" s="38" customFormat="1" ht="14.4" customHeight="1" x14ac:dyDescent="0.25">
      <c r="A372" s="44">
        <v>371</v>
      </c>
      <c r="B372" s="45" t="s">
        <v>85</v>
      </c>
      <c r="C372" s="46" t="s">
        <v>267</v>
      </c>
      <c r="D372" s="38" t="s">
        <v>131</v>
      </c>
      <c r="E372" s="61"/>
      <c r="H372" s="54" t="s">
        <v>88</v>
      </c>
      <c r="I372" s="55">
        <v>16000</v>
      </c>
      <c r="K372" s="62"/>
      <c r="L372" s="63"/>
      <c r="M372" s="57"/>
    </row>
    <row r="373" spans="1:16" s="38" customFormat="1" ht="14.4" customHeight="1" x14ac:dyDescent="0.25">
      <c r="A373" s="44">
        <v>372</v>
      </c>
      <c r="B373" s="45" t="s">
        <v>85</v>
      </c>
      <c r="C373" s="46" t="s">
        <v>267</v>
      </c>
      <c r="D373" s="38" t="s">
        <v>132</v>
      </c>
      <c r="E373" s="61"/>
      <c r="H373" s="54" t="s">
        <v>88</v>
      </c>
      <c r="I373" s="55">
        <v>16000</v>
      </c>
      <c r="K373" s="62"/>
      <c r="L373" s="63"/>
      <c r="M373" s="57"/>
    </row>
    <row r="374" spans="1:16" s="38" customFormat="1" ht="14.4" customHeight="1" x14ac:dyDescent="0.25">
      <c r="A374" s="44">
        <v>373</v>
      </c>
      <c r="B374" s="45" t="s">
        <v>85</v>
      </c>
      <c r="C374" s="46" t="s">
        <v>267</v>
      </c>
      <c r="D374" s="38" t="s">
        <v>133</v>
      </c>
      <c r="E374" s="61"/>
      <c r="H374" s="54" t="s">
        <v>88</v>
      </c>
      <c r="I374" s="55">
        <v>16000</v>
      </c>
      <c r="K374" s="62"/>
      <c r="L374" s="63"/>
      <c r="M374" s="57"/>
    </row>
    <row r="375" spans="1:16" s="38" customFormat="1" ht="14.4" customHeight="1" x14ac:dyDescent="0.25">
      <c r="A375" s="44">
        <v>374</v>
      </c>
      <c r="B375" s="45" t="s">
        <v>85</v>
      </c>
      <c r="C375" s="46" t="s">
        <v>267</v>
      </c>
      <c r="D375" s="38" t="s">
        <v>134</v>
      </c>
      <c r="E375" s="61" t="s">
        <v>265</v>
      </c>
      <c r="F375" s="64">
        <v>45856.592615740701</v>
      </c>
      <c r="G375" s="64">
        <v>45859.771087963003</v>
      </c>
      <c r="H375" s="54" t="s">
        <v>88</v>
      </c>
      <c r="I375" s="55">
        <v>16000</v>
      </c>
      <c r="J375" s="58" t="s">
        <v>107</v>
      </c>
      <c r="K375" s="62"/>
      <c r="L375" s="63"/>
      <c r="M375" s="57"/>
    </row>
    <row r="376" spans="1:16" s="38" customFormat="1" ht="14.4" customHeight="1" x14ac:dyDescent="0.25">
      <c r="A376" s="44">
        <v>375</v>
      </c>
      <c r="B376" s="45" t="s">
        <v>85</v>
      </c>
      <c r="C376" s="46" t="s">
        <v>267</v>
      </c>
      <c r="D376" s="38" t="s">
        <v>135</v>
      </c>
      <c r="E376" s="61"/>
      <c r="H376" s="54" t="s">
        <v>88</v>
      </c>
      <c r="I376" s="55">
        <v>16000</v>
      </c>
      <c r="K376" s="62"/>
      <c r="L376" s="63"/>
      <c r="M376" s="57"/>
    </row>
    <row r="377" spans="1:16" s="38" customFormat="1" ht="14.4" customHeight="1" x14ac:dyDescent="0.25">
      <c r="A377" s="44">
        <v>376</v>
      </c>
      <c r="B377" s="45" t="s">
        <v>85</v>
      </c>
      <c r="C377" s="46" t="s">
        <v>267</v>
      </c>
      <c r="D377" s="38" t="s">
        <v>136</v>
      </c>
      <c r="E377" s="61"/>
      <c r="H377" s="54" t="s">
        <v>88</v>
      </c>
      <c r="I377" s="55">
        <v>16000</v>
      </c>
      <c r="K377" s="62"/>
      <c r="L377" s="63"/>
      <c r="M377" s="57"/>
    </row>
    <row r="378" spans="1:16" s="38" customFormat="1" ht="14.4" customHeight="1" x14ac:dyDescent="0.25">
      <c r="A378" s="44">
        <v>377</v>
      </c>
      <c r="B378" s="45" t="s">
        <v>85</v>
      </c>
      <c r="C378" s="46" t="s">
        <v>267</v>
      </c>
      <c r="D378" s="38" t="s">
        <v>137</v>
      </c>
      <c r="E378" s="61" t="s">
        <v>265</v>
      </c>
      <c r="F378" s="64">
        <v>45793.684976851902</v>
      </c>
      <c r="G378" s="64">
        <v>45794.750254629602</v>
      </c>
      <c r="H378" s="54" t="s">
        <v>88</v>
      </c>
      <c r="I378" s="55">
        <v>16000</v>
      </c>
      <c r="J378" s="58" t="s">
        <v>107</v>
      </c>
      <c r="K378" s="62"/>
      <c r="L378" s="63"/>
      <c r="M378" s="57"/>
    </row>
    <row r="379" spans="1:16" s="38" customFormat="1" ht="14.4" customHeight="1" x14ac:dyDescent="0.25">
      <c r="A379" s="44">
        <v>378</v>
      </c>
      <c r="B379" s="45" t="s">
        <v>85</v>
      </c>
      <c r="C379" s="46" t="s">
        <v>267</v>
      </c>
      <c r="D379" s="38" t="s">
        <v>138</v>
      </c>
      <c r="E379" s="61" t="s">
        <v>265</v>
      </c>
      <c r="F379" s="64">
        <v>45793.684976851902</v>
      </c>
      <c r="G379" s="64">
        <v>45794.750254629602</v>
      </c>
      <c r="H379" s="54" t="s">
        <v>88</v>
      </c>
      <c r="I379" s="55">
        <v>16000</v>
      </c>
      <c r="J379" s="58" t="s">
        <v>107</v>
      </c>
      <c r="K379" s="62"/>
      <c r="L379" s="63"/>
      <c r="M379" s="57"/>
    </row>
    <row r="380" spans="1:16" s="38" customFormat="1" ht="14.4" customHeight="1" x14ac:dyDescent="0.25">
      <c r="A380" s="44">
        <v>379</v>
      </c>
      <c r="B380" s="45" t="s">
        <v>85</v>
      </c>
      <c r="C380" s="72" t="s">
        <v>267</v>
      </c>
      <c r="D380" s="72" t="s">
        <v>143</v>
      </c>
      <c r="E380" s="131" t="s">
        <v>106</v>
      </c>
      <c r="F380" s="76">
        <v>46198.882256944402</v>
      </c>
      <c r="G380" s="76">
        <v>46197.882476851897</v>
      </c>
      <c r="H380" s="54" t="s">
        <v>88</v>
      </c>
      <c r="I380" s="55">
        <v>16000</v>
      </c>
      <c r="J380" s="58" t="s">
        <v>107</v>
      </c>
      <c r="K380" s="61" t="s">
        <v>265</v>
      </c>
      <c r="L380" s="64">
        <v>46184.760648148149</v>
      </c>
      <c r="M380" s="64">
        <v>46191.770833333336</v>
      </c>
      <c r="N380" s="67" t="s">
        <v>146</v>
      </c>
      <c r="O380" s="68">
        <v>46193.916782407403</v>
      </c>
      <c r="P380" s="68">
        <v>46192.917002314804</v>
      </c>
    </row>
    <row r="381" spans="1:16" s="38" customFormat="1" ht="14.4" customHeight="1" x14ac:dyDescent="0.25">
      <c r="A381" s="44">
        <v>380</v>
      </c>
      <c r="B381" s="45" t="s">
        <v>85</v>
      </c>
      <c r="C381" s="46" t="s">
        <v>267</v>
      </c>
      <c r="D381" s="38" t="s">
        <v>144</v>
      </c>
      <c r="E381" s="61"/>
      <c r="H381" s="54" t="s">
        <v>88</v>
      </c>
      <c r="I381" s="55">
        <v>16000</v>
      </c>
      <c r="K381" s="62"/>
      <c r="L381" s="63"/>
      <c r="M381" s="57"/>
    </row>
    <row r="382" spans="1:16" s="38" customFormat="1" ht="14.4" customHeight="1" x14ac:dyDescent="0.25">
      <c r="A382" s="44">
        <v>381</v>
      </c>
      <c r="B382" s="45" t="s">
        <v>85</v>
      </c>
      <c r="C382" s="46" t="s">
        <v>267</v>
      </c>
      <c r="D382" s="38" t="s">
        <v>145</v>
      </c>
      <c r="E382" s="61"/>
      <c r="H382" s="54" t="s">
        <v>88</v>
      </c>
      <c r="I382" s="55">
        <v>16000</v>
      </c>
      <c r="K382" s="62"/>
      <c r="L382" s="63"/>
      <c r="M382" s="57"/>
    </row>
    <row r="383" spans="1:16" s="38" customFormat="1" ht="14.4" customHeight="1" x14ac:dyDescent="0.25">
      <c r="A383" s="44">
        <v>382</v>
      </c>
      <c r="B383" s="45" t="s">
        <v>85</v>
      </c>
      <c r="C383" s="46" t="s">
        <v>267</v>
      </c>
      <c r="D383" s="38" t="s">
        <v>147</v>
      </c>
      <c r="E383" s="61"/>
      <c r="H383" s="54" t="s">
        <v>88</v>
      </c>
      <c r="I383" s="55">
        <v>16000</v>
      </c>
      <c r="K383" s="62"/>
      <c r="L383" s="63"/>
      <c r="M383" s="57"/>
    </row>
    <row r="384" spans="1:16" s="38" customFormat="1" ht="14.4" customHeight="1" x14ac:dyDescent="0.25">
      <c r="A384" s="44">
        <v>383</v>
      </c>
      <c r="B384" s="45" t="s">
        <v>85</v>
      </c>
      <c r="C384" s="46" t="s">
        <v>267</v>
      </c>
      <c r="D384" s="38" t="s">
        <v>148</v>
      </c>
      <c r="E384" s="61"/>
      <c r="H384" s="54" t="s">
        <v>88</v>
      </c>
      <c r="I384" s="55">
        <v>16000</v>
      </c>
      <c r="K384" s="62"/>
      <c r="L384" s="63"/>
      <c r="M384" s="57"/>
    </row>
    <row r="385" spans="1:16" s="38" customFormat="1" ht="14.4" customHeight="1" x14ac:dyDescent="0.25">
      <c r="A385" s="44">
        <v>384</v>
      </c>
      <c r="B385" s="45" t="s">
        <v>85</v>
      </c>
      <c r="C385" s="46" t="s">
        <v>267</v>
      </c>
      <c r="D385" s="38" t="s">
        <v>149</v>
      </c>
      <c r="E385" s="61"/>
      <c r="H385" s="54" t="s">
        <v>88</v>
      </c>
      <c r="I385" s="55">
        <v>16000</v>
      </c>
      <c r="K385" s="62"/>
      <c r="L385" s="63"/>
      <c r="M385" s="57"/>
    </row>
    <row r="386" spans="1:16" s="38" customFormat="1" ht="14.4" customHeight="1" x14ac:dyDescent="0.25">
      <c r="A386" s="44">
        <v>385</v>
      </c>
      <c r="B386" s="45" t="s">
        <v>85</v>
      </c>
      <c r="C386" s="46" t="s">
        <v>267</v>
      </c>
      <c r="D386" s="38" t="s">
        <v>150</v>
      </c>
      <c r="E386" s="61"/>
      <c r="H386" s="54" t="s">
        <v>88</v>
      </c>
      <c r="I386" s="55">
        <v>16000</v>
      </c>
      <c r="K386" s="62"/>
      <c r="L386" s="63"/>
      <c r="M386" s="57"/>
    </row>
    <row r="387" spans="1:16" s="38" customFormat="1" ht="14.4" customHeight="1" x14ac:dyDescent="0.25">
      <c r="A387" s="44">
        <v>386</v>
      </c>
      <c r="B387" s="45" t="s">
        <v>85</v>
      </c>
      <c r="C387" s="46" t="s">
        <v>267</v>
      </c>
      <c r="D387" s="38" t="s">
        <v>151</v>
      </c>
      <c r="E387" s="61" t="s">
        <v>265</v>
      </c>
      <c r="F387" s="64">
        <v>45856.592615740701</v>
      </c>
      <c r="G387" s="64">
        <v>45859.771087963003</v>
      </c>
      <c r="H387" s="54" t="s">
        <v>88</v>
      </c>
      <c r="I387" s="55">
        <v>16000</v>
      </c>
      <c r="J387" s="58" t="s">
        <v>107</v>
      </c>
      <c r="K387" s="62"/>
      <c r="L387" s="63"/>
      <c r="M387" s="57"/>
    </row>
    <row r="388" spans="1:16" s="38" customFormat="1" ht="14.4" customHeight="1" x14ac:dyDescent="0.25">
      <c r="A388" s="44">
        <v>387</v>
      </c>
      <c r="B388" s="45" t="s">
        <v>85</v>
      </c>
      <c r="C388" s="46" t="s">
        <v>267</v>
      </c>
      <c r="D388" s="38" t="s">
        <v>152</v>
      </c>
      <c r="E388" s="61"/>
      <c r="H388" s="54" t="s">
        <v>88</v>
      </c>
      <c r="I388" s="55">
        <v>16000</v>
      </c>
      <c r="K388" s="62"/>
      <c r="L388" s="63"/>
      <c r="M388" s="57"/>
    </row>
    <row r="389" spans="1:16" s="38" customFormat="1" ht="14.4" customHeight="1" x14ac:dyDescent="0.25">
      <c r="A389" s="44">
        <v>388</v>
      </c>
      <c r="B389" s="45" t="s">
        <v>85</v>
      </c>
      <c r="C389" s="46" t="s">
        <v>267</v>
      </c>
      <c r="D389" s="38" t="s">
        <v>153</v>
      </c>
      <c r="E389" s="38" t="s">
        <v>106</v>
      </c>
      <c r="F389" s="64">
        <v>45857.882187499999</v>
      </c>
      <c r="G389" s="64">
        <v>45856.882256944402</v>
      </c>
      <c r="H389" s="54" t="s">
        <v>88</v>
      </c>
      <c r="I389" s="55">
        <v>16000</v>
      </c>
      <c r="J389" s="58" t="s">
        <v>107</v>
      </c>
      <c r="K389" s="61" t="s">
        <v>265</v>
      </c>
      <c r="L389" s="64">
        <v>45833.684976851902</v>
      </c>
      <c r="M389" s="64">
        <v>45833.771087963003</v>
      </c>
      <c r="N389" s="38" t="s">
        <v>146</v>
      </c>
      <c r="O389" s="64">
        <v>45835.916793981502</v>
      </c>
      <c r="P389" s="64">
        <v>45834.916875000003</v>
      </c>
    </row>
    <row r="390" spans="1:16" s="38" customFormat="1" ht="14.4" customHeight="1" x14ac:dyDescent="0.25">
      <c r="A390" s="44">
        <v>389</v>
      </c>
      <c r="B390" s="45" t="s">
        <v>85</v>
      </c>
      <c r="C390" s="46" t="s">
        <v>267</v>
      </c>
      <c r="D390" s="38" t="s">
        <v>154</v>
      </c>
      <c r="E390" s="61"/>
      <c r="H390" s="54" t="s">
        <v>88</v>
      </c>
      <c r="I390" s="55">
        <v>16000</v>
      </c>
      <c r="K390" s="62"/>
      <c r="L390" s="63"/>
      <c r="M390" s="57"/>
    </row>
    <row r="391" spans="1:16" s="38" customFormat="1" ht="14.4" customHeight="1" x14ac:dyDescent="0.25">
      <c r="A391" s="44">
        <v>390</v>
      </c>
      <c r="B391" s="45" t="s">
        <v>85</v>
      </c>
      <c r="C391" s="46" t="s">
        <v>267</v>
      </c>
      <c r="D391" s="38" t="s">
        <v>155</v>
      </c>
      <c r="E391" s="61"/>
      <c r="H391" s="54" t="s">
        <v>88</v>
      </c>
      <c r="I391" s="55">
        <v>16000</v>
      </c>
      <c r="K391" s="62"/>
      <c r="L391" s="63"/>
      <c r="M391" s="57"/>
    </row>
    <row r="392" spans="1:16" s="38" customFormat="1" ht="14.4" customHeight="1" x14ac:dyDescent="0.25">
      <c r="A392" s="44">
        <v>391</v>
      </c>
      <c r="B392" s="45" t="s">
        <v>85</v>
      </c>
      <c r="C392" s="46" t="s">
        <v>267</v>
      </c>
      <c r="D392" s="38" t="s">
        <v>156</v>
      </c>
      <c r="E392" s="61" t="s">
        <v>265</v>
      </c>
      <c r="F392" s="64">
        <v>45793.684976851902</v>
      </c>
      <c r="G392" s="64">
        <v>45794.750254629602</v>
      </c>
      <c r="H392" s="54" t="s">
        <v>88</v>
      </c>
      <c r="I392" s="55">
        <v>16000</v>
      </c>
      <c r="J392" s="58" t="s">
        <v>107</v>
      </c>
      <c r="K392" s="62"/>
      <c r="L392" s="63"/>
      <c r="M392" s="57"/>
    </row>
    <row r="393" spans="1:16" s="38" customFormat="1" ht="14.4" customHeight="1" x14ac:dyDescent="0.25">
      <c r="A393" s="44">
        <v>392</v>
      </c>
      <c r="B393" s="45" t="s">
        <v>85</v>
      </c>
      <c r="C393" s="46" t="s">
        <v>267</v>
      </c>
      <c r="D393" s="38" t="s">
        <v>157</v>
      </c>
      <c r="E393" s="61" t="s">
        <v>265</v>
      </c>
      <c r="F393" s="64">
        <v>45793.684976851902</v>
      </c>
      <c r="G393" s="64">
        <v>45794.750254629602</v>
      </c>
      <c r="H393" s="54" t="s">
        <v>88</v>
      </c>
      <c r="I393" s="55">
        <v>16000</v>
      </c>
      <c r="J393" s="58" t="s">
        <v>107</v>
      </c>
      <c r="K393" s="62"/>
      <c r="L393" s="63"/>
      <c r="M393" s="57"/>
    </row>
    <row r="394" spans="1:16" s="38" customFormat="1" ht="14.4" customHeight="1" x14ac:dyDescent="0.25">
      <c r="A394" s="44">
        <v>393</v>
      </c>
      <c r="B394" s="45" t="s">
        <v>85</v>
      </c>
      <c r="C394" s="46" t="s">
        <v>267</v>
      </c>
      <c r="D394" s="38" t="s">
        <v>162</v>
      </c>
      <c r="E394" s="38" t="s">
        <v>106</v>
      </c>
      <c r="F394" s="64">
        <v>45609.8841203704</v>
      </c>
      <c r="G394" s="64">
        <v>45608.884224537003</v>
      </c>
      <c r="H394" s="54" t="s">
        <v>88</v>
      </c>
      <c r="I394" s="55">
        <v>16000</v>
      </c>
      <c r="J394" s="58" t="s">
        <v>107</v>
      </c>
      <c r="K394" s="61" t="s">
        <v>108</v>
      </c>
      <c r="L394" s="64">
        <v>45411.616747685199</v>
      </c>
      <c r="M394" s="64">
        <v>45429.702442129601</v>
      </c>
    </row>
    <row r="395" spans="1:16" s="38" customFormat="1" ht="14.4" customHeight="1" x14ac:dyDescent="0.25">
      <c r="A395" s="44">
        <v>394</v>
      </c>
      <c r="B395" s="45" t="s">
        <v>85</v>
      </c>
      <c r="C395" s="46" t="s">
        <v>267</v>
      </c>
      <c r="D395" s="38" t="s">
        <v>163</v>
      </c>
      <c r="E395" s="38" t="s">
        <v>106</v>
      </c>
      <c r="F395" s="64">
        <v>45587.898055555597</v>
      </c>
      <c r="G395" s="64">
        <v>45586.8981712963</v>
      </c>
      <c r="H395" s="59" t="s">
        <v>90</v>
      </c>
      <c r="I395" s="60">
        <v>12000</v>
      </c>
      <c r="J395" s="58" t="s">
        <v>107</v>
      </c>
      <c r="K395" s="61" t="s">
        <v>108</v>
      </c>
      <c r="L395" s="64">
        <v>45411.6168287037</v>
      </c>
      <c r="M395" s="64">
        <v>45429.702511574098</v>
      </c>
    </row>
    <row r="396" spans="1:16" s="38" customFormat="1" ht="14.4" customHeight="1" x14ac:dyDescent="0.25">
      <c r="A396" s="44">
        <v>395</v>
      </c>
      <c r="B396" s="45" t="s">
        <v>85</v>
      </c>
      <c r="C396" s="46" t="s">
        <v>267</v>
      </c>
      <c r="D396" s="38" t="s">
        <v>164</v>
      </c>
      <c r="E396" s="38" t="s">
        <v>106</v>
      </c>
      <c r="F396" s="64">
        <v>45443.408391203702</v>
      </c>
      <c r="G396" s="64">
        <v>45442.419467592597</v>
      </c>
      <c r="H396" s="59" t="s">
        <v>90</v>
      </c>
      <c r="I396" s="60">
        <v>12000</v>
      </c>
      <c r="J396" s="58" t="s">
        <v>107</v>
      </c>
      <c r="K396" s="61" t="s">
        <v>108</v>
      </c>
      <c r="L396" s="64">
        <v>45411.616932870398</v>
      </c>
      <c r="M396" s="64">
        <v>45429.702569444402</v>
      </c>
    </row>
    <row r="397" spans="1:16" s="38" customFormat="1" ht="14.4" customHeight="1" x14ac:dyDescent="0.25">
      <c r="A397" s="44">
        <v>396</v>
      </c>
      <c r="B397" s="45" t="s">
        <v>85</v>
      </c>
      <c r="C397" s="46" t="s">
        <v>267</v>
      </c>
      <c r="D397" s="38" t="s">
        <v>165</v>
      </c>
      <c r="E397" s="38" t="s">
        <v>106</v>
      </c>
      <c r="F397" s="64">
        <v>45443.4083680556</v>
      </c>
      <c r="G397" s="64">
        <v>45442.419513888897</v>
      </c>
      <c r="H397" s="59" t="s">
        <v>90</v>
      </c>
      <c r="I397" s="60">
        <v>12000</v>
      </c>
      <c r="J397" s="58" t="s">
        <v>107</v>
      </c>
      <c r="K397" s="61" t="s">
        <v>108</v>
      </c>
      <c r="L397" s="64">
        <v>45411.617002314801</v>
      </c>
      <c r="M397" s="64">
        <v>45429.702638888899</v>
      </c>
    </row>
    <row r="398" spans="1:16" s="38" customFormat="1" ht="14.4" customHeight="1" x14ac:dyDescent="0.25">
      <c r="A398" s="44">
        <v>397</v>
      </c>
      <c r="B398" s="45" t="s">
        <v>85</v>
      </c>
      <c r="C398" s="46" t="s">
        <v>267</v>
      </c>
      <c r="D398" s="38" t="s">
        <v>166</v>
      </c>
      <c r="E398" s="38" t="s">
        <v>106</v>
      </c>
      <c r="F398" s="64">
        <v>45443.408506944397</v>
      </c>
      <c r="G398" s="64">
        <v>45442.419548611098</v>
      </c>
      <c r="H398" s="59" t="s">
        <v>90</v>
      </c>
      <c r="I398" s="60">
        <v>12000</v>
      </c>
      <c r="J398" s="58" t="s">
        <v>107</v>
      </c>
      <c r="K398" s="61" t="s">
        <v>108</v>
      </c>
      <c r="L398" s="64">
        <v>45411.6170949074</v>
      </c>
      <c r="M398" s="64">
        <v>45429.7027199074</v>
      </c>
    </row>
    <row r="399" spans="1:16" s="38" customFormat="1" ht="14.4" customHeight="1" x14ac:dyDescent="0.25">
      <c r="A399" s="44">
        <v>398</v>
      </c>
      <c r="B399" s="45" t="s">
        <v>85</v>
      </c>
      <c r="C399" s="46" t="s">
        <v>267</v>
      </c>
      <c r="D399" s="38" t="s">
        <v>167</v>
      </c>
      <c r="E399" s="38" t="s">
        <v>106</v>
      </c>
      <c r="F399" s="64">
        <v>45443.408391203702</v>
      </c>
      <c r="G399" s="64">
        <v>45442.419594907398</v>
      </c>
      <c r="H399" s="59" t="s">
        <v>90</v>
      </c>
      <c r="I399" s="60">
        <v>12000</v>
      </c>
      <c r="J399" s="58" t="s">
        <v>107</v>
      </c>
      <c r="K399" s="61" t="s">
        <v>108</v>
      </c>
      <c r="L399" s="64">
        <v>45411.617164351897</v>
      </c>
      <c r="M399" s="64">
        <v>45429.702777777798</v>
      </c>
    </row>
    <row r="400" spans="1:16" s="38" customFormat="1" ht="14.4" customHeight="1" x14ac:dyDescent="0.25">
      <c r="A400" s="44">
        <v>399</v>
      </c>
      <c r="B400" s="45" t="s">
        <v>85</v>
      </c>
      <c r="C400" s="46" t="s">
        <v>267</v>
      </c>
      <c r="D400" s="38" t="s">
        <v>168</v>
      </c>
      <c r="E400" s="38" t="s">
        <v>106</v>
      </c>
      <c r="F400" s="64">
        <v>45443.408564814803</v>
      </c>
      <c r="G400" s="64">
        <v>45442.419641203698</v>
      </c>
      <c r="H400" s="59" t="s">
        <v>90</v>
      </c>
      <c r="I400" s="60">
        <v>12000</v>
      </c>
      <c r="J400" s="58" t="s">
        <v>107</v>
      </c>
      <c r="K400" s="61" t="s">
        <v>108</v>
      </c>
      <c r="L400" s="64">
        <v>45411.617615740703</v>
      </c>
      <c r="M400" s="64">
        <v>45429.702881944402</v>
      </c>
    </row>
    <row r="401" spans="1:13" s="38" customFormat="1" ht="14.4" customHeight="1" x14ac:dyDescent="0.25">
      <c r="A401" s="44">
        <v>400</v>
      </c>
      <c r="B401" s="45" t="s">
        <v>85</v>
      </c>
      <c r="C401" s="46" t="s">
        <v>267</v>
      </c>
      <c r="D401" s="38" t="s">
        <v>169</v>
      </c>
      <c r="E401" s="38" t="s">
        <v>106</v>
      </c>
      <c r="F401" s="64">
        <v>45443.4084953704</v>
      </c>
      <c r="G401" s="64">
        <v>45442.419687499998</v>
      </c>
      <c r="H401" s="59" t="s">
        <v>90</v>
      </c>
      <c r="I401" s="60">
        <v>12000</v>
      </c>
      <c r="J401" s="58" t="s">
        <v>107</v>
      </c>
      <c r="K401" s="61" t="s">
        <v>108</v>
      </c>
      <c r="L401" s="64">
        <v>45411.617719907401</v>
      </c>
      <c r="M401" s="64">
        <v>45429.7030324074</v>
      </c>
    </row>
    <row r="402" spans="1:13" s="38" customFormat="1" ht="14.4" customHeight="1" x14ac:dyDescent="0.25">
      <c r="A402" s="44">
        <v>401</v>
      </c>
      <c r="B402" s="45" t="s">
        <v>85</v>
      </c>
      <c r="C402" s="46" t="s">
        <v>267</v>
      </c>
      <c r="D402" s="38" t="s">
        <v>170</v>
      </c>
      <c r="E402" s="38" t="s">
        <v>106</v>
      </c>
      <c r="F402" s="64">
        <v>45443.4083217593</v>
      </c>
      <c r="G402" s="64">
        <v>45442.419733796298</v>
      </c>
      <c r="H402" s="59" t="s">
        <v>90</v>
      </c>
      <c r="I402" s="60">
        <v>12000</v>
      </c>
      <c r="J402" s="58" t="s">
        <v>107</v>
      </c>
      <c r="K402" s="61" t="s">
        <v>108</v>
      </c>
      <c r="L402" s="64">
        <v>45411.617916666699</v>
      </c>
      <c r="M402" s="64">
        <v>45429.703125</v>
      </c>
    </row>
    <row r="403" spans="1:13" s="38" customFormat="1" ht="14.4" customHeight="1" x14ac:dyDescent="0.25">
      <c r="A403" s="44">
        <v>402</v>
      </c>
      <c r="B403" s="45" t="s">
        <v>85</v>
      </c>
      <c r="C403" s="46" t="s">
        <v>267</v>
      </c>
      <c r="D403" s="38" t="s">
        <v>171</v>
      </c>
      <c r="E403" s="38" t="s">
        <v>106</v>
      </c>
      <c r="F403" s="64">
        <v>45443.4084953704</v>
      </c>
      <c r="G403" s="64">
        <v>45442.419791666704</v>
      </c>
      <c r="H403" s="59" t="s">
        <v>90</v>
      </c>
      <c r="I403" s="60">
        <v>12000</v>
      </c>
      <c r="J403" s="58" t="s">
        <v>107</v>
      </c>
      <c r="K403" s="61" t="s">
        <v>108</v>
      </c>
      <c r="L403" s="64">
        <v>45411.618020833303</v>
      </c>
      <c r="M403" s="64">
        <v>45429.703252314801</v>
      </c>
    </row>
    <row r="404" spans="1:13" s="38" customFormat="1" ht="14.4" customHeight="1" x14ac:dyDescent="0.25">
      <c r="A404" s="44">
        <v>403</v>
      </c>
      <c r="B404" s="45" t="s">
        <v>85</v>
      </c>
      <c r="C404" s="46" t="s">
        <v>267</v>
      </c>
      <c r="D404" s="38" t="s">
        <v>172</v>
      </c>
      <c r="E404" s="38" t="s">
        <v>106</v>
      </c>
      <c r="F404" s="64">
        <v>45443.408576388902</v>
      </c>
      <c r="G404" s="64">
        <v>45442.419837963003</v>
      </c>
      <c r="H404" s="59" t="s">
        <v>90</v>
      </c>
      <c r="I404" s="60">
        <v>12000</v>
      </c>
      <c r="J404" s="58" t="s">
        <v>107</v>
      </c>
      <c r="K404" s="61" t="s">
        <v>108</v>
      </c>
      <c r="L404" s="64">
        <v>45411.618101851898</v>
      </c>
      <c r="M404" s="64">
        <v>45429.703321759298</v>
      </c>
    </row>
    <row r="405" spans="1:13" s="38" customFormat="1" ht="14.4" customHeight="1" x14ac:dyDescent="0.25">
      <c r="A405" s="44">
        <v>404</v>
      </c>
      <c r="B405" s="45" t="s">
        <v>85</v>
      </c>
      <c r="C405" s="46" t="s">
        <v>267</v>
      </c>
      <c r="D405" s="38" t="s">
        <v>173</v>
      </c>
      <c r="E405" s="38" t="s">
        <v>106</v>
      </c>
      <c r="F405" s="64">
        <v>45443.408391203702</v>
      </c>
      <c r="G405" s="64">
        <v>45442.419884259303</v>
      </c>
      <c r="H405" s="59" t="s">
        <v>90</v>
      </c>
      <c r="I405" s="60">
        <v>12000</v>
      </c>
      <c r="J405" s="58" t="s">
        <v>107</v>
      </c>
      <c r="K405" s="61" t="s">
        <v>108</v>
      </c>
      <c r="L405" s="64">
        <v>45411.618252314802</v>
      </c>
      <c r="M405" s="64">
        <v>45429.7036226852</v>
      </c>
    </row>
    <row r="406" spans="1:13" s="38" customFormat="1" ht="14.4" customHeight="1" x14ac:dyDescent="0.25">
      <c r="A406" s="44">
        <v>405</v>
      </c>
      <c r="B406" s="45" t="s">
        <v>85</v>
      </c>
      <c r="C406" s="46" t="s">
        <v>267</v>
      </c>
      <c r="D406" s="38" t="s">
        <v>174</v>
      </c>
      <c r="E406" s="38" t="s">
        <v>106</v>
      </c>
      <c r="F406" s="64">
        <v>45443.4084953704</v>
      </c>
      <c r="G406" s="64">
        <v>45442.419930555603</v>
      </c>
      <c r="H406" s="59" t="s">
        <v>90</v>
      </c>
      <c r="I406" s="60">
        <v>12000</v>
      </c>
      <c r="J406" s="58" t="s">
        <v>107</v>
      </c>
      <c r="K406" s="61" t="s">
        <v>108</v>
      </c>
      <c r="L406" s="64">
        <v>45411.618391203701</v>
      </c>
      <c r="M406" s="64">
        <v>45429.703692129602</v>
      </c>
    </row>
    <row r="407" spans="1:13" s="38" customFormat="1" ht="14.4" customHeight="1" x14ac:dyDescent="0.25">
      <c r="A407" s="44">
        <v>406</v>
      </c>
      <c r="B407" s="45" t="s">
        <v>85</v>
      </c>
      <c r="C407" s="46" t="s">
        <v>267</v>
      </c>
      <c r="D407" s="38" t="s">
        <v>175</v>
      </c>
      <c r="E407" s="38" t="s">
        <v>106</v>
      </c>
      <c r="F407" s="64">
        <v>45443.408530092602</v>
      </c>
      <c r="G407" s="64">
        <v>45442.419965277797</v>
      </c>
      <c r="H407" s="59" t="s">
        <v>90</v>
      </c>
      <c r="I407" s="60">
        <v>12000</v>
      </c>
      <c r="J407" s="58" t="s">
        <v>107</v>
      </c>
      <c r="K407" s="61" t="s">
        <v>108</v>
      </c>
      <c r="L407" s="64">
        <v>45411.618506944404</v>
      </c>
      <c r="M407" s="64">
        <v>45429.703761574099</v>
      </c>
    </row>
    <row r="408" spans="1:13" s="38" customFormat="1" ht="14.4" customHeight="1" x14ac:dyDescent="0.25">
      <c r="A408" s="44">
        <v>407</v>
      </c>
      <c r="B408" s="45" t="s">
        <v>85</v>
      </c>
      <c r="C408" s="46" t="s">
        <v>267</v>
      </c>
      <c r="D408" s="38" t="s">
        <v>176</v>
      </c>
      <c r="E408" s="61"/>
      <c r="H408" s="59" t="s">
        <v>90</v>
      </c>
      <c r="I408" s="60">
        <v>12000</v>
      </c>
      <c r="K408" s="62"/>
      <c r="L408" s="63"/>
      <c r="M408" s="57"/>
    </row>
    <row r="409" spans="1:13" s="38" customFormat="1" ht="14.4" customHeight="1" x14ac:dyDescent="0.25">
      <c r="A409" s="44">
        <v>408</v>
      </c>
      <c r="B409" s="45" t="s">
        <v>85</v>
      </c>
      <c r="C409" s="46" t="s">
        <v>267</v>
      </c>
      <c r="D409" s="38" t="s">
        <v>177</v>
      </c>
      <c r="E409" s="61"/>
      <c r="H409" s="59" t="s">
        <v>90</v>
      </c>
      <c r="I409" s="60">
        <v>12000</v>
      </c>
      <c r="K409" s="62"/>
      <c r="L409" s="63"/>
      <c r="M409" s="57"/>
    </row>
    <row r="410" spans="1:13" s="38" customFormat="1" ht="14.4" customHeight="1" x14ac:dyDescent="0.25">
      <c r="A410" s="44">
        <v>409</v>
      </c>
      <c r="B410" s="45" t="s">
        <v>85</v>
      </c>
      <c r="C410" s="46" t="s">
        <v>267</v>
      </c>
      <c r="D410" s="38" t="s">
        <v>178</v>
      </c>
      <c r="E410" s="38" t="s">
        <v>106</v>
      </c>
      <c r="F410" s="64">
        <v>45526.707569444399</v>
      </c>
      <c r="G410" s="64">
        <v>45531.3977662037</v>
      </c>
      <c r="H410" s="54" t="s">
        <v>88</v>
      </c>
      <c r="I410" s="55">
        <v>16000</v>
      </c>
      <c r="J410" s="58" t="s">
        <v>107</v>
      </c>
      <c r="K410" s="61" t="s">
        <v>108</v>
      </c>
      <c r="L410" s="64">
        <v>45429.457673611098</v>
      </c>
      <c r="M410" s="64">
        <v>45430.691099536998</v>
      </c>
    </row>
    <row r="411" spans="1:13" s="38" customFormat="1" ht="14.4" customHeight="1" x14ac:dyDescent="0.25">
      <c r="A411" s="44">
        <v>410</v>
      </c>
      <c r="B411" s="45" t="s">
        <v>85</v>
      </c>
      <c r="C411" s="46" t="s">
        <v>267</v>
      </c>
      <c r="D411" s="38" t="s">
        <v>179</v>
      </c>
      <c r="E411" s="38" t="s">
        <v>106</v>
      </c>
      <c r="F411" s="64">
        <v>45443.408564814803</v>
      </c>
      <c r="G411" s="64">
        <v>45442.42</v>
      </c>
      <c r="H411" s="59" t="s">
        <v>90</v>
      </c>
      <c r="I411" s="60">
        <v>12000</v>
      </c>
      <c r="J411" s="58" t="s">
        <v>107</v>
      </c>
      <c r="K411" s="61" t="s">
        <v>108</v>
      </c>
      <c r="L411" s="64">
        <v>45411.623344907399</v>
      </c>
      <c r="M411" s="64">
        <v>45429.703819444403</v>
      </c>
    </row>
    <row r="412" spans="1:13" s="38" customFormat="1" ht="14.4" customHeight="1" x14ac:dyDescent="0.25">
      <c r="A412" s="44">
        <v>411</v>
      </c>
      <c r="B412" s="45" t="s">
        <v>85</v>
      </c>
      <c r="C412" s="46" t="s">
        <v>267</v>
      </c>
      <c r="D412" s="38" t="s">
        <v>180</v>
      </c>
      <c r="E412" s="38" t="s">
        <v>106</v>
      </c>
      <c r="F412" s="64">
        <v>45443.408506944397</v>
      </c>
      <c r="G412" s="64">
        <v>45442.420046296298</v>
      </c>
      <c r="H412" s="59" t="s">
        <v>90</v>
      </c>
      <c r="I412" s="60">
        <v>12000</v>
      </c>
      <c r="J412" s="58" t="s">
        <v>107</v>
      </c>
      <c r="K412" s="61" t="s">
        <v>108</v>
      </c>
      <c r="L412" s="64">
        <v>45411.623437499999</v>
      </c>
      <c r="M412" s="64">
        <v>45429.703877314802</v>
      </c>
    </row>
    <row r="413" spans="1:13" s="38" customFormat="1" ht="14.4" customHeight="1" x14ac:dyDescent="0.25">
      <c r="A413" s="44">
        <v>412</v>
      </c>
      <c r="B413" s="45" t="s">
        <v>85</v>
      </c>
      <c r="C413" s="46" t="s">
        <v>267</v>
      </c>
      <c r="D413" s="38" t="s">
        <v>181</v>
      </c>
      <c r="E413" s="38" t="s">
        <v>106</v>
      </c>
      <c r="F413" s="64">
        <v>45443.408425925903</v>
      </c>
      <c r="G413" s="64">
        <v>45442.420092592598</v>
      </c>
      <c r="H413" s="59" t="s">
        <v>90</v>
      </c>
      <c r="I413" s="60">
        <v>12000</v>
      </c>
      <c r="J413" s="58" t="s">
        <v>107</v>
      </c>
      <c r="K413" s="61" t="s">
        <v>108</v>
      </c>
      <c r="L413" s="64">
        <v>45411.623541666697</v>
      </c>
      <c r="M413" s="64">
        <v>45429.7039351852</v>
      </c>
    </row>
    <row r="414" spans="1:13" s="38" customFormat="1" ht="14.4" customHeight="1" x14ac:dyDescent="0.25">
      <c r="A414" s="44">
        <v>413</v>
      </c>
      <c r="B414" s="45" t="s">
        <v>85</v>
      </c>
      <c r="C414" s="46" t="s">
        <v>267</v>
      </c>
      <c r="D414" s="38" t="s">
        <v>182</v>
      </c>
      <c r="E414" s="38" t="s">
        <v>106</v>
      </c>
      <c r="F414" s="64">
        <v>45443.408391203702</v>
      </c>
      <c r="G414" s="64">
        <v>45442.420127314799</v>
      </c>
      <c r="H414" s="59" t="s">
        <v>90</v>
      </c>
      <c r="I414" s="60">
        <v>12000</v>
      </c>
      <c r="J414" s="58" t="s">
        <v>107</v>
      </c>
      <c r="K414" s="61" t="s">
        <v>108</v>
      </c>
      <c r="L414" s="64">
        <v>45411.623634259297</v>
      </c>
      <c r="M414" s="64">
        <v>45429.704016203701</v>
      </c>
    </row>
    <row r="415" spans="1:13" s="38" customFormat="1" ht="14.4" customHeight="1" x14ac:dyDescent="0.25">
      <c r="A415" s="44">
        <v>414</v>
      </c>
      <c r="B415" s="45" t="s">
        <v>85</v>
      </c>
      <c r="C415" s="46" t="s">
        <v>267</v>
      </c>
      <c r="D415" s="38" t="s">
        <v>183</v>
      </c>
      <c r="E415" s="38" t="s">
        <v>106</v>
      </c>
      <c r="F415" s="64">
        <v>45443.742013888899</v>
      </c>
      <c r="G415" s="64">
        <v>45442.420173611099</v>
      </c>
      <c r="H415" s="59" t="s">
        <v>90</v>
      </c>
      <c r="I415" s="60">
        <v>12000</v>
      </c>
      <c r="J415" s="58" t="s">
        <v>107</v>
      </c>
      <c r="K415" s="61" t="s">
        <v>108</v>
      </c>
      <c r="L415" s="64">
        <v>45411.624004629601</v>
      </c>
      <c r="M415" s="64">
        <v>45429.704108796301</v>
      </c>
    </row>
    <row r="416" spans="1:13" s="38" customFormat="1" ht="14.4" customHeight="1" x14ac:dyDescent="0.25">
      <c r="A416" s="44">
        <v>415</v>
      </c>
      <c r="B416" s="45" t="s">
        <v>85</v>
      </c>
      <c r="C416" s="46" t="s">
        <v>267</v>
      </c>
      <c r="D416" s="38" t="s">
        <v>184</v>
      </c>
      <c r="E416" s="38" t="s">
        <v>106</v>
      </c>
      <c r="F416" s="64">
        <v>45443.742060185199</v>
      </c>
      <c r="G416" s="64">
        <v>45442.420219907399</v>
      </c>
      <c r="H416" s="59" t="s">
        <v>90</v>
      </c>
      <c r="I416" s="60">
        <v>12000</v>
      </c>
      <c r="J416" s="58" t="s">
        <v>107</v>
      </c>
      <c r="K416" s="61" t="s">
        <v>108</v>
      </c>
      <c r="L416" s="64">
        <v>45411.6240972222</v>
      </c>
      <c r="M416" s="64">
        <v>45429.704166666699</v>
      </c>
    </row>
    <row r="417" spans="1:13" s="38" customFormat="1" ht="14.4" customHeight="1" x14ac:dyDescent="0.25">
      <c r="A417" s="44">
        <v>416</v>
      </c>
      <c r="B417" s="45" t="s">
        <v>85</v>
      </c>
      <c r="C417" s="46" t="s">
        <v>267</v>
      </c>
      <c r="D417" s="38" t="s">
        <v>185</v>
      </c>
      <c r="E417" s="38" t="s">
        <v>106</v>
      </c>
      <c r="F417" s="64">
        <v>45443.742800925902</v>
      </c>
      <c r="G417" s="64">
        <v>45442.420266203699</v>
      </c>
      <c r="H417" s="59" t="s">
        <v>90</v>
      </c>
      <c r="I417" s="60">
        <v>12000</v>
      </c>
      <c r="J417" s="58" t="s">
        <v>107</v>
      </c>
      <c r="K417" s="61" t="s">
        <v>108</v>
      </c>
      <c r="L417" s="64">
        <v>45411.6241898148</v>
      </c>
      <c r="M417" s="64">
        <v>45429.7042476852</v>
      </c>
    </row>
    <row r="418" spans="1:13" s="38" customFormat="1" ht="14.4" customHeight="1" x14ac:dyDescent="0.25">
      <c r="A418" s="44">
        <v>417</v>
      </c>
      <c r="B418" s="45" t="s">
        <v>85</v>
      </c>
      <c r="C418" s="46" t="s">
        <v>267</v>
      </c>
      <c r="D418" s="38" t="s">
        <v>186</v>
      </c>
      <c r="E418" s="38" t="s">
        <v>106</v>
      </c>
      <c r="F418" s="64">
        <v>45443.742766203701</v>
      </c>
      <c r="G418" s="64">
        <v>45442.420694444401</v>
      </c>
      <c r="H418" s="59" t="s">
        <v>90</v>
      </c>
      <c r="I418" s="60">
        <v>12000</v>
      </c>
      <c r="J418" s="58" t="s">
        <v>107</v>
      </c>
      <c r="K418" s="61" t="s">
        <v>108</v>
      </c>
      <c r="L418" s="64">
        <v>45411.624259259297</v>
      </c>
      <c r="M418" s="64">
        <v>45429.704305555599</v>
      </c>
    </row>
    <row r="419" spans="1:13" s="38" customFormat="1" ht="14.4" customHeight="1" x14ac:dyDescent="0.25">
      <c r="A419" s="44">
        <v>418</v>
      </c>
      <c r="B419" s="45" t="s">
        <v>85</v>
      </c>
      <c r="C419" s="46" t="s">
        <v>267</v>
      </c>
      <c r="D419" s="38" t="s">
        <v>187</v>
      </c>
      <c r="E419" s="38" t="s">
        <v>106</v>
      </c>
      <c r="F419" s="64">
        <v>45443.742835648103</v>
      </c>
      <c r="G419" s="64">
        <v>45442.420729166697</v>
      </c>
      <c r="H419" s="59" t="s">
        <v>90</v>
      </c>
      <c r="I419" s="60">
        <v>12000</v>
      </c>
      <c r="J419" s="58" t="s">
        <v>107</v>
      </c>
      <c r="K419" s="61" t="s">
        <v>108</v>
      </c>
      <c r="L419" s="64">
        <v>45411.624340277798</v>
      </c>
      <c r="M419" s="64">
        <v>45429.704375000001</v>
      </c>
    </row>
    <row r="420" spans="1:13" s="38" customFormat="1" ht="14.4" customHeight="1" x14ac:dyDescent="0.25">
      <c r="A420" s="44">
        <v>419</v>
      </c>
      <c r="B420" s="45" t="s">
        <v>85</v>
      </c>
      <c r="C420" s="46" t="s">
        <v>267</v>
      </c>
      <c r="D420" s="38" t="s">
        <v>188</v>
      </c>
      <c r="E420" s="38" t="s">
        <v>106</v>
      </c>
      <c r="F420" s="64">
        <v>45443.742812500001</v>
      </c>
      <c r="G420" s="64">
        <v>45442.4207986111</v>
      </c>
      <c r="H420" s="59" t="s">
        <v>90</v>
      </c>
      <c r="I420" s="60">
        <v>12000</v>
      </c>
      <c r="J420" s="58" t="s">
        <v>107</v>
      </c>
      <c r="K420" s="61" t="s">
        <v>108</v>
      </c>
      <c r="L420" s="64">
        <v>45411.624398148102</v>
      </c>
      <c r="M420" s="64">
        <v>45429.704444444404</v>
      </c>
    </row>
    <row r="421" spans="1:13" s="38" customFormat="1" ht="14.4" customHeight="1" x14ac:dyDescent="0.25">
      <c r="A421" s="44">
        <v>420</v>
      </c>
      <c r="B421" s="45" t="s">
        <v>85</v>
      </c>
      <c r="C421" s="46" t="s">
        <v>267</v>
      </c>
      <c r="D421" s="38" t="s">
        <v>189</v>
      </c>
      <c r="E421" s="38" t="s">
        <v>106</v>
      </c>
      <c r="F421" s="64">
        <v>45443.742835648103</v>
      </c>
      <c r="G421" s="64">
        <v>45442.421134259297</v>
      </c>
      <c r="H421" s="59" t="s">
        <v>90</v>
      </c>
      <c r="I421" s="60">
        <v>12000</v>
      </c>
      <c r="J421" s="58" t="s">
        <v>107</v>
      </c>
      <c r="K421" s="61" t="s">
        <v>108</v>
      </c>
      <c r="L421" s="64">
        <v>45411.624467592599</v>
      </c>
      <c r="M421" s="64">
        <v>45429.704513888901</v>
      </c>
    </row>
    <row r="422" spans="1:13" s="38" customFormat="1" ht="14.4" customHeight="1" x14ac:dyDescent="0.25">
      <c r="A422" s="44">
        <v>421</v>
      </c>
      <c r="B422" s="45" t="s">
        <v>85</v>
      </c>
      <c r="C422" s="46" t="s">
        <v>267</v>
      </c>
      <c r="D422" s="38" t="s">
        <v>190</v>
      </c>
      <c r="E422" s="38" t="s">
        <v>106</v>
      </c>
      <c r="F422" s="64">
        <v>45443.742800925902</v>
      </c>
      <c r="G422" s="64">
        <v>45442.421180555597</v>
      </c>
      <c r="H422" s="59" t="s">
        <v>90</v>
      </c>
      <c r="I422" s="60">
        <v>12000</v>
      </c>
      <c r="J422" s="58" t="s">
        <v>107</v>
      </c>
      <c r="K422" s="61" t="s">
        <v>108</v>
      </c>
      <c r="L422" s="64">
        <v>45411.624571759297</v>
      </c>
      <c r="M422" s="64">
        <v>45429.704583333303</v>
      </c>
    </row>
    <row r="423" spans="1:13" s="38" customFormat="1" ht="14.4" customHeight="1" x14ac:dyDescent="0.25">
      <c r="A423" s="44">
        <v>422</v>
      </c>
      <c r="B423" s="45" t="s">
        <v>85</v>
      </c>
      <c r="C423" s="46" t="s">
        <v>267</v>
      </c>
      <c r="D423" s="38" t="s">
        <v>191</v>
      </c>
      <c r="E423" s="38" t="s">
        <v>106</v>
      </c>
      <c r="F423" s="64">
        <v>45443.742870370399</v>
      </c>
      <c r="G423" s="64">
        <v>45442.421226851897</v>
      </c>
      <c r="H423" s="59" t="s">
        <v>90</v>
      </c>
      <c r="I423" s="60">
        <v>12000</v>
      </c>
      <c r="J423" s="58" t="s">
        <v>107</v>
      </c>
      <c r="K423" s="61" t="s">
        <v>108</v>
      </c>
      <c r="L423" s="64">
        <v>45411.624652777798</v>
      </c>
      <c r="M423" s="64">
        <v>45429.7046527778</v>
      </c>
    </row>
    <row r="424" spans="1:13" s="38" customFormat="1" ht="14.4" customHeight="1" x14ac:dyDescent="0.25">
      <c r="A424" s="44">
        <v>423</v>
      </c>
      <c r="B424" s="45" t="s">
        <v>85</v>
      </c>
      <c r="C424" s="46" t="s">
        <v>267</v>
      </c>
      <c r="D424" s="38" t="s">
        <v>192</v>
      </c>
      <c r="E424" s="38" t="s">
        <v>106</v>
      </c>
      <c r="F424" s="64">
        <v>45443.746979166703</v>
      </c>
      <c r="G424" s="64">
        <v>45442.434548611098</v>
      </c>
      <c r="H424" s="59" t="s">
        <v>90</v>
      </c>
      <c r="I424" s="60">
        <v>12000</v>
      </c>
      <c r="J424" s="58" t="s">
        <v>107</v>
      </c>
      <c r="K424" s="61" t="s">
        <v>108</v>
      </c>
      <c r="L424" s="64">
        <v>45411.624745370398</v>
      </c>
      <c r="M424" s="64">
        <v>45429.704733796301</v>
      </c>
    </row>
    <row r="425" spans="1:13" s="38" customFormat="1" ht="14.4" customHeight="1" x14ac:dyDescent="0.25">
      <c r="A425" s="44">
        <v>424</v>
      </c>
      <c r="B425" s="45" t="s">
        <v>85</v>
      </c>
      <c r="C425" s="46" t="s">
        <v>267</v>
      </c>
      <c r="D425" s="38" t="s">
        <v>193</v>
      </c>
      <c r="E425" s="61"/>
      <c r="H425" s="59" t="s">
        <v>90</v>
      </c>
      <c r="I425" s="60">
        <v>12000</v>
      </c>
      <c r="K425" s="62"/>
      <c r="L425" s="63"/>
      <c r="M425" s="57"/>
    </row>
    <row r="426" spans="1:13" s="38" customFormat="1" ht="14.4" customHeight="1" x14ac:dyDescent="0.25">
      <c r="A426" s="44">
        <v>425</v>
      </c>
      <c r="B426" s="45" t="s">
        <v>85</v>
      </c>
      <c r="C426" s="46" t="s">
        <v>267</v>
      </c>
      <c r="D426" s="38" t="s">
        <v>194</v>
      </c>
      <c r="E426" s="61"/>
      <c r="H426" s="59" t="s">
        <v>90</v>
      </c>
      <c r="I426" s="60">
        <v>12000</v>
      </c>
      <c r="K426" s="62"/>
      <c r="L426" s="63"/>
      <c r="M426" s="57"/>
    </row>
    <row r="427" spans="1:13" s="38" customFormat="1" ht="14.4" customHeight="1" x14ac:dyDescent="0.25">
      <c r="A427" s="44">
        <v>426</v>
      </c>
      <c r="B427" s="45" t="s">
        <v>85</v>
      </c>
      <c r="C427" s="46" t="s">
        <v>267</v>
      </c>
      <c r="D427" s="38" t="s">
        <v>195</v>
      </c>
      <c r="E427" s="61"/>
      <c r="H427" s="59" t="s">
        <v>90</v>
      </c>
      <c r="I427" s="60">
        <v>12000</v>
      </c>
      <c r="K427" s="62"/>
      <c r="L427" s="63"/>
      <c r="M427" s="57"/>
    </row>
    <row r="428" spans="1:13" s="38" customFormat="1" ht="14.4" customHeight="1" x14ac:dyDescent="0.25">
      <c r="A428" s="44">
        <v>427</v>
      </c>
      <c r="B428" s="45" t="s">
        <v>85</v>
      </c>
      <c r="C428" s="46" t="s">
        <v>267</v>
      </c>
      <c r="D428" s="38" t="s">
        <v>196</v>
      </c>
      <c r="E428" s="38" t="s">
        <v>106</v>
      </c>
      <c r="F428" s="64">
        <v>45443.747025463003</v>
      </c>
      <c r="G428" s="64">
        <v>45442.434583333299</v>
      </c>
      <c r="H428" s="54" t="s">
        <v>88</v>
      </c>
      <c r="I428" s="55">
        <v>16000</v>
      </c>
      <c r="J428" s="58" t="s">
        <v>107</v>
      </c>
      <c r="K428" s="61" t="s">
        <v>108</v>
      </c>
      <c r="L428" s="64">
        <v>45411.625115740702</v>
      </c>
      <c r="M428" s="64">
        <v>45429.7047916667</v>
      </c>
    </row>
    <row r="429" spans="1:13" s="38" customFormat="1" ht="14.4" customHeight="1" x14ac:dyDescent="0.25">
      <c r="A429" s="44">
        <v>428</v>
      </c>
      <c r="B429" s="45" t="s">
        <v>85</v>
      </c>
      <c r="C429" s="46" t="s">
        <v>267</v>
      </c>
      <c r="D429" s="38" t="s">
        <v>197</v>
      </c>
      <c r="E429" s="38" t="s">
        <v>106</v>
      </c>
      <c r="F429" s="64">
        <v>45443.747025463003</v>
      </c>
      <c r="G429" s="64">
        <v>45442.436087962997</v>
      </c>
      <c r="H429" s="59" t="s">
        <v>90</v>
      </c>
      <c r="I429" s="60">
        <v>12000</v>
      </c>
      <c r="J429" s="58" t="s">
        <v>107</v>
      </c>
      <c r="K429" s="61" t="s">
        <v>108</v>
      </c>
      <c r="L429" s="64">
        <v>45411.625173611101</v>
      </c>
      <c r="M429" s="64">
        <v>45429.705185185201</v>
      </c>
    </row>
    <row r="430" spans="1:13" s="38" customFormat="1" ht="14.4" customHeight="1" x14ac:dyDescent="0.25">
      <c r="A430" s="44">
        <v>429</v>
      </c>
      <c r="B430" s="45" t="s">
        <v>85</v>
      </c>
      <c r="C430" s="46" t="s">
        <v>267</v>
      </c>
      <c r="D430" s="38" t="s">
        <v>198</v>
      </c>
      <c r="E430" s="38" t="s">
        <v>106</v>
      </c>
      <c r="F430" s="64">
        <v>45443.747025463003</v>
      </c>
      <c r="G430" s="64">
        <v>45442.436145833301</v>
      </c>
      <c r="H430" s="59" t="s">
        <v>90</v>
      </c>
      <c r="I430" s="60">
        <v>12000</v>
      </c>
      <c r="J430" s="58" t="s">
        <v>107</v>
      </c>
      <c r="K430" s="61" t="s">
        <v>108</v>
      </c>
      <c r="L430" s="64">
        <v>45411.625254629602</v>
      </c>
      <c r="M430" s="64">
        <v>45429.705254629604</v>
      </c>
    </row>
    <row r="431" spans="1:13" s="38" customFormat="1" ht="14.4" customHeight="1" x14ac:dyDescent="0.25">
      <c r="A431" s="44">
        <v>430</v>
      </c>
      <c r="B431" s="45" t="s">
        <v>85</v>
      </c>
      <c r="C431" s="46" t="s">
        <v>267</v>
      </c>
      <c r="D431" s="38" t="s">
        <v>199</v>
      </c>
      <c r="E431" s="38" t="s">
        <v>106</v>
      </c>
      <c r="F431" s="64">
        <v>45443.407905092601</v>
      </c>
      <c r="G431" s="64">
        <v>45442.436203703699</v>
      </c>
      <c r="H431" s="59" t="s">
        <v>90</v>
      </c>
      <c r="I431" s="60">
        <v>12000</v>
      </c>
      <c r="J431" s="58" t="s">
        <v>107</v>
      </c>
      <c r="K431" s="61" t="s">
        <v>108</v>
      </c>
      <c r="L431" s="64">
        <v>45411.625335648103</v>
      </c>
      <c r="M431" s="64">
        <v>45429.705324074101</v>
      </c>
    </row>
    <row r="432" spans="1:13" s="38" customFormat="1" ht="14.4" customHeight="1" x14ac:dyDescent="0.25">
      <c r="A432" s="44">
        <v>431</v>
      </c>
      <c r="B432" s="45" t="s">
        <v>85</v>
      </c>
      <c r="C432" s="46" t="s">
        <v>267</v>
      </c>
      <c r="D432" s="38" t="s">
        <v>200</v>
      </c>
      <c r="E432" s="38" t="s">
        <v>106</v>
      </c>
      <c r="F432" s="64">
        <v>45443.407928240696</v>
      </c>
      <c r="G432" s="64">
        <v>45442.4362384259</v>
      </c>
      <c r="H432" s="59" t="s">
        <v>90</v>
      </c>
      <c r="I432" s="60">
        <v>12000</v>
      </c>
      <c r="J432" s="58" t="s">
        <v>107</v>
      </c>
      <c r="K432" s="61" t="s">
        <v>108</v>
      </c>
      <c r="L432" s="64">
        <v>45411.625428240703</v>
      </c>
      <c r="M432" s="64">
        <v>45429.706446759301</v>
      </c>
    </row>
    <row r="433" spans="1:13" s="38" customFormat="1" ht="14.4" customHeight="1" x14ac:dyDescent="0.25">
      <c r="A433" s="44">
        <v>432</v>
      </c>
      <c r="B433" s="45" t="s">
        <v>85</v>
      </c>
      <c r="C433" s="46" t="s">
        <v>267</v>
      </c>
      <c r="D433" s="38" t="s">
        <v>201</v>
      </c>
      <c r="E433" s="38" t="s">
        <v>106</v>
      </c>
      <c r="F433" s="64">
        <v>45443.407905092601</v>
      </c>
      <c r="G433" s="64">
        <v>45442.4362847222</v>
      </c>
      <c r="H433" s="59" t="s">
        <v>90</v>
      </c>
      <c r="I433" s="60">
        <v>12000</v>
      </c>
      <c r="J433" s="58" t="s">
        <v>107</v>
      </c>
      <c r="K433" s="61" t="s">
        <v>108</v>
      </c>
      <c r="L433" s="64">
        <v>45411.6254976852</v>
      </c>
      <c r="M433" s="64">
        <v>45429.706516203703</v>
      </c>
    </row>
    <row r="434" spans="1:13" s="38" customFormat="1" ht="14.4" customHeight="1" x14ac:dyDescent="0.25">
      <c r="A434" s="44">
        <v>433</v>
      </c>
      <c r="B434" s="45" t="s">
        <v>85</v>
      </c>
      <c r="C434" s="46" t="s">
        <v>267</v>
      </c>
      <c r="D434" s="38" t="s">
        <v>202</v>
      </c>
      <c r="E434" s="38" t="s">
        <v>106</v>
      </c>
      <c r="F434" s="64">
        <v>45443.407939814802</v>
      </c>
      <c r="G434" s="64">
        <v>45442.437060185199</v>
      </c>
      <c r="H434" s="59" t="s">
        <v>90</v>
      </c>
      <c r="I434" s="60">
        <v>12000</v>
      </c>
      <c r="J434" s="58" t="s">
        <v>107</v>
      </c>
      <c r="K434" s="61" t="s">
        <v>108</v>
      </c>
      <c r="L434" s="64">
        <v>45411.625567129602</v>
      </c>
      <c r="M434" s="64">
        <v>45429.706574074102</v>
      </c>
    </row>
    <row r="435" spans="1:13" s="38" customFormat="1" ht="14.4" customHeight="1" x14ac:dyDescent="0.25">
      <c r="A435" s="44">
        <v>434</v>
      </c>
      <c r="B435" s="45" t="s">
        <v>85</v>
      </c>
      <c r="C435" s="46" t="s">
        <v>267</v>
      </c>
      <c r="D435" s="38" t="s">
        <v>203</v>
      </c>
      <c r="E435" s="38" t="s">
        <v>106</v>
      </c>
      <c r="F435" s="64">
        <v>45443.408009259299</v>
      </c>
      <c r="G435" s="64">
        <v>45442.4370949074</v>
      </c>
      <c r="H435" s="59" t="s">
        <v>90</v>
      </c>
      <c r="I435" s="60">
        <v>12000</v>
      </c>
      <c r="J435" s="58" t="s">
        <v>107</v>
      </c>
      <c r="K435" s="61" t="s">
        <v>108</v>
      </c>
      <c r="L435" s="64">
        <v>45411.625659722202</v>
      </c>
      <c r="M435" s="64">
        <v>45429.706631944398</v>
      </c>
    </row>
    <row r="436" spans="1:13" s="38" customFormat="1" ht="14.4" customHeight="1" x14ac:dyDescent="0.25">
      <c r="A436" s="44">
        <v>435</v>
      </c>
      <c r="B436" s="45" t="s">
        <v>85</v>
      </c>
      <c r="C436" s="46" t="s">
        <v>267</v>
      </c>
      <c r="D436" s="38" t="s">
        <v>204</v>
      </c>
      <c r="E436" s="38" t="s">
        <v>106</v>
      </c>
      <c r="F436" s="64">
        <v>45443.747025463003</v>
      </c>
      <c r="G436" s="64">
        <v>45442.437129629601</v>
      </c>
      <c r="H436" s="59" t="s">
        <v>90</v>
      </c>
      <c r="I436" s="60">
        <v>12000</v>
      </c>
      <c r="J436" s="58" t="s">
        <v>107</v>
      </c>
      <c r="K436" s="61" t="s">
        <v>108</v>
      </c>
      <c r="L436" s="64">
        <v>45411.625729166699</v>
      </c>
      <c r="M436" s="64">
        <v>45429.706712963001</v>
      </c>
    </row>
    <row r="437" spans="1:13" s="38" customFormat="1" ht="14.4" customHeight="1" x14ac:dyDescent="0.25">
      <c r="A437" s="44">
        <v>436</v>
      </c>
      <c r="B437" s="45" t="s">
        <v>85</v>
      </c>
      <c r="C437" s="46" t="s">
        <v>267</v>
      </c>
      <c r="D437" s="38" t="s">
        <v>205</v>
      </c>
      <c r="E437" s="38" t="s">
        <v>106</v>
      </c>
      <c r="F437" s="64">
        <v>45443.747083333299</v>
      </c>
      <c r="G437" s="64">
        <v>45442.437314814801</v>
      </c>
      <c r="H437" s="59" t="s">
        <v>90</v>
      </c>
      <c r="I437" s="60">
        <v>12000</v>
      </c>
      <c r="J437" s="58" t="s">
        <v>107</v>
      </c>
      <c r="K437" s="61" t="s">
        <v>108</v>
      </c>
      <c r="L437" s="64">
        <v>45411.625833333303</v>
      </c>
      <c r="M437" s="64">
        <v>45429.706782407397</v>
      </c>
    </row>
    <row r="438" spans="1:13" s="38" customFormat="1" ht="14.4" customHeight="1" x14ac:dyDescent="0.25">
      <c r="A438" s="44">
        <v>437</v>
      </c>
      <c r="B438" s="45" t="s">
        <v>85</v>
      </c>
      <c r="C438" s="46" t="s">
        <v>267</v>
      </c>
      <c r="D438" s="38" t="s">
        <v>206</v>
      </c>
      <c r="E438" s="38" t="s">
        <v>106</v>
      </c>
      <c r="F438" s="64">
        <v>45448.579317129603</v>
      </c>
      <c r="G438" s="64">
        <v>45447.370798611097</v>
      </c>
      <c r="H438" s="59" t="s">
        <v>90</v>
      </c>
      <c r="I438" s="60">
        <v>12000</v>
      </c>
      <c r="J438" s="58" t="s">
        <v>107</v>
      </c>
      <c r="K438" s="61" t="s">
        <v>108</v>
      </c>
      <c r="L438" s="64">
        <v>45411.625972222202</v>
      </c>
      <c r="M438" s="64">
        <v>45429.706840277802</v>
      </c>
    </row>
    <row r="439" spans="1:13" s="38" customFormat="1" ht="14.4" customHeight="1" x14ac:dyDescent="0.25">
      <c r="A439" s="44">
        <v>438</v>
      </c>
      <c r="B439" s="45" t="s">
        <v>85</v>
      </c>
      <c r="C439" s="46" t="s">
        <v>267</v>
      </c>
      <c r="D439" s="38" t="s">
        <v>207</v>
      </c>
      <c r="E439" s="38" t="s">
        <v>106</v>
      </c>
      <c r="F439" s="64">
        <v>45448.579317129603</v>
      </c>
      <c r="G439" s="64">
        <v>45447.370833333298</v>
      </c>
      <c r="H439" s="59" t="s">
        <v>90</v>
      </c>
      <c r="I439" s="60">
        <v>12000</v>
      </c>
      <c r="J439" s="58" t="s">
        <v>107</v>
      </c>
      <c r="K439" s="61" t="s">
        <v>108</v>
      </c>
      <c r="L439" s="64">
        <v>45411.626041666699</v>
      </c>
      <c r="M439" s="64">
        <v>45429.706909722197</v>
      </c>
    </row>
    <row r="440" spans="1:13" s="38" customFormat="1" ht="14.4" customHeight="1" x14ac:dyDescent="0.25">
      <c r="A440" s="44">
        <v>439</v>
      </c>
      <c r="B440" s="45" t="s">
        <v>85</v>
      </c>
      <c r="C440" s="66" t="s">
        <v>267</v>
      </c>
      <c r="D440" s="66" t="s">
        <v>208</v>
      </c>
      <c r="E440" s="67" t="s">
        <v>108</v>
      </c>
      <c r="F440" s="68">
        <v>46227.897002314799</v>
      </c>
      <c r="G440" s="68">
        <v>46237.613148148099</v>
      </c>
      <c r="H440" s="59" t="s">
        <v>90</v>
      </c>
      <c r="I440" s="60">
        <v>12000</v>
      </c>
      <c r="J440" s="58" t="s">
        <v>107</v>
      </c>
      <c r="K440" s="62"/>
      <c r="L440" s="63"/>
      <c r="M440" s="57"/>
    </row>
    <row r="441" spans="1:13" s="38" customFormat="1" x14ac:dyDescent="0.25">
      <c r="A441" s="44">
        <v>440</v>
      </c>
      <c r="B441" s="45" t="s">
        <v>85</v>
      </c>
      <c r="C441" s="66" t="s">
        <v>267</v>
      </c>
      <c r="D441" s="66" t="s">
        <v>209</v>
      </c>
      <c r="E441" s="67" t="s">
        <v>146</v>
      </c>
      <c r="F441" s="68">
        <v>46225.833657407398</v>
      </c>
      <c r="G441" s="68">
        <v>46224.833888888897</v>
      </c>
      <c r="H441" s="59" t="s">
        <v>90</v>
      </c>
      <c r="I441" s="60">
        <v>12000</v>
      </c>
      <c r="J441" s="58" t="s">
        <v>107</v>
      </c>
      <c r="K441" s="75" t="s">
        <v>265</v>
      </c>
      <c r="L441" s="76">
        <v>46221.736481481501</v>
      </c>
      <c r="M441" s="76">
        <v>46221.744965277801</v>
      </c>
    </row>
    <row r="442" spans="1:13" s="38" customFormat="1" x14ac:dyDescent="0.25">
      <c r="A442" s="44">
        <v>441</v>
      </c>
      <c r="B442" s="45" t="s">
        <v>85</v>
      </c>
      <c r="C442" s="66" t="s">
        <v>267</v>
      </c>
      <c r="D442" s="66" t="s">
        <v>210</v>
      </c>
      <c r="E442" s="67" t="s">
        <v>146</v>
      </c>
      <c r="F442" s="68">
        <v>46225.833657407398</v>
      </c>
      <c r="G442" s="68">
        <v>46224.833888888897</v>
      </c>
      <c r="H442" s="59" t="s">
        <v>90</v>
      </c>
      <c r="I442" s="60">
        <v>12000</v>
      </c>
      <c r="J442" s="58" t="s">
        <v>107</v>
      </c>
      <c r="K442" s="75" t="s">
        <v>265</v>
      </c>
      <c r="L442" s="76">
        <v>46221.736481481501</v>
      </c>
      <c r="M442" s="76">
        <v>46221.745069444398</v>
      </c>
    </row>
    <row r="443" spans="1:13" s="38" customFormat="1" ht="14.4" customHeight="1" x14ac:dyDescent="0.25">
      <c r="A443" s="44">
        <v>442</v>
      </c>
      <c r="B443" s="45" t="s">
        <v>85</v>
      </c>
      <c r="C443" s="46" t="s">
        <v>267</v>
      </c>
      <c r="D443" s="38" t="s">
        <v>211</v>
      </c>
      <c r="E443" s="61"/>
      <c r="H443" s="59" t="s">
        <v>90</v>
      </c>
      <c r="I443" s="60">
        <v>12000</v>
      </c>
      <c r="K443" s="62"/>
      <c r="L443" s="63"/>
      <c r="M443" s="57"/>
    </row>
    <row r="444" spans="1:13" s="38" customFormat="1" ht="14.4" customHeight="1" x14ac:dyDescent="0.25">
      <c r="A444" s="44">
        <v>443</v>
      </c>
      <c r="B444" s="45" t="s">
        <v>85</v>
      </c>
      <c r="C444" s="46" t="s">
        <v>267</v>
      </c>
      <c r="D444" s="38" t="s">
        <v>212</v>
      </c>
      <c r="E444" s="38" t="s">
        <v>106</v>
      </c>
      <c r="F444" s="64">
        <v>45526.707569444399</v>
      </c>
      <c r="G444" s="64">
        <v>45531.3977662037</v>
      </c>
      <c r="H444" s="54" t="s">
        <v>88</v>
      </c>
      <c r="I444" s="55">
        <v>16000</v>
      </c>
      <c r="J444" s="58" t="s">
        <v>107</v>
      </c>
      <c r="K444" s="61" t="s">
        <v>108</v>
      </c>
      <c r="L444" s="64">
        <v>45429.5647916667</v>
      </c>
      <c r="M444" s="64">
        <v>45430.692048611098</v>
      </c>
    </row>
    <row r="445" spans="1:13" s="38" customFormat="1" ht="14.4" customHeight="1" x14ac:dyDescent="0.25">
      <c r="A445" s="44">
        <v>444</v>
      </c>
      <c r="B445" s="45" t="s">
        <v>85</v>
      </c>
      <c r="C445" s="46" t="s">
        <v>267</v>
      </c>
      <c r="D445" s="38" t="s">
        <v>213</v>
      </c>
      <c r="E445" s="38" t="s">
        <v>106</v>
      </c>
      <c r="F445" s="64">
        <v>45448.579884259299</v>
      </c>
      <c r="G445" s="64">
        <v>45447.370868055601</v>
      </c>
      <c r="H445" s="59" t="s">
        <v>90</v>
      </c>
      <c r="I445" s="60">
        <v>12000</v>
      </c>
      <c r="J445" s="58" t="s">
        <v>107</v>
      </c>
      <c r="K445" s="61" t="s">
        <v>108</v>
      </c>
      <c r="L445" s="64">
        <v>45411.626192129603</v>
      </c>
      <c r="M445" s="64">
        <v>45429.706990740699</v>
      </c>
    </row>
    <row r="446" spans="1:13" s="38" customFormat="1" ht="14.4" customHeight="1" x14ac:dyDescent="0.25">
      <c r="A446" s="44">
        <v>445</v>
      </c>
      <c r="B446" s="45" t="s">
        <v>85</v>
      </c>
      <c r="C446" s="46" t="s">
        <v>267</v>
      </c>
      <c r="D446" s="38" t="s">
        <v>214</v>
      </c>
      <c r="E446" s="38" t="s">
        <v>106</v>
      </c>
      <c r="F446" s="64">
        <v>45448.584155092598</v>
      </c>
      <c r="G446" s="64">
        <v>45447.370902777802</v>
      </c>
      <c r="H446" s="59" t="s">
        <v>90</v>
      </c>
      <c r="I446" s="60">
        <v>12000</v>
      </c>
      <c r="J446" s="58" t="s">
        <v>107</v>
      </c>
      <c r="K446" s="61" t="s">
        <v>108</v>
      </c>
      <c r="L446" s="64">
        <v>45411.6262615741</v>
      </c>
      <c r="M446" s="64">
        <v>45429.707048611097</v>
      </c>
    </row>
    <row r="447" spans="1:13" s="38" customFormat="1" ht="14.4" customHeight="1" x14ac:dyDescent="0.25">
      <c r="A447" s="44">
        <v>446</v>
      </c>
      <c r="B447" s="45" t="s">
        <v>85</v>
      </c>
      <c r="C447" s="46" t="s">
        <v>267</v>
      </c>
      <c r="D447" s="38" t="s">
        <v>215</v>
      </c>
      <c r="E447" s="38" t="s">
        <v>106</v>
      </c>
      <c r="F447" s="64">
        <v>45448.584155092598</v>
      </c>
      <c r="G447" s="64">
        <v>45447.370937500003</v>
      </c>
      <c r="H447" s="59" t="s">
        <v>90</v>
      </c>
      <c r="I447" s="60">
        <v>12000</v>
      </c>
      <c r="J447" s="58" t="s">
        <v>107</v>
      </c>
      <c r="K447" s="61" t="s">
        <v>108</v>
      </c>
      <c r="L447" s="64">
        <v>45411.626412037003</v>
      </c>
      <c r="M447" s="64">
        <v>45429.707129629598</v>
      </c>
    </row>
    <row r="448" spans="1:13" s="38" customFormat="1" ht="14.4" customHeight="1" x14ac:dyDescent="0.25">
      <c r="A448" s="44">
        <v>447</v>
      </c>
      <c r="B448" s="45" t="s">
        <v>85</v>
      </c>
      <c r="C448" s="46" t="s">
        <v>267</v>
      </c>
      <c r="D448" s="38" t="s">
        <v>216</v>
      </c>
      <c r="E448" s="38" t="s">
        <v>106</v>
      </c>
      <c r="F448" s="64">
        <v>45448.583414351902</v>
      </c>
      <c r="G448" s="64">
        <v>45447.370972222197</v>
      </c>
      <c r="H448" s="59" t="s">
        <v>90</v>
      </c>
      <c r="I448" s="60">
        <v>12000</v>
      </c>
      <c r="J448" s="58" t="s">
        <v>107</v>
      </c>
      <c r="K448" s="61" t="s">
        <v>108</v>
      </c>
      <c r="L448" s="64">
        <v>45411.6264814815</v>
      </c>
      <c r="M448" s="64">
        <v>45429.707199074102</v>
      </c>
    </row>
    <row r="449" spans="1:13" s="38" customFormat="1" ht="14.4" customHeight="1" x14ac:dyDescent="0.25">
      <c r="A449" s="44">
        <v>448</v>
      </c>
      <c r="B449" s="45" t="s">
        <v>85</v>
      </c>
      <c r="C449" s="46" t="s">
        <v>267</v>
      </c>
      <c r="D449" s="38" t="s">
        <v>217</v>
      </c>
      <c r="E449" s="38" t="s">
        <v>106</v>
      </c>
      <c r="F449" s="64">
        <v>45448.584224537</v>
      </c>
      <c r="G449" s="64">
        <v>45447.371006944399</v>
      </c>
      <c r="H449" s="59" t="s">
        <v>90</v>
      </c>
      <c r="I449" s="60">
        <v>12000</v>
      </c>
      <c r="J449" s="58" t="s">
        <v>107</v>
      </c>
      <c r="K449" s="61" t="s">
        <v>108</v>
      </c>
      <c r="L449" s="64">
        <v>45411.626550925903</v>
      </c>
      <c r="M449" s="64">
        <v>45429.707268518498</v>
      </c>
    </row>
    <row r="450" spans="1:13" s="38" customFormat="1" ht="14.4" customHeight="1" x14ac:dyDescent="0.25">
      <c r="A450" s="44">
        <v>449</v>
      </c>
      <c r="B450" s="45" t="s">
        <v>85</v>
      </c>
      <c r="C450" s="46" t="s">
        <v>267</v>
      </c>
      <c r="D450" s="38" t="s">
        <v>218</v>
      </c>
      <c r="E450" s="38" t="s">
        <v>106</v>
      </c>
      <c r="F450" s="64">
        <v>45448.584189814799</v>
      </c>
      <c r="G450" s="64">
        <v>45447.371041666702</v>
      </c>
      <c r="H450" s="59" t="s">
        <v>90</v>
      </c>
      <c r="I450" s="60">
        <v>12000</v>
      </c>
      <c r="J450" s="58" t="s">
        <v>107</v>
      </c>
      <c r="K450" s="61" t="s">
        <v>108</v>
      </c>
      <c r="L450" s="64">
        <v>45411.626631944397</v>
      </c>
      <c r="M450" s="64">
        <v>45429.707326388903</v>
      </c>
    </row>
    <row r="451" spans="1:13" s="38" customFormat="1" ht="14.4" customHeight="1" x14ac:dyDescent="0.25">
      <c r="A451" s="44">
        <v>450</v>
      </c>
      <c r="B451" s="45" t="s">
        <v>85</v>
      </c>
      <c r="C451" s="46" t="s">
        <v>267</v>
      </c>
      <c r="D451" s="38" t="s">
        <v>219</v>
      </c>
      <c r="E451" s="38" t="s">
        <v>106</v>
      </c>
      <c r="F451" s="64">
        <v>45448.579872685201</v>
      </c>
      <c r="G451" s="64">
        <v>45447.371076388903</v>
      </c>
      <c r="H451" s="59" t="s">
        <v>90</v>
      </c>
      <c r="I451" s="60">
        <v>12000</v>
      </c>
      <c r="J451" s="58" t="s">
        <v>107</v>
      </c>
      <c r="K451" s="61" t="s">
        <v>108</v>
      </c>
      <c r="L451" s="64">
        <v>45411.626724537004</v>
      </c>
      <c r="M451" s="64">
        <v>45429.707395833299</v>
      </c>
    </row>
    <row r="452" spans="1:13" s="38" customFormat="1" ht="14.4" customHeight="1" x14ac:dyDescent="0.25">
      <c r="A452" s="44">
        <v>451</v>
      </c>
      <c r="B452" s="45" t="s">
        <v>85</v>
      </c>
      <c r="C452" s="46" t="s">
        <v>267</v>
      </c>
      <c r="D452" s="38" t="s">
        <v>220</v>
      </c>
      <c r="E452" s="38" t="s">
        <v>106</v>
      </c>
      <c r="F452" s="64">
        <v>45448.580706018503</v>
      </c>
      <c r="G452" s="64">
        <v>45447.371122685203</v>
      </c>
      <c r="H452" s="59" t="s">
        <v>90</v>
      </c>
      <c r="I452" s="60">
        <v>12000</v>
      </c>
      <c r="J452" s="58" t="s">
        <v>107</v>
      </c>
      <c r="K452" s="61" t="s">
        <v>108</v>
      </c>
      <c r="L452" s="64">
        <v>45411.6269328704</v>
      </c>
      <c r="M452" s="64">
        <v>45429.707465277803</v>
      </c>
    </row>
    <row r="453" spans="1:13" s="38" customFormat="1" ht="14.4" customHeight="1" x14ac:dyDescent="0.25">
      <c r="A453" s="44">
        <v>452</v>
      </c>
      <c r="B453" s="45" t="s">
        <v>85</v>
      </c>
      <c r="C453" s="46" t="s">
        <v>267</v>
      </c>
      <c r="D453" s="38" t="s">
        <v>221</v>
      </c>
      <c r="E453" s="38" t="s">
        <v>106</v>
      </c>
      <c r="F453" s="64">
        <v>45449.663634259297</v>
      </c>
      <c r="G453" s="64">
        <v>45448.371851851902</v>
      </c>
      <c r="H453" s="59" t="s">
        <v>90</v>
      </c>
      <c r="I453" s="60">
        <v>12000</v>
      </c>
      <c r="J453" s="58" t="s">
        <v>107</v>
      </c>
      <c r="K453" s="61" t="s">
        <v>108</v>
      </c>
      <c r="L453" s="64">
        <v>45411.627002314803</v>
      </c>
      <c r="M453" s="64">
        <v>45429.707569444399</v>
      </c>
    </row>
    <row r="454" spans="1:13" s="38" customFormat="1" ht="14.4" customHeight="1" x14ac:dyDescent="0.25">
      <c r="A454" s="44">
        <v>453</v>
      </c>
      <c r="B454" s="45" t="s">
        <v>85</v>
      </c>
      <c r="C454" s="46" t="s">
        <v>267</v>
      </c>
      <c r="D454" s="38" t="s">
        <v>222</v>
      </c>
      <c r="E454" s="38" t="s">
        <v>106</v>
      </c>
      <c r="F454" s="64">
        <v>45449.666018518503</v>
      </c>
      <c r="G454" s="64">
        <v>45448.371898148202</v>
      </c>
      <c r="H454" s="59" t="s">
        <v>90</v>
      </c>
      <c r="I454" s="60">
        <v>12000</v>
      </c>
      <c r="J454" s="58" t="s">
        <v>107</v>
      </c>
      <c r="K454" s="61" t="s">
        <v>108</v>
      </c>
      <c r="L454" s="64">
        <v>45411.626875000002</v>
      </c>
      <c r="M454" s="64">
        <v>45429.707638888904</v>
      </c>
    </row>
    <row r="455" spans="1:13" s="38" customFormat="1" ht="14.4" customHeight="1" x14ac:dyDescent="0.25">
      <c r="A455" s="44">
        <v>454</v>
      </c>
      <c r="B455" s="45" t="s">
        <v>85</v>
      </c>
      <c r="C455" s="46" t="s">
        <v>267</v>
      </c>
      <c r="D455" s="38" t="s">
        <v>223</v>
      </c>
      <c r="E455" s="38" t="s">
        <v>106</v>
      </c>
      <c r="F455" s="64">
        <v>45449.666053240697</v>
      </c>
      <c r="G455" s="64">
        <v>45448.3719444444</v>
      </c>
      <c r="H455" s="59" t="s">
        <v>90</v>
      </c>
      <c r="I455" s="60">
        <v>12000</v>
      </c>
      <c r="J455" s="58" t="s">
        <v>107</v>
      </c>
      <c r="K455" s="61" t="s">
        <v>108</v>
      </c>
      <c r="L455" s="64">
        <v>45411.627592592602</v>
      </c>
      <c r="M455" s="64">
        <v>45429.707708333299</v>
      </c>
    </row>
    <row r="456" spans="1:13" s="38" customFormat="1" ht="14.4" customHeight="1" x14ac:dyDescent="0.25">
      <c r="A456" s="44">
        <v>455</v>
      </c>
      <c r="B456" s="45" t="s">
        <v>85</v>
      </c>
      <c r="C456" s="46" t="s">
        <v>267</v>
      </c>
      <c r="D456" s="38" t="s">
        <v>224</v>
      </c>
      <c r="E456" s="38" t="s">
        <v>106</v>
      </c>
      <c r="F456" s="64">
        <v>45449.6659490741</v>
      </c>
      <c r="G456" s="64">
        <v>45448.371990740699</v>
      </c>
      <c r="H456" s="59" t="s">
        <v>90</v>
      </c>
      <c r="I456" s="60">
        <v>12000</v>
      </c>
      <c r="J456" s="58" t="s">
        <v>107</v>
      </c>
      <c r="K456" s="61" t="s">
        <v>108</v>
      </c>
      <c r="L456" s="64">
        <v>45411.627650463</v>
      </c>
      <c r="M456" s="64">
        <v>45429.707777777803</v>
      </c>
    </row>
    <row r="457" spans="1:13" s="38" customFormat="1" ht="14.4" customHeight="1" x14ac:dyDescent="0.25">
      <c r="A457" s="44">
        <v>456</v>
      </c>
      <c r="B457" s="45" t="s">
        <v>85</v>
      </c>
      <c r="C457" s="46" t="s">
        <v>267</v>
      </c>
      <c r="D457" s="38" t="s">
        <v>225</v>
      </c>
      <c r="E457" s="38" t="s">
        <v>106</v>
      </c>
      <c r="F457" s="64">
        <v>45500.670081018499</v>
      </c>
      <c r="G457" s="64">
        <v>45502.442175925898</v>
      </c>
      <c r="H457" s="59" t="s">
        <v>90</v>
      </c>
      <c r="I457" s="60">
        <v>12000</v>
      </c>
      <c r="J457" s="58" t="s">
        <v>107</v>
      </c>
      <c r="K457" s="61" t="s">
        <v>108</v>
      </c>
      <c r="L457" s="64">
        <v>45411.627731481502</v>
      </c>
      <c r="M457" s="64">
        <v>45429.707858796297</v>
      </c>
    </row>
    <row r="458" spans="1:13" s="38" customFormat="1" ht="14.4" customHeight="1" x14ac:dyDescent="0.25">
      <c r="A458" s="44">
        <v>457</v>
      </c>
      <c r="B458" s="45" t="s">
        <v>85</v>
      </c>
      <c r="C458" s="46" t="s">
        <v>267</v>
      </c>
      <c r="D458" s="38" t="s">
        <v>226</v>
      </c>
      <c r="E458" s="38" t="s">
        <v>106</v>
      </c>
      <c r="F458" s="64">
        <v>45500.670081018499</v>
      </c>
      <c r="G458" s="64">
        <v>45502.442210648202</v>
      </c>
      <c r="H458" s="59" t="s">
        <v>90</v>
      </c>
      <c r="I458" s="60">
        <v>12000</v>
      </c>
      <c r="J458" s="58" t="s">
        <v>107</v>
      </c>
      <c r="K458" s="61" t="s">
        <v>108</v>
      </c>
      <c r="L458" s="64">
        <v>45411.627523148098</v>
      </c>
      <c r="M458" s="64">
        <v>45429.707928240699</v>
      </c>
    </row>
    <row r="459" spans="1:13" s="38" customFormat="1" x14ac:dyDescent="0.25">
      <c r="A459" s="44">
        <v>458</v>
      </c>
      <c r="B459" s="45" t="s">
        <v>85</v>
      </c>
      <c r="C459" s="66" t="s">
        <v>267</v>
      </c>
      <c r="D459" s="66" t="s">
        <v>227</v>
      </c>
      <c r="E459" s="67" t="s">
        <v>146</v>
      </c>
      <c r="F459" s="68">
        <v>46225.833657407398</v>
      </c>
      <c r="G459" s="68">
        <v>46224.833888888897</v>
      </c>
      <c r="H459" s="59" t="s">
        <v>90</v>
      </c>
      <c r="I459" s="60">
        <v>12000</v>
      </c>
      <c r="J459" s="58" t="s">
        <v>107</v>
      </c>
      <c r="K459" s="75" t="s">
        <v>265</v>
      </c>
      <c r="L459" s="76">
        <v>46221.736481481501</v>
      </c>
      <c r="M459" s="76">
        <v>46221.745983796303</v>
      </c>
    </row>
    <row r="460" spans="1:13" s="38" customFormat="1" x14ac:dyDescent="0.25">
      <c r="A460" s="44">
        <v>459</v>
      </c>
      <c r="B460" s="45" t="s">
        <v>85</v>
      </c>
      <c r="C460" s="66" t="s">
        <v>267</v>
      </c>
      <c r="D460" s="66" t="s">
        <v>228</v>
      </c>
      <c r="E460" s="67" t="s">
        <v>146</v>
      </c>
      <c r="F460" s="68">
        <v>46225.833657407398</v>
      </c>
      <c r="G460" s="68">
        <v>46224.833888888897</v>
      </c>
      <c r="H460" s="59" t="s">
        <v>90</v>
      </c>
      <c r="I460" s="60">
        <v>12000</v>
      </c>
      <c r="J460" s="58" t="s">
        <v>107</v>
      </c>
      <c r="K460" s="75" t="s">
        <v>265</v>
      </c>
      <c r="L460" s="76">
        <v>46221.7364930556</v>
      </c>
      <c r="M460" s="76">
        <v>46221.816180555601</v>
      </c>
    </row>
    <row r="461" spans="1:13" s="38" customFormat="1" ht="14.4" customHeight="1" x14ac:dyDescent="0.25">
      <c r="A461" s="44">
        <v>460</v>
      </c>
      <c r="B461" s="45" t="s">
        <v>85</v>
      </c>
      <c r="C461" s="66" t="s">
        <v>267</v>
      </c>
      <c r="D461" s="66" t="s">
        <v>229</v>
      </c>
      <c r="E461" s="67" t="s">
        <v>108</v>
      </c>
      <c r="F461" s="68">
        <v>46227.896990740701</v>
      </c>
      <c r="G461" s="68">
        <v>46237.613217592603</v>
      </c>
      <c r="H461" s="59" t="s">
        <v>90</v>
      </c>
      <c r="I461" s="60">
        <v>12000</v>
      </c>
      <c r="J461" s="58" t="s">
        <v>107</v>
      </c>
      <c r="K461" s="62"/>
      <c r="L461" s="63"/>
      <c r="M461" s="57"/>
    </row>
    <row r="462" spans="1:13" s="38" customFormat="1" ht="14.4" customHeight="1" x14ac:dyDescent="0.25">
      <c r="A462" s="44">
        <v>461</v>
      </c>
      <c r="B462" s="45" t="s">
        <v>85</v>
      </c>
      <c r="C462" s="46" t="s">
        <v>267</v>
      </c>
      <c r="D462" s="38" t="s">
        <v>230</v>
      </c>
      <c r="E462" s="38" t="s">
        <v>106</v>
      </c>
      <c r="F462" s="64">
        <v>45500.672118055598</v>
      </c>
      <c r="G462" s="64">
        <v>45502.4422569444</v>
      </c>
      <c r="H462" s="54" t="s">
        <v>88</v>
      </c>
      <c r="I462" s="55">
        <v>16000</v>
      </c>
      <c r="J462" s="58" t="s">
        <v>107</v>
      </c>
      <c r="K462" s="61" t="s">
        <v>108</v>
      </c>
      <c r="L462" s="64">
        <v>45411.628344907404</v>
      </c>
      <c r="M462" s="64">
        <v>45429.708009259302</v>
      </c>
    </row>
    <row r="463" spans="1:13" s="38" customFormat="1" ht="14.4" customHeight="1" x14ac:dyDescent="0.25">
      <c r="A463" s="44">
        <v>462</v>
      </c>
      <c r="B463" s="45" t="s">
        <v>85</v>
      </c>
      <c r="C463" s="46" t="s">
        <v>267</v>
      </c>
      <c r="D463" s="38" t="s">
        <v>231</v>
      </c>
      <c r="E463" s="38" t="s">
        <v>106</v>
      </c>
      <c r="F463" s="64">
        <v>45500.672071759298</v>
      </c>
      <c r="G463" s="64">
        <v>45502.442303240699</v>
      </c>
      <c r="H463" s="59" t="s">
        <v>90</v>
      </c>
      <c r="I463" s="60">
        <v>12000</v>
      </c>
      <c r="J463" s="58" t="s">
        <v>107</v>
      </c>
      <c r="K463" s="61" t="s">
        <v>108</v>
      </c>
      <c r="L463" s="64">
        <v>45411.628425925897</v>
      </c>
      <c r="M463" s="64">
        <v>45429.708078703698</v>
      </c>
    </row>
    <row r="464" spans="1:13" s="38" customFormat="1" ht="14.4" customHeight="1" x14ac:dyDescent="0.25">
      <c r="A464" s="44">
        <v>463</v>
      </c>
      <c r="B464" s="45" t="s">
        <v>85</v>
      </c>
      <c r="C464" s="46" t="s">
        <v>267</v>
      </c>
      <c r="D464" s="38" t="s">
        <v>232</v>
      </c>
      <c r="E464" s="38" t="s">
        <v>106</v>
      </c>
      <c r="F464" s="64">
        <v>45500.6721875</v>
      </c>
      <c r="G464" s="64">
        <v>45502.442349536999</v>
      </c>
      <c r="H464" s="59" t="s">
        <v>90</v>
      </c>
      <c r="I464" s="60">
        <v>12000</v>
      </c>
      <c r="J464" s="58" t="s">
        <v>107</v>
      </c>
      <c r="K464" s="61" t="s">
        <v>108</v>
      </c>
      <c r="L464" s="64">
        <v>45411.628518518497</v>
      </c>
      <c r="M464" s="64">
        <v>45429.708148148202</v>
      </c>
    </row>
    <row r="465" spans="1:13" s="38" customFormat="1" ht="14.4" customHeight="1" x14ac:dyDescent="0.25">
      <c r="A465" s="44">
        <v>464</v>
      </c>
      <c r="B465" s="45" t="s">
        <v>85</v>
      </c>
      <c r="C465" s="46" t="s">
        <v>267</v>
      </c>
      <c r="D465" s="38" t="s">
        <v>233</v>
      </c>
      <c r="E465" s="38" t="s">
        <v>106</v>
      </c>
      <c r="F465" s="64">
        <v>45500.6720138889</v>
      </c>
      <c r="G465" s="64">
        <v>45502.442395833299</v>
      </c>
      <c r="H465" s="59" t="s">
        <v>90</v>
      </c>
      <c r="I465" s="60">
        <v>12000</v>
      </c>
      <c r="J465" s="58" t="s">
        <v>107</v>
      </c>
      <c r="K465" s="61" t="s">
        <v>108</v>
      </c>
      <c r="L465" s="64">
        <v>45411.628599536998</v>
      </c>
      <c r="M465" s="64">
        <v>45429.708217592597</v>
      </c>
    </row>
    <row r="466" spans="1:13" s="38" customFormat="1" ht="14.4" customHeight="1" x14ac:dyDescent="0.25">
      <c r="A466" s="44">
        <v>465</v>
      </c>
      <c r="B466" s="45" t="s">
        <v>85</v>
      </c>
      <c r="C466" s="46" t="s">
        <v>267</v>
      </c>
      <c r="D466" s="38" t="s">
        <v>234</v>
      </c>
      <c r="E466" s="38" t="s">
        <v>106</v>
      </c>
      <c r="F466" s="64">
        <v>45500.672256944403</v>
      </c>
      <c r="G466" s="64">
        <v>45502.442430555602</v>
      </c>
      <c r="H466" s="59" t="s">
        <v>90</v>
      </c>
      <c r="I466" s="60">
        <v>12000</v>
      </c>
      <c r="J466" s="58" t="s">
        <v>107</v>
      </c>
      <c r="K466" s="61" t="s">
        <v>108</v>
      </c>
      <c r="L466" s="64">
        <v>45411.628657407397</v>
      </c>
      <c r="M466" s="64">
        <v>45429.708275463003</v>
      </c>
    </row>
    <row r="467" spans="1:13" s="38" customFormat="1" ht="14.4" customHeight="1" x14ac:dyDescent="0.25">
      <c r="A467" s="44">
        <v>466</v>
      </c>
      <c r="B467" s="45" t="s">
        <v>85</v>
      </c>
      <c r="C467" s="46" t="s">
        <v>267</v>
      </c>
      <c r="D467" s="38" t="s">
        <v>235</v>
      </c>
      <c r="E467" s="38" t="s">
        <v>106</v>
      </c>
      <c r="F467" s="64">
        <v>45500.672106481499</v>
      </c>
      <c r="G467" s="64">
        <v>45502.442476851902</v>
      </c>
      <c r="H467" s="59" t="s">
        <v>90</v>
      </c>
      <c r="I467" s="60">
        <v>12000</v>
      </c>
      <c r="J467" s="58" t="s">
        <v>107</v>
      </c>
      <c r="K467" s="61" t="s">
        <v>108</v>
      </c>
      <c r="L467" s="64">
        <v>45411.628715277802</v>
      </c>
      <c r="M467" s="64">
        <v>45429.708356481497</v>
      </c>
    </row>
    <row r="468" spans="1:13" s="38" customFormat="1" ht="14.4" customHeight="1" x14ac:dyDescent="0.25">
      <c r="A468" s="44">
        <v>467</v>
      </c>
      <c r="B468" s="45" t="s">
        <v>85</v>
      </c>
      <c r="C468" s="46" t="s">
        <v>267</v>
      </c>
      <c r="D468" s="38" t="s">
        <v>236</v>
      </c>
      <c r="E468" s="38" t="s">
        <v>106</v>
      </c>
      <c r="F468" s="64">
        <v>45500.676296296297</v>
      </c>
      <c r="G468" s="64">
        <v>45502.442523148202</v>
      </c>
      <c r="H468" s="59" t="s">
        <v>90</v>
      </c>
      <c r="I468" s="60">
        <v>12000</v>
      </c>
      <c r="J468" s="58" t="s">
        <v>107</v>
      </c>
      <c r="K468" s="61" t="s">
        <v>108</v>
      </c>
      <c r="L468" s="64">
        <v>45411.628784722197</v>
      </c>
      <c r="M468" s="64">
        <v>45429.708437499998</v>
      </c>
    </row>
    <row r="469" spans="1:13" s="38" customFormat="1" ht="14.4" customHeight="1" x14ac:dyDescent="0.25">
      <c r="A469" s="44">
        <v>468</v>
      </c>
      <c r="B469" s="45" t="s">
        <v>85</v>
      </c>
      <c r="C469" s="46" t="s">
        <v>267</v>
      </c>
      <c r="D469" s="38" t="s">
        <v>237</v>
      </c>
      <c r="E469" s="38" t="s">
        <v>106</v>
      </c>
      <c r="F469" s="64">
        <v>45500.676284722198</v>
      </c>
      <c r="G469" s="64">
        <v>45502.4425694444</v>
      </c>
      <c r="H469" s="59" t="s">
        <v>90</v>
      </c>
      <c r="I469" s="60">
        <v>12000</v>
      </c>
      <c r="J469" s="58" t="s">
        <v>107</v>
      </c>
      <c r="K469" s="61" t="s">
        <v>108</v>
      </c>
      <c r="L469" s="64">
        <v>45411.628854166702</v>
      </c>
      <c r="M469" s="64">
        <v>45429.708495370403</v>
      </c>
    </row>
    <row r="470" spans="1:13" s="38" customFormat="1" ht="14.4" customHeight="1" x14ac:dyDescent="0.25">
      <c r="A470" s="44">
        <v>469</v>
      </c>
      <c r="B470" s="45" t="s">
        <v>85</v>
      </c>
      <c r="C470" s="46" t="s">
        <v>267</v>
      </c>
      <c r="D470" s="38" t="s">
        <v>238</v>
      </c>
      <c r="E470" s="38" t="s">
        <v>106</v>
      </c>
      <c r="F470" s="64">
        <v>45500.676296296297</v>
      </c>
      <c r="G470" s="64">
        <v>45502.442604166703</v>
      </c>
      <c r="H470" s="59" t="s">
        <v>90</v>
      </c>
      <c r="I470" s="60">
        <v>12000</v>
      </c>
      <c r="J470" s="58" t="s">
        <v>107</v>
      </c>
      <c r="K470" s="61" t="s">
        <v>108</v>
      </c>
      <c r="L470" s="64">
        <v>45411.629004629598</v>
      </c>
      <c r="M470" s="64">
        <v>45429.7085532407</v>
      </c>
    </row>
    <row r="471" spans="1:13" s="38" customFormat="1" ht="14.4" customHeight="1" x14ac:dyDescent="0.25">
      <c r="A471" s="44">
        <v>470</v>
      </c>
      <c r="B471" s="45" t="s">
        <v>85</v>
      </c>
      <c r="C471" s="46" t="s">
        <v>267</v>
      </c>
      <c r="D471" s="38" t="s">
        <v>239</v>
      </c>
      <c r="E471" s="38" t="s">
        <v>106</v>
      </c>
      <c r="F471" s="64">
        <v>45500.676284722198</v>
      </c>
      <c r="G471" s="64">
        <v>45502.442650463003</v>
      </c>
      <c r="H471" s="59" t="s">
        <v>90</v>
      </c>
      <c r="I471" s="60">
        <v>12000</v>
      </c>
      <c r="J471" s="58" t="s">
        <v>107</v>
      </c>
      <c r="K471" s="61" t="s">
        <v>108</v>
      </c>
      <c r="L471" s="64">
        <v>45411.629062499997</v>
      </c>
      <c r="M471" s="64">
        <v>45429.708622685197</v>
      </c>
    </row>
    <row r="472" spans="1:13" s="38" customFormat="1" ht="14.4" customHeight="1" x14ac:dyDescent="0.25">
      <c r="A472" s="44">
        <v>471</v>
      </c>
      <c r="B472" s="45" t="s">
        <v>85</v>
      </c>
      <c r="C472" s="46" t="s">
        <v>267</v>
      </c>
      <c r="D472" s="38" t="s">
        <v>240</v>
      </c>
      <c r="E472" s="38" t="s">
        <v>106</v>
      </c>
      <c r="F472" s="64">
        <v>45500.676354166702</v>
      </c>
      <c r="G472" s="64">
        <v>45502.442696759303</v>
      </c>
      <c r="H472" s="59" t="s">
        <v>90</v>
      </c>
      <c r="I472" s="60">
        <v>12000</v>
      </c>
      <c r="J472" s="58" t="s">
        <v>107</v>
      </c>
      <c r="K472" s="61" t="s">
        <v>108</v>
      </c>
      <c r="L472" s="64">
        <v>45411.629131944399</v>
      </c>
      <c r="M472" s="64">
        <v>45429.708680555603</v>
      </c>
    </row>
    <row r="473" spans="1:13" s="38" customFormat="1" ht="14.4" customHeight="1" x14ac:dyDescent="0.25">
      <c r="A473" s="44">
        <v>472</v>
      </c>
      <c r="B473" s="45" t="s">
        <v>85</v>
      </c>
      <c r="C473" s="46" t="s">
        <v>267</v>
      </c>
      <c r="D473" s="38" t="s">
        <v>241</v>
      </c>
      <c r="E473" s="38" t="s">
        <v>106</v>
      </c>
      <c r="F473" s="64">
        <v>45500.6803587963</v>
      </c>
      <c r="G473" s="64">
        <v>45502.442743055602</v>
      </c>
      <c r="H473" s="59" t="s">
        <v>90</v>
      </c>
      <c r="I473" s="60">
        <v>12000</v>
      </c>
      <c r="J473" s="58" t="s">
        <v>107</v>
      </c>
      <c r="K473" s="61" t="s">
        <v>108</v>
      </c>
      <c r="L473" s="64">
        <v>45411.628275463001</v>
      </c>
      <c r="M473" s="64">
        <v>45429.708749999998</v>
      </c>
    </row>
    <row r="474" spans="1:13" s="38" customFormat="1" ht="14.4" customHeight="1" x14ac:dyDescent="0.25">
      <c r="A474" s="44">
        <v>473</v>
      </c>
      <c r="B474" s="45" t="s">
        <v>85</v>
      </c>
      <c r="C474" s="66" t="s">
        <v>267</v>
      </c>
      <c r="D474" s="66" t="s">
        <v>242</v>
      </c>
      <c r="E474" s="67" t="s">
        <v>108</v>
      </c>
      <c r="F474" s="68">
        <v>46227.896967592598</v>
      </c>
      <c r="G474" s="68">
        <v>46237.613333333298</v>
      </c>
      <c r="H474" s="59" t="s">
        <v>90</v>
      </c>
      <c r="I474" s="60">
        <v>12000</v>
      </c>
      <c r="J474" s="58" t="s">
        <v>107</v>
      </c>
      <c r="K474" s="62"/>
      <c r="L474" s="63"/>
      <c r="M474" s="57"/>
    </row>
    <row r="475" spans="1:13" s="38" customFormat="1" x14ac:dyDescent="0.25">
      <c r="A475" s="44">
        <v>474</v>
      </c>
      <c r="B475" s="45" t="s">
        <v>85</v>
      </c>
      <c r="C475" s="66" t="s">
        <v>267</v>
      </c>
      <c r="D475" s="66" t="s">
        <v>243</v>
      </c>
      <c r="E475" s="67" t="s">
        <v>146</v>
      </c>
      <c r="F475" s="68">
        <v>46225.833657407398</v>
      </c>
      <c r="G475" s="68">
        <v>46224.833888888897</v>
      </c>
      <c r="H475" s="59" t="s">
        <v>90</v>
      </c>
      <c r="I475" s="60">
        <v>12000</v>
      </c>
      <c r="J475" s="58" t="s">
        <v>107</v>
      </c>
      <c r="K475" s="75" t="s">
        <v>265</v>
      </c>
      <c r="L475" s="76">
        <v>46221.736481481501</v>
      </c>
      <c r="M475" s="76">
        <v>46221.746018518497</v>
      </c>
    </row>
    <row r="476" spans="1:13" s="38" customFormat="1" x14ac:dyDescent="0.25">
      <c r="A476" s="44">
        <v>475</v>
      </c>
      <c r="B476" s="45" t="s">
        <v>85</v>
      </c>
      <c r="C476" s="66" t="s">
        <v>267</v>
      </c>
      <c r="D476" s="66" t="s">
        <v>244</v>
      </c>
      <c r="E476" s="67" t="s">
        <v>146</v>
      </c>
      <c r="F476" s="68">
        <v>46225.833657407398</v>
      </c>
      <c r="G476" s="68">
        <v>46224.833888888897</v>
      </c>
      <c r="H476" s="59" t="s">
        <v>90</v>
      </c>
      <c r="I476" s="60">
        <v>12000</v>
      </c>
      <c r="J476" s="58" t="s">
        <v>107</v>
      </c>
      <c r="K476" s="75" t="s">
        <v>265</v>
      </c>
      <c r="L476" s="76">
        <v>46221.7364930556</v>
      </c>
      <c r="M476" s="76">
        <v>46221.746064814797</v>
      </c>
    </row>
    <row r="477" spans="1:13" s="38" customFormat="1" ht="14.4" customHeight="1" x14ac:dyDescent="0.25">
      <c r="A477" s="44">
        <v>476</v>
      </c>
      <c r="B477" s="45" t="s">
        <v>85</v>
      </c>
      <c r="C477" s="46" t="s">
        <v>267</v>
      </c>
      <c r="D477" s="38" t="s">
        <v>245</v>
      </c>
      <c r="E477" s="61"/>
      <c r="H477" s="59" t="s">
        <v>90</v>
      </c>
      <c r="I477" s="60">
        <v>12000</v>
      </c>
      <c r="K477" s="62"/>
      <c r="L477" s="63"/>
      <c r="M477" s="57"/>
    </row>
    <row r="478" spans="1:13" s="38" customFormat="1" ht="14.4" customHeight="1" x14ac:dyDescent="0.25">
      <c r="A478" s="44">
        <v>477</v>
      </c>
      <c r="B478" s="45" t="s">
        <v>85</v>
      </c>
      <c r="C478" s="46" t="s">
        <v>267</v>
      </c>
      <c r="D478" s="38" t="s">
        <v>246</v>
      </c>
      <c r="E478" s="38" t="s">
        <v>106</v>
      </c>
      <c r="F478" s="64">
        <v>45500.6803587963</v>
      </c>
      <c r="G478" s="64">
        <v>45502.442789351902</v>
      </c>
      <c r="H478" s="54" t="s">
        <v>88</v>
      </c>
      <c r="I478" s="55">
        <v>16000</v>
      </c>
      <c r="J478" s="58" t="s">
        <v>107</v>
      </c>
      <c r="K478" s="61" t="s">
        <v>108</v>
      </c>
      <c r="L478" s="64">
        <v>45411.629780092597</v>
      </c>
      <c r="M478" s="64">
        <v>45429.708900463003</v>
      </c>
    </row>
    <row r="479" spans="1:13" s="38" customFormat="1" ht="14.4" customHeight="1" x14ac:dyDescent="0.25">
      <c r="A479" s="44">
        <v>478</v>
      </c>
      <c r="B479" s="45" t="s">
        <v>85</v>
      </c>
      <c r="C479" s="46" t="s">
        <v>267</v>
      </c>
      <c r="D479" s="38" t="s">
        <v>247</v>
      </c>
      <c r="E479" s="38" t="s">
        <v>106</v>
      </c>
      <c r="F479" s="64">
        <v>45500.6803587963</v>
      </c>
      <c r="G479" s="64">
        <v>45502.442824074104</v>
      </c>
      <c r="H479" s="59" t="s">
        <v>90</v>
      </c>
      <c r="I479" s="60">
        <v>12000</v>
      </c>
      <c r="J479" s="58" t="s">
        <v>107</v>
      </c>
      <c r="K479" s="61" t="s">
        <v>108</v>
      </c>
      <c r="L479" s="64">
        <v>45411.629837963003</v>
      </c>
      <c r="M479" s="64">
        <v>45429.708969907399</v>
      </c>
    </row>
    <row r="480" spans="1:13" s="38" customFormat="1" ht="14.4" customHeight="1" x14ac:dyDescent="0.25">
      <c r="A480" s="44">
        <v>479</v>
      </c>
      <c r="B480" s="45" t="s">
        <v>85</v>
      </c>
      <c r="C480" s="46" t="s">
        <v>267</v>
      </c>
      <c r="D480" s="38" t="s">
        <v>248</v>
      </c>
      <c r="E480" s="38" t="s">
        <v>106</v>
      </c>
      <c r="F480" s="64">
        <v>45500.6809027778</v>
      </c>
      <c r="G480" s="64">
        <v>45502.442858796298</v>
      </c>
      <c r="H480" s="59" t="s">
        <v>90</v>
      </c>
      <c r="I480" s="60">
        <v>12000</v>
      </c>
      <c r="J480" s="58" t="s">
        <v>107</v>
      </c>
      <c r="K480" s="61" t="s">
        <v>108</v>
      </c>
      <c r="L480" s="64">
        <v>45411.629918981504</v>
      </c>
      <c r="M480" s="64">
        <v>45429.709039351903</v>
      </c>
    </row>
    <row r="481" spans="1:16" s="38" customFormat="1" ht="14.4" customHeight="1" x14ac:dyDescent="0.25">
      <c r="A481" s="44">
        <v>480</v>
      </c>
      <c r="B481" s="45" t="s">
        <v>85</v>
      </c>
      <c r="C481" s="46" t="s">
        <v>267</v>
      </c>
      <c r="D481" s="38" t="s">
        <v>249</v>
      </c>
      <c r="E481" s="38" t="s">
        <v>106</v>
      </c>
      <c r="F481" s="64">
        <v>45500.6809027778</v>
      </c>
      <c r="G481" s="64">
        <v>45502.442905092597</v>
      </c>
      <c r="H481" s="59" t="s">
        <v>90</v>
      </c>
      <c r="I481" s="60">
        <v>12000</v>
      </c>
      <c r="J481" s="58" t="s">
        <v>107</v>
      </c>
      <c r="K481" s="61" t="s">
        <v>108</v>
      </c>
      <c r="L481" s="64">
        <v>45411.629976851902</v>
      </c>
      <c r="M481" s="64">
        <v>45429.709131944401</v>
      </c>
    </row>
    <row r="482" spans="1:16" s="38" customFormat="1" ht="14.4" customHeight="1" x14ac:dyDescent="0.25">
      <c r="A482" s="44">
        <v>481</v>
      </c>
      <c r="B482" s="45" t="s">
        <v>85</v>
      </c>
      <c r="C482" s="46" t="s">
        <v>267</v>
      </c>
      <c r="D482" s="38" t="s">
        <v>250</v>
      </c>
      <c r="E482" s="38" t="s">
        <v>106</v>
      </c>
      <c r="F482" s="64">
        <v>45500.680914351899</v>
      </c>
      <c r="G482" s="64">
        <v>45502.442939814799</v>
      </c>
      <c r="H482" s="59" t="s">
        <v>90</v>
      </c>
      <c r="I482" s="60">
        <v>12000</v>
      </c>
      <c r="J482" s="58" t="s">
        <v>107</v>
      </c>
      <c r="K482" s="61" t="s">
        <v>108</v>
      </c>
      <c r="L482" s="64">
        <v>45411.630034722199</v>
      </c>
      <c r="M482" s="64">
        <v>45429.709374999999</v>
      </c>
    </row>
    <row r="483" spans="1:16" s="38" customFormat="1" ht="14.4" customHeight="1" x14ac:dyDescent="0.25">
      <c r="A483" s="44">
        <v>482</v>
      </c>
      <c r="B483" s="45" t="s">
        <v>85</v>
      </c>
      <c r="C483" s="46" t="s">
        <v>267</v>
      </c>
      <c r="D483" s="38" t="s">
        <v>251</v>
      </c>
      <c r="E483" s="38" t="s">
        <v>106</v>
      </c>
      <c r="F483" s="64">
        <v>45500.682592592602</v>
      </c>
      <c r="G483" s="64">
        <v>45502.442986111098</v>
      </c>
      <c r="H483" s="59" t="s">
        <v>90</v>
      </c>
      <c r="I483" s="60">
        <v>12000</v>
      </c>
      <c r="J483" s="58" t="s">
        <v>107</v>
      </c>
      <c r="K483" s="61" t="s">
        <v>108</v>
      </c>
      <c r="L483" s="64">
        <v>45411.630104166703</v>
      </c>
      <c r="M483" s="64">
        <v>45429.7094560185</v>
      </c>
    </row>
    <row r="484" spans="1:16" s="38" customFormat="1" ht="14.4" customHeight="1" x14ac:dyDescent="0.25">
      <c r="A484" s="44">
        <v>483</v>
      </c>
      <c r="B484" s="45" t="s">
        <v>85</v>
      </c>
      <c r="C484" s="46" t="s">
        <v>267</v>
      </c>
      <c r="D484" s="38" t="s">
        <v>252</v>
      </c>
      <c r="E484" s="38" t="s">
        <v>106</v>
      </c>
      <c r="F484" s="64">
        <v>45500.682627314804</v>
      </c>
      <c r="G484" s="64">
        <v>45502.443032407398</v>
      </c>
      <c r="H484" s="59" t="s">
        <v>90</v>
      </c>
      <c r="I484" s="60">
        <v>12000</v>
      </c>
      <c r="J484" s="58" t="s">
        <v>107</v>
      </c>
      <c r="K484" s="61" t="s">
        <v>108</v>
      </c>
      <c r="L484" s="64">
        <v>45411.630162037</v>
      </c>
      <c r="M484" s="64">
        <v>45429.7094560185</v>
      </c>
    </row>
    <row r="485" spans="1:16" s="38" customFormat="1" ht="14.4" customHeight="1" x14ac:dyDescent="0.25">
      <c r="A485" s="44">
        <v>484</v>
      </c>
      <c r="B485" s="45" t="s">
        <v>85</v>
      </c>
      <c r="C485" s="46" t="s">
        <v>267</v>
      </c>
      <c r="D485" s="38" t="s">
        <v>253</v>
      </c>
      <c r="E485" s="38" t="s">
        <v>106</v>
      </c>
      <c r="F485" s="64">
        <v>45500.682592592602</v>
      </c>
      <c r="G485" s="64">
        <v>45502.443101851903</v>
      </c>
      <c r="H485" s="59" t="s">
        <v>90</v>
      </c>
      <c r="I485" s="60">
        <v>12000</v>
      </c>
      <c r="J485" s="58" t="s">
        <v>107</v>
      </c>
      <c r="K485" s="61" t="s">
        <v>108</v>
      </c>
      <c r="L485" s="64">
        <v>45411.630347222199</v>
      </c>
      <c r="M485" s="64">
        <v>45429.7094560185</v>
      </c>
    </row>
    <row r="486" spans="1:16" s="38" customFormat="1" ht="14.4" customHeight="1" x14ac:dyDescent="0.25">
      <c r="A486" s="44">
        <v>485</v>
      </c>
      <c r="B486" s="45" t="s">
        <v>85</v>
      </c>
      <c r="C486" s="46" t="s">
        <v>267</v>
      </c>
      <c r="D486" s="38" t="s">
        <v>254</v>
      </c>
      <c r="E486" s="38" t="s">
        <v>106</v>
      </c>
      <c r="F486" s="64">
        <v>45500.686840277798</v>
      </c>
      <c r="G486" s="64">
        <v>45502.443136574097</v>
      </c>
      <c r="H486" s="59" t="s">
        <v>90</v>
      </c>
      <c r="I486" s="60">
        <v>12000</v>
      </c>
      <c r="J486" s="58" t="s">
        <v>107</v>
      </c>
      <c r="K486" s="61" t="s">
        <v>108</v>
      </c>
      <c r="L486" s="64">
        <v>45411.6304282407</v>
      </c>
      <c r="M486" s="64">
        <v>45429.709525462997</v>
      </c>
    </row>
    <row r="487" spans="1:16" s="38" customFormat="1" ht="14.4" customHeight="1" x14ac:dyDescent="0.25">
      <c r="A487" s="44">
        <v>486</v>
      </c>
      <c r="B487" s="45" t="s">
        <v>85</v>
      </c>
      <c r="C487" s="46" t="s">
        <v>267</v>
      </c>
      <c r="D487" s="38" t="s">
        <v>255</v>
      </c>
      <c r="E487" s="38" t="s">
        <v>106</v>
      </c>
      <c r="F487" s="64">
        <v>45500.686851851897</v>
      </c>
      <c r="G487" s="64">
        <v>45502.443171296298</v>
      </c>
      <c r="H487" s="59" t="s">
        <v>90</v>
      </c>
      <c r="I487" s="60">
        <v>12000</v>
      </c>
      <c r="J487" s="58" t="s">
        <v>107</v>
      </c>
      <c r="K487" s="61" t="s">
        <v>108</v>
      </c>
      <c r="L487" s="64">
        <v>45411.630497685197</v>
      </c>
      <c r="M487" s="64">
        <v>45429.709594907399</v>
      </c>
    </row>
    <row r="488" spans="1:16" s="38" customFormat="1" ht="14.4" customHeight="1" x14ac:dyDescent="0.25">
      <c r="A488" s="44">
        <v>487</v>
      </c>
      <c r="B488" s="45" t="s">
        <v>85</v>
      </c>
      <c r="C488" s="46" t="s">
        <v>267</v>
      </c>
      <c r="D488" s="38" t="s">
        <v>256</v>
      </c>
      <c r="E488" s="38" t="s">
        <v>106</v>
      </c>
      <c r="F488" s="64">
        <v>45500.686851851897</v>
      </c>
      <c r="G488" s="64">
        <v>45502.443217592598</v>
      </c>
      <c r="H488" s="59" t="s">
        <v>90</v>
      </c>
      <c r="I488" s="60">
        <v>12000</v>
      </c>
      <c r="J488" s="58" t="s">
        <v>107</v>
      </c>
      <c r="K488" s="61" t="s">
        <v>108</v>
      </c>
      <c r="L488" s="64">
        <v>45411.630578703698</v>
      </c>
      <c r="M488" s="64">
        <v>45429.7097222222</v>
      </c>
    </row>
    <row r="489" spans="1:16" s="38" customFormat="1" ht="14.4" customHeight="1" x14ac:dyDescent="0.25">
      <c r="A489" s="44">
        <v>488</v>
      </c>
      <c r="B489" s="45" t="s">
        <v>85</v>
      </c>
      <c r="C489" s="46" t="s">
        <v>267</v>
      </c>
      <c r="D489" s="38" t="s">
        <v>257</v>
      </c>
      <c r="E489" s="38" t="s">
        <v>106</v>
      </c>
      <c r="F489" s="64">
        <v>45500.6862847222</v>
      </c>
      <c r="G489" s="64">
        <v>45502.443460648101</v>
      </c>
      <c r="H489" s="59" t="s">
        <v>90</v>
      </c>
      <c r="I489" s="60">
        <v>12000</v>
      </c>
      <c r="J489" s="58" t="s">
        <v>107</v>
      </c>
      <c r="K489" s="61" t="s">
        <v>108</v>
      </c>
      <c r="L489" s="64">
        <v>45411.630682870396</v>
      </c>
      <c r="M489" s="64">
        <v>45429.714097222197</v>
      </c>
    </row>
    <row r="490" spans="1:16" s="38" customFormat="1" ht="14.4" customHeight="1" x14ac:dyDescent="0.25">
      <c r="A490" s="44">
        <v>489</v>
      </c>
      <c r="B490" s="45" t="s">
        <v>85</v>
      </c>
      <c r="C490" s="46" t="s">
        <v>267</v>
      </c>
      <c r="D490" s="38" t="s">
        <v>258</v>
      </c>
      <c r="E490" s="38" t="s">
        <v>106</v>
      </c>
      <c r="F490" s="64">
        <v>45626.689629629604</v>
      </c>
      <c r="G490" s="64">
        <v>45624.689733796302</v>
      </c>
      <c r="H490" s="59" t="s">
        <v>90</v>
      </c>
      <c r="I490" s="60">
        <v>12000</v>
      </c>
      <c r="J490" s="58" t="s">
        <v>107</v>
      </c>
      <c r="K490" s="61" t="s">
        <v>108</v>
      </c>
      <c r="L490" s="64">
        <v>45411.630752314799</v>
      </c>
      <c r="M490" s="64">
        <v>45429.714155092603</v>
      </c>
    </row>
    <row r="491" spans="1:16" s="38" customFormat="1" ht="14.4" customHeight="1" x14ac:dyDescent="0.25">
      <c r="A491" s="44">
        <v>490</v>
      </c>
      <c r="B491" s="45" t="s">
        <v>85</v>
      </c>
      <c r="C491" s="46" t="s">
        <v>267</v>
      </c>
      <c r="D491" s="38" t="s">
        <v>259</v>
      </c>
      <c r="E491" s="38" t="s">
        <v>106</v>
      </c>
      <c r="F491" s="64">
        <v>45626.689629629604</v>
      </c>
      <c r="G491" s="64">
        <v>45624.689733796302</v>
      </c>
      <c r="H491" s="59" t="s">
        <v>90</v>
      </c>
      <c r="I491" s="60">
        <v>12000</v>
      </c>
      <c r="J491" s="58" t="s">
        <v>107</v>
      </c>
      <c r="K491" s="61" t="s">
        <v>108</v>
      </c>
      <c r="L491" s="64">
        <v>45411.629722222198</v>
      </c>
      <c r="M491" s="64">
        <v>45429.702349537001</v>
      </c>
    </row>
    <row r="492" spans="1:16" s="38" customFormat="1" x14ac:dyDescent="0.25">
      <c r="A492" s="44">
        <v>491</v>
      </c>
      <c r="B492" s="45" t="s">
        <v>85</v>
      </c>
      <c r="C492" s="66" t="s">
        <v>267</v>
      </c>
      <c r="D492" s="66" t="s">
        <v>260</v>
      </c>
      <c r="E492" s="67" t="s">
        <v>146</v>
      </c>
      <c r="F492" s="68">
        <v>46225.833657407398</v>
      </c>
      <c r="G492" s="68">
        <v>46224.833888888897</v>
      </c>
      <c r="H492" s="59" t="s">
        <v>90</v>
      </c>
      <c r="I492" s="60">
        <v>12000</v>
      </c>
      <c r="J492" s="58" t="s">
        <v>107</v>
      </c>
      <c r="K492" s="75" t="s">
        <v>265</v>
      </c>
      <c r="L492" s="76">
        <v>46221.7364930556</v>
      </c>
      <c r="M492" s="76">
        <v>46221.816250000003</v>
      </c>
    </row>
    <row r="493" spans="1:16" s="38" customFormat="1" x14ac:dyDescent="0.25">
      <c r="A493" s="44">
        <v>492</v>
      </c>
      <c r="B493" s="45" t="s">
        <v>85</v>
      </c>
      <c r="C493" s="66" t="s">
        <v>267</v>
      </c>
      <c r="D493" s="66" t="s">
        <v>261</v>
      </c>
      <c r="E493" s="67" t="s">
        <v>146</v>
      </c>
      <c r="F493" s="68">
        <v>46225.833657407398</v>
      </c>
      <c r="G493" s="68">
        <v>46224.833888888897</v>
      </c>
      <c r="H493" s="59" t="s">
        <v>90</v>
      </c>
      <c r="I493" s="60">
        <v>12000</v>
      </c>
      <c r="J493" s="58" t="s">
        <v>107</v>
      </c>
      <c r="K493" s="75" t="s">
        <v>265</v>
      </c>
      <c r="L493" s="76">
        <v>46221.736481481501</v>
      </c>
      <c r="M493" s="76">
        <v>46221.746134259301</v>
      </c>
    </row>
    <row r="494" spans="1:16" s="38" customFormat="1" ht="14.4" customHeight="1" x14ac:dyDescent="0.25">
      <c r="A494" s="44">
        <v>493</v>
      </c>
      <c r="B494" s="45" t="s">
        <v>85</v>
      </c>
      <c r="C494" s="66" t="s">
        <v>267</v>
      </c>
      <c r="D494" s="66" t="s">
        <v>262</v>
      </c>
      <c r="E494" s="67" t="s">
        <v>108</v>
      </c>
      <c r="F494" s="68">
        <v>46227.893078703702</v>
      </c>
      <c r="G494" s="68">
        <v>46237.613425925898</v>
      </c>
      <c r="H494" s="59" t="s">
        <v>90</v>
      </c>
      <c r="I494" s="60">
        <v>12000</v>
      </c>
      <c r="J494" s="58" t="s">
        <v>107</v>
      </c>
      <c r="K494" s="61" t="s">
        <v>265</v>
      </c>
      <c r="L494" s="64">
        <v>45565.544143518498</v>
      </c>
      <c r="M494" s="64">
        <v>45565.6241898148</v>
      </c>
      <c r="N494" s="65" t="s">
        <v>266</v>
      </c>
      <c r="O494" s="64">
        <v>45961.496979166703</v>
      </c>
      <c r="P494" s="64">
        <v>45967.603125000001</v>
      </c>
    </row>
    <row r="495" spans="1:16" s="38" customFormat="1" ht="14.4" customHeight="1" x14ac:dyDescent="0.25">
      <c r="A495" s="44">
        <v>494</v>
      </c>
      <c r="B495" s="45" t="s">
        <v>85</v>
      </c>
      <c r="C495" s="46" t="s">
        <v>267</v>
      </c>
      <c r="D495" s="38" t="s">
        <v>263</v>
      </c>
      <c r="E495" s="65" t="s">
        <v>266</v>
      </c>
      <c r="F495" s="64">
        <v>45961.496979166703</v>
      </c>
      <c r="G495" s="64">
        <v>45967.603067129603</v>
      </c>
      <c r="H495" s="59" t="s">
        <v>90</v>
      </c>
      <c r="I495" s="60">
        <v>12000</v>
      </c>
      <c r="J495" s="58" t="s">
        <v>107</v>
      </c>
      <c r="K495" s="61" t="s">
        <v>265</v>
      </c>
      <c r="L495" s="64">
        <v>45565.544143518498</v>
      </c>
      <c r="M495" s="64">
        <v>45565.624259259297</v>
      </c>
    </row>
    <row r="496" spans="1:16" s="38" customFormat="1" ht="14.4" customHeight="1" x14ac:dyDescent="0.25">
      <c r="A496" s="44">
        <v>495</v>
      </c>
      <c r="B496" s="45" t="s">
        <v>85</v>
      </c>
      <c r="C496" s="72" t="s">
        <v>268</v>
      </c>
      <c r="D496" s="72" t="s">
        <v>87</v>
      </c>
      <c r="E496" s="131" t="s">
        <v>106</v>
      </c>
      <c r="F496" s="76">
        <v>46198.882256944402</v>
      </c>
      <c r="G496" s="76">
        <v>46197.882476851897</v>
      </c>
      <c r="H496" s="54" t="s">
        <v>88</v>
      </c>
      <c r="I496" s="55">
        <v>16000</v>
      </c>
      <c r="J496" s="58" t="s">
        <v>107</v>
      </c>
      <c r="K496" s="61" t="s">
        <v>265</v>
      </c>
      <c r="L496" s="64">
        <v>46184.760648148149</v>
      </c>
      <c r="M496" s="64">
        <v>46191.770833333336</v>
      </c>
      <c r="N496" s="67" t="s">
        <v>146</v>
      </c>
      <c r="O496" s="68">
        <v>46193.916782407403</v>
      </c>
      <c r="P496" s="68">
        <v>46192.917002314804</v>
      </c>
    </row>
    <row r="497" spans="1:22" s="38" customFormat="1" ht="14.4" customHeight="1" x14ac:dyDescent="0.25">
      <c r="A497" s="44">
        <v>496</v>
      </c>
      <c r="B497" s="45" t="s">
        <v>85</v>
      </c>
      <c r="C497" s="46" t="s">
        <v>268</v>
      </c>
      <c r="D497" s="46" t="s">
        <v>89</v>
      </c>
      <c r="E497" s="61"/>
      <c r="H497" s="54" t="s">
        <v>88</v>
      </c>
      <c r="I497" s="55">
        <v>16000</v>
      </c>
      <c r="K497" s="62"/>
      <c r="L497" s="63"/>
      <c r="M497" s="57"/>
    </row>
    <row r="498" spans="1:22" s="38" customFormat="1" ht="14.4" customHeight="1" x14ac:dyDescent="0.25">
      <c r="A498" s="44">
        <v>497</v>
      </c>
      <c r="B498" s="45" t="s">
        <v>85</v>
      </c>
      <c r="C498" s="46" t="s">
        <v>268</v>
      </c>
      <c r="D498" s="46" t="s">
        <v>91</v>
      </c>
      <c r="E498" s="61"/>
      <c r="H498" s="54" t="s">
        <v>88</v>
      </c>
      <c r="I498" s="55">
        <v>16000</v>
      </c>
      <c r="K498" s="62"/>
      <c r="L498" s="63"/>
      <c r="M498" s="57"/>
    </row>
    <row r="499" spans="1:22" s="38" customFormat="1" ht="14.4" customHeight="1" x14ac:dyDescent="0.25">
      <c r="A499" s="44">
        <v>498</v>
      </c>
      <c r="B499" s="45" t="s">
        <v>85</v>
      </c>
      <c r="C499" s="46" t="s">
        <v>268</v>
      </c>
      <c r="D499" s="46" t="s">
        <v>92</v>
      </c>
      <c r="E499" s="61"/>
      <c r="H499" s="54" t="s">
        <v>88</v>
      </c>
      <c r="I499" s="55">
        <v>16000</v>
      </c>
      <c r="K499" s="62"/>
      <c r="L499" s="63"/>
      <c r="M499" s="57"/>
    </row>
    <row r="500" spans="1:22" s="38" customFormat="1" ht="14.4" customHeight="1" x14ac:dyDescent="0.25">
      <c r="A500" s="44">
        <v>499</v>
      </c>
      <c r="B500" s="45" t="s">
        <v>85</v>
      </c>
      <c r="C500" s="46" t="s">
        <v>268</v>
      </c>
      <c r="D500" s="46" t="s">
        <v>93</v>
      </c>
      <c r="E500" s="61"/>
      <c r="H500" s="54" t="s">
        <v>88</v>
      </c>
      <c r="I500" s="55">
        <v>16000</v>
      </c>
      <c r="K500" s="62"/>
      <c r="L500" s="63"/>
      <c r="M500" s="57"/>
    </row>
    <row r="501" spans="1:22" s="38" customFormat="1" ht="14.4" customHeight="1" x14ac:dyDescent="0.25">
      <c r="A501" s="44">
        <v>500</v>
      </c>
      <c r="B501" s="45" t="s">
        <v>85</v>
      </c>
      <c r="C501" s="46" t="s">
        <v>268</v>
      </c>
      <c r="D501" s="46" t="s">
        <v>94</v>
      </c>
      <c r="E501" s="61"/>
      <c r="H501" s="54" t="s">
        <v>88</v>
      </c>
      <c r="I501" s="55">
        <v>16000</v>
      </c>
      <c r="K501" s="62"/>
      <c r="L501" s="63"/>
      <c r="M501" s="57"/>
    </row>
    <row r="502" spans="1:22" s="38" customFormat="1" ht="14.4" customHeight="1" x14ac:dyDescent="0.25">
      <c r="A502" s="44">
        <v>501</v>
      </c>
      <c r="B502" s="45" t="s">
        <v>85</v>
      </c>
      <c r="C502" s="46" t="s">
        <v>268</v>
      </c>
      <c r="D502" s="46" t="s">
        <v>95</v>
      </c>
      <c r="E502" s="61"/>
      <c r="H502" s="54" t="s">
        <v>88</v>
      </c>
      <c r="I502" s="55">
        <v>16000</v>
      </c>
      <c r="K502" s="62"/>
      <c r="L502" s="63"/>
      <c r="M502" s="57"/>
    </row>
    <row r="503" spans="1:22" s="38" customFormat="1" ht="14.4" customHeight="1" x14ac:dyDescent="0.25">
      <c r="A503" s="44">
        <v>502</v>
      </c>
      <c r="B503" s="45" t="s">
        <v>85</v>
      </c>
      <c r="C503" s="46" t="s">
        <v>268</v>
      </c>
      <c r="D503" s="46" t="s">
        <v>96</v>
      </c>
      <c r="E503" s="61" t="s">
        <v>265</v>
      </c>
      <c r="F503" s="64">
        <v>45856.592615740701</v>
      </c>
      <c r="G503" s="64">
        <v>45859.771087963003</v>
      </c>
      <c r="H503" s="54" t="s">
        <v>88</v>
      </c>
      <c r="I503" s="55">
        <v>16000</v>
      </c>
      <c r="J503" s="58" t="s">
        <v>107</v>
      </c>
      <c r="K503" s="62"/>
      <c r="L503" s="63"/>
      <c r="M503" s="57"/>
    </row>
    <row r="504" spans="1:22" s="38" customFormat="1" ht="14.4" customHeight="1" x14ac:dyDescent="0.25">
      <c r="A504" s="44">
        <v>503</v>
      </c>
      <c r="B504" s="45" t="s">
        <v>85</v>
      </c>
      <c r="C504" s="46" t="s">
        <v>268</v>
      </c>
      <c r="D504" s="46" t="s">
        <v>97</v>
      </c>
      <c r="E504" s="61" t="s">
        <v>265</v>
      </c>
      <c r="F504" s="64">
        <v>45429.568032407398</v>
      </c>
      <c r="G504" s="64">
        <v>45430.692118055602</v>
      </c>
      <c r="H504" s="54" t="s">
        <v>88</v>
      </c>
      <c r="I504" s="55">
        <v>16000</v>
      </c>
      <c r="J504" s="58" t="s">
        <v>107</v>
      </c>
      <c r="K504" s="62"/>
      <c r="L504" s="63"/>
      <c r="M504" s="57"/>
    </row>
    <row r="505" spans="1:22" s="38" customFormat="1" ht="14.4" customHeight="1" x14ac:dyDescent="0.25">
      <c r="A505" s="44">
        <v>504</v>
      </c>
      <c r="B505" s="45" t="s">
        <v>85</v>
      </c>
      <c r="C505" s="46" t="s">
        <v>268</v>
      </c>
      <c r="D505" s="46" t="s">
        <v>98</v>
      </c>
      <c r="E505" s="61" t="s">
        <v>265</v>
      </c>
      <c r="F505" s="64">
        <v>45429.573738425897</v>
      </c>
      <c r="G505" s="64">
        <v>45430.691157407397</v>
      </c>
      <c r="H505" s="54" t="s">
        <v>88</v>
      </c>
      <c r="I505" s="55">
        <v>16000</v>
      </c>
      <c r="J505" s="58" t="s">
        <v>107</v>
      </c>
      <c r="K505" s="62"/>
      <c r="L505" s="63"/>
      <c r="M505" s="57"/>
    </row>
    <row r="506" spans="1:22" s="38" customFormat="1" ht="14.4" customHeight="1" x14ac:dyDescent="0.25">
      <c r="A506" s="44">
        <v>505</v>
      </c>
      <c r="B506" s="45" t="s">
        <v>85</v>
      </c>
      <c r="C506" s="46" t="s">
        <v>268</v>
      </c>
      <c r="D506" s="46" t="s">
        <v>99</v>
      </c>
      <c r="E506" s="61" t="s">
        <v>265</v>
      </c>
      <c r="F506" s="64">
        <v>45429.573182870401</v>
      </c>
      <c r="G506" s="64">
        <v>45430.691215277802</v>
      </c>
      <c r="H506" s="54" t="s">
        <v>88</v>
      </c>
      <c r="I506" s="55">
        <v>16000</v>
      </c>
      <c r="J506" s="58" t="s">
        <v>107</v>
      </c>
      <c r="K506" s="62"/>
      <c r="L506" s="63"/>
      <c r="M506" s="57"/>
    </row>
    <row r="507" spans="1:22" s="38" customFormat="1" ht="14.4" customHeight="1" x14ac:dyDescent="0.25">
      <c r="A507" s="44">
        <v>506</v>
      </c>
      <c r="B507" s="45" t="s">
        <v>85</v>
      </c>
      <c r="C507" s="46" t="s">
        <v>268</v>
      </c>
      <c r="D507" s="46" t="s">
        <v>100</v>
      </c>
      <c r="E507" s="61" t="s">
        <v>265</v>
      </c>
      <c r="F507" s="64">
        <v>45429.570567129602</v>
      </c>
      <c r="G507" s="64">
        <v>45430.692199074103</v>
      </c>
      <c r="H507" s="54" t="s">
        <v>88</v>
      </c>
      <c r="I507" s="55">
        <v>16000</v>
      </c>
      <c r="J507" s="58" t="s">
        <v>107</v>
      </c>
      <c r="K507" s="62"/>
      <c r="L507" s="63"/>
      <c r="M507" s="57"/>
    </row>
    <row r="508" spans="1:22" s="38" customFormat="1" ht="14.4" customHeight="1" x14ac:dyDescent="0.25">
      <c r="A508" s="44">
        <v>507</v>
      </c>
      <c r="B508" s="45" t="s">
        <v>85</v>
      </c>
      <c r="C508" s="66" t="s">
        <v>268</v>
      </c>
      <c r="D508" s="66" t="s">
        <v>105</v>
      </c>
      <c r="E508" s="38" t="s">
        <v>106</v>
      </c>
      <c r="F508" s="64">
        <v>46063.882199074098</v>
      </c>
      <c r="G508" s="64">
        <v>46062.882337962998</v>
      </c>
      <c r="H508" s="54" t="s">
        <v>88</v>
      </c>
      <c r="I508" s="55">
        <v>16000</v>
      </c>
      <c r="J508" s="58" t="s">
        <v>107</v>
      </c>
      <c r="K508" s="61" t="s">
        <v>265</v>
      </c>
      <c r="L508" s="64">
        <v>46050.683159722197</v>
      </c>
      <c r="M508" s="64">
        <v>46052.477210648103</v>
      </c>
      <c r="N508" s="38" t="s">
        <v>146</v>
      </c>
      <c r="O508" s="64">
        <v>46054.916689814803</v>
      </c>
      <c r="P508" s="64">
        <v>46053.916828703703</v>
      </c>
      <c r="Q508" s="67" t="s">
        <v>106</v>
      </c>
      <c r="R508" s="68">
        <v>46058.718912037002</v>
      </c>
      <c r="S508" s="68">
        <v>46057.719050925902</v>
      </c>
      <c r="T508" s="38" t="s">
        <v>146</v>
      </c>
      <c r="U508" s="64">
        <v>46059.916724536997</v>
      </c>
      <c r="V508" s="64">
        <v>46058.9375925926</v>
      </c>
    </row>
    <row r="509" spans="1:22" s="38" customFormat="1" ht="14.4" customHeight="1" x14ac:dyDescent="0.25">
      <c r="A509" s="44">
        <v>508</v>
      </c>
      <c r="B509" s="45" t="s">
        <v>85</v>
      </c>
      <c r="C509" s="72" t="s">
        <v>268</v>
      </c>
      <c r="D509" s="72" t="s">
        <v>109</v>
      </c>
      <c r="E509" s="131" t="s">
        <v>106</v>
      </c>
      <c r="F509" s="76">
        <v>46198.882256944402</v>
      </c>
      <c r="G509" s="76">
        <v>46197.882476851897</v>
      </c>
      <c r="H509" s="54" t="s">
        <v>88</v>
      </c>
      <c r="I509" s="55">
        <v>16000</v>
      </c>
      <c r="J509" s="58" t="s">
        <v>107</v>
      </c>
      <c r="K509" s="61" t="s">
        <v>265</v>
      </c>
      <c r="L509" s="64">
        <v>46184.760648148149</v>
      </c>
      <c r="M509" s="64">
        <v>46191.770833333336</v>
      </c>
      <c r="N509" s="67" t="s">
        <v>146</v>
      </c>
      <c r="O509" s="68">
        <v>46193.916782407403</v>
      </c>
      <c r="P509" s="68">
        <v>46192.917002314804</v>
      </c>
    </row>
    <row r="510" spans="1:22" s="38" customFormat="1" ht="14.4" customHeight="1" x14ac:dyDescent="0.25">
      <c r="A510" s="44">
        <v>509</v>
      </c>
      <c r="B510" s="45" t="s">
        <v>85</v>
      </c>
      <c r="C510" s="46" t="s">
        <v>268</v>
      </c>
      <c r="D510" s="46" t="s">
        <v>110</v>
      </c>
      <c r="E510" s="61"/>
      <c r="H510" s="54" t="s">
        <v>88</v>
      </c>
      <c r="I510" s="55">
        <v>16000</v>
      </c>
      <c r="K510" s="62"/>
      <c r="L510" s="63"/>
      <c r="M510" s="57"/>
    </row>
    <row r="511" spans="1:22" s="38" customFormat="1" ht="14.4" customHeight="1" x14ac:dyDescent="0.25">
      <c r="A511" s="44">
        <v>510</v>
      </c>
      <c r="B511" s="45" t="s">
        <v>85</v>
      </c>
      <c r="C511" s="46" t="s">
        <v>268</v>
      </c>
      <c r="D511" s="46" t="s">
        <v>111</v>
      </c>
      <c r="E511" s="61"/>
      <c r="H511" s="54" t="s">
        <v>88</v>
      </c>
      <c r="I511" s="55">
        <v>16000</v>
      </c>
      <c r="K511" s="62"/>
      <c r="L511" s="63"/>
      <c r="M511" s="57"/>
    </row>
    <row r="512" spans="1:22" s="38" customFormat="1" ht="14.4" customHeight="1" x14ac:dyDescent="0.25">
      <c r="A512" s="44">
        <v>511</v>
      </c>
      <c r="B512" s="45" t="s">
        <v>85</v>
      </c>
      <c r="C512" s="46" t="s">
        <v>268</v>
      </c>
      <c r="D512" s="46" t="s">
        <v>112</v>
      </c>
      <c r="E512" s="61"/>
      <c r="H512" s="54" t="s">
        <v>88</v>
      </c>
      <c r="I512" s="55">
        <v>16000</v>
      </c>
      <c r="K512" s="62"/>
      <c r="L512" s="63"/>
      <c r="M512" s="57"/>
    </row>
    <row r="513" spans="1:16" s="38" customFormat="1" ht="14.4" customHeight="1" x14ac:dyDescent="0.25">
      <c r="A513" s="44">
        <v>512</v>
      </c>
      <c r="B513" s="45" t="s">
        <v>85</v>
      </c>
      <c r="C513" s="46" t="s">
        <v>268</v>
      </c>
      <c r="D513" s="46" t="s">
        <v>113</v>
      </c>
      <c r="E513" s="61"/>
      <c r="H513" s="54" t="s">
        <v>88</v>
      </c>
      <c r="I513" s="55">
        <v>16000</v>
      </c>
      <c r="K513" s="62"/>
      <c r="L513" s="63"/>
      <c r="M513" s="57"/>
    </row>
    <row r="514" spans="1:16" s="38" customFormat="1" ht="14.4" customHeight="1" x14ac:dyDescent="0.25">
      <c r="A514" s="44">
        <v>513</v>
      </c>
      <c r="B514" s="45" t="s">
        <v>85</v>
      </c>
      <c r="C514" s="46" t="s">
        <v>268</v>
      </c>
      <c r="D514" s="46" t="s">
        <v>114</v>
      </c>
      <c r="E514" s="61"/>
      <c r="H514" s="54" t="s">
        <v>88</v>
      </c>
      <c r="I514" s="55">
        <v>16000</v>
      </c>
      <c r="K514" s="62"/>
      <c r="L514" s="63"/>
      <c r="M514" s="57"/>
    </row>
    <row r="515" spans="1:16" s="38" customFormat="1" ht="14.4" customHeight="1" x14ac:dyDescent="0.25">
      <c r="A515" s="44">
        <v>514</v>
      </c>
      <c r="B515" s="45" t="s">
        <v>85</v>
      </c>
      <c r="C515" s="46" t="s">
        <v>268</v>
      </c>
      <c r="D515" s="46" t="s">
        <v>115</v>
      </c>
      <c r="E515" s="61" t="s">
        <v>265</v>
      </c>
      <c r="F515" s="64">
        <v>45856.592615740701</v>
      </c>
      <c r="G515" s="64">
        <v>45859.771087963003</v>
      </c>
      <c r="H515" s="54" t="s">
        <v>88</v>
      </c>
      <c r="I515" s="55">
        <v>16000</v>
      </c>
      <c r="J515" s="58" t="s">
        <v>107</v>
      </c>
      <c r="K515" s="62"/>
      <c r="L515" s="63"/>
      <c r="M515" s="57"/>
    </row>
    <row r="516" spans="1:16" s="38" customFormat="1" ht="14.4" customHeight="1" x14ac:dyDescent="0.25">
      <c r="A516" s="44">
        <v>515</v>
      </c>
      <c r="B516" s="45" t="s">
        <v>85</v>
      </c>
      <c r="C516" s="46" t="s">
        <v>268</v>
      </c>
      <c r="D516" s="46" t="s">
        <v>116</v>
      </c>
      <c r="E516" s="61"/>
      <c r="H516" s="54" t="s">
        <v>88</v>
      </c>
      <c r="I516" s="55">
        <v>16000</v>
      </c>
      <c r="K516" s="62"/>
      <c r="L516" s="63"/>
      <c r="M516" s="57"/>
    </row>
    <row r="517" spans="1:16" s="38" customFormat="1" ht="14.4" customHeight="1" x14ac:dyDescent="0.25">
      <c r="A517" s="44">
        <v>516</v>
      </c>
      <c r="B517" s="45" t="s">
        <v>85</v>
      </c>
      <c r="C517" s="46" t="s">
        <v>268</v>
      </c>
      <c r="D517" s="46" t="s">
        <v>117</v>
      </c>
      <c r="E517" s="61" t="s">
        <v>265</v>
      </c>
      <c r="F517" s="64">
        <v>45429.457870370403</v>
      </c>
      <c r="G517" s="64">
        <v>45430.691284722197</v>
      </c>
      <c r="H517" s="54" t="s">
        <v>88</v>
      </c>
      <c r="I517" s="55">
        <v>16000</v>
      </c>
      <c r="J517" s="58" t="s">
        <v>107</v>
      </c>
      <c r="K517" s="62"/>
      <c r="L517" s="63"/>
      <c r="M517" s="57"/>
    </row>
    <row r="518" spans="1:16" s="38" customFormat="1" ht="14.4" customHeight="1" x14ac:dyDescent="0.25">
      <c r="A518" s="44">
        <v>517</v>
      </c>
      <c r="B518" s="45" t="s">
        <v>85</v>
      </c>
      <c r="C518" s="46" t="s">
        <v>268</v>
      </c>
      <c r="D518" s="46" t="s">
        <v>118</v>
      </c>
      <c r="E518" s="61" t="s">
        <v>265</v>
      </c>
      <c r="F518" s="64">
        <v>45429.570775462998</v>
      </c>
      <c r="G518" s="64">
        <v>45430.6922569444</v>
      </c>
      <c r="H518" s="54" t="s">
        <v>88</v>
      </c>
      <c r="I518" s="55">
        <v>16000</v>
      </c>
      <c r="J518" s="58" t="s">
        <v>107</v>
      </c>
      <c r="K518" s="62"/>
      <c r="L518" s="63"/>
      <c r="M518" s="57"/>
    </row>
    <row r="519" spans="1:16" s="38" customFormat="1" ht="14.4" customHeight="1" x14ac:dyDescent="0.25">
      <c r="A519" s="44">
        <v>518</v>
      </c>
      <c r="B519" s="45" t="s">
        <v>85</v>
      </c>
      <c r="C519" s="46" t="s">
        <v>268</v>
      </c>
      <c r="D519" s="46" t="s">
        <v>119</v>
      </c>
      <c r="E519" s="61" t="s">
        <v>265</v>
      </c>
      <c r="F519" s="64">
        <v>45429.570960648103</v>
      </c>
      <c r="G519" s="64">
        <v>45430.691342592603</v>
      </c>
      <c r="H519" s="54" t="s">
        <v>88</v>
      </c>
      <c r="I519" s="55">
        <v>16000</v>
      </c>
      <c r="J519" s="58" t="s">
        <v>107</v>
      </c>
      <c r="K519" s="62"/>
      <c r="L519" s="63"/>
      <c r="M519" s="57"/>
    </row>
    <row r="520" spans="1:16" s="38" customFormat="1" ht="14.4" customHeight="1" x14ac:dyDescent="0.25">
      <c r="A520" s="44">
        <v>519</v>
      </c>
      <c r="B520" s="45" t="s">
        <v>85</v>
      </c>
      <c r="C520" s="46" t="s">
        <v>268</v>
      </c>
      <c r="D520" s="46" t="s">
        <v>120</v>
      </c>
      <c r="E520" s="61" t="s">
        <v>265</v>
      </c>
      <c r="F520" s="64">
        <v>45429.572210648097</v>
      </c>
      <c r="G520" s="64">
        <v>45430.692326388897</v>
      </c>
      <c r="H520" s="54" t="s">
        <v>88</v>
      </c>
      <c r="I520" s="55">
        <v>16000</v>
      </c>
      <c r="J520" s="58" t="s">
        <v>107</v>
      </c>
      <c r="K520" s="62"/>
      <c r="L520" s="63"/>
      <c r="M520" s="57"/>
    </row>
    <row r="521" spans="1:16" s="38" customFormat="1" ht="14.4" customHeight="1" x14ac:dyDescent="0.25">
      <c r="A521" s="44">
        <v>520</v>
      </c>
      <c r="B521" s="45" t="s">
        <v>85</v>
      </c>
      <c r="C521" s="46" t="s">
        <v>268</v>
      </c>
      <c r="D521" s="46" t="s">
        <v>121</v>
      </c>
      <c r="E521" s="61" t="s">
        <v>265</v>
      </c>
      <c r="F521" s="64">
        <v>45429.568252314799</v>
      </c>
      <c r="G521" s="64">
        <v>45430.691412036998</v>
      </c>
      <c r="H521" s="54" t="s">
        <v>88</v>
      </c>
      <c r="I521" s="55">
        <v>16000</v>
      </c>
      <c r="J521" s="58" t="s">
        <v>107</v>
      </c>
      <c r="K521" s="62"/>
      <c r="L521" s="63"/>
      <c r="M521" s="57"/>
    </row>
    <row r="522" spans="1:16" s="38" customFormat="1" ht="14.4" customHeight="1" x14ac:dyDescent="0.25">
      <c r="A522" s="44">
        <v>521</v>
      </c>
      <c r="B522" s="45" t="s">
        <v>85</v>
      </c>
      <c r="C522" s="72" t="s">
        <v>268</v>
      </c>
      <c r="D522" s="72" t="s">
        <v>126</v>
      </c>
      <c r="E522" s="131" t="s">
        <v>106</v>
      </c>
      <c r="F522" s="76">
        <v>46199.882291666698</v>
      </c>
      <c r="G522" s="76">
        <v>46198.8825</v>
      </c>
      <c r="H522" s="54" t="s">
        <v>88</v>
      </c>
      <c r="I522" s="55">
        <v>16000</v>
      </c>
      <c r="J522" s="58" t="s">
        <v>107</v>
      </c>
      <c r="K522" s="61" t="s">
        <v>265</v>
      </c>
      <c r="L522" s="64">
        <v>46184.760648148149</v>
      </c>
      <c r="M522" s="64">
        <v>46191.770833333336</v>
      </c>
      <c r="N522" s="67" t="s">
        <v>146</v>
      </c>
      <c r="O522" s="68">
        <v>46193.916782407403</v>
      </c>
      <c r="P522" s="68">
        <v>46192.917002314804</v>
      </c>
    </row>
    <row r="523" spans="1:16" s="38" customFormat="1" ht="14.4" customHeight="1" x14ac:dyDescent="0.25">
      <c r="A523" s="44">
        <v>522</v>
      </c>
      <c r="B523" s="45" t="s">
        <v>85</v>
      </c>
      <c r="C523" s="46" t="s">
        <v>268</v>
      </c>
      <c r="D523" s="38" t="s">
        <v>128</v>
      </c>
      <c r="E523" s="61"/>
      <c r="H523" s="54" t="s">
        <v>88</v>
      </c>
      <c r="I523" s="55">
        <v>16000</v>
      </c>
      <c r="K523" s="62"/>
      <c r="L523" s="63"/>
      <c r="M523" s="57"/>
    </row>
    <row r="524" spans="1:16" s="38" customFormat="1" ht="14.4" customHeight="1" x14ac:dyDescent="0.25">
      <c r="A524" s="44">
        <v>523</v>
      </c>
      <c r="B524" s="45" t="s">
        <v>85</v>
      </c>
      <c r="C524" s="46" t="s">
        <v>268</v>
      </c>
      <c r="D524" s="38" t="s">
        <v>129</v>
      </c>
      <c r="E524" s="61"/>
      <c r="H524" s="54" t="s">
        <v>88</v>
      </c>
      <c r="I524" s="55">
        <v>16000</v>
      </c>
      <c r="K524" s="62"/>
      <c r="L524" s="63"/>
      <c r="M524" s="57"/>
    </row>
    <row r="525" spans="1:16" s="38" customFormat="1" ht="14.4" customHeight="1" x14ac:dyDescent="0.25">
      <c r="A525" s="44">
        <v>524</v>
      </c>
      <c r="B525" s="45" t="s">
        <v>85</v>
      </c>
      <c r="C525" s="46" t="s">
        <v>268</v>
      </c>
      <c r="D525" s="38" t="s">
        <v>130</v>
      </c>
      <c r="E525" s="61"/>
      <c r="H525" s="54" t="s">
        <v>88</v>
      </c>
      <c r="I525" s="55">
        <v>16000</v>
      </c>
      <c r="K525" s="62"/>
      <c r="L525" s="63"/>
      <c r="M525" s="57"/>
    </row>
    <row r="526" spans="1:16" s="38" customFormat="1" ht="14.4" customHeight="1" x14ac:dyDescent="0.25">
      <c r="A526" s="44">
        <v>525</v>
      </c>
      <c r="B526" s="45" t="s">
        <v>85</v>
      </c>
      <c r="C526" s="46" t="s">
        <v>268</v>
      </c>
      <c r="D526" s="38" t="s">
        <v>131</v>
      </c>
      <c r="E526" s="61"/>
      <c r="H526" s="54" t="s">
        <v>88</v>
      </c>
      <c r="I526" s="55">
        <v>16000</v>
      </c>
      <c r="K526" s="62"/>
      <c r="L526" s="63"/>
      <c r="M526" s="57"/>
    </row>
    <row r="527" spans="1:16" s="38" customFormat="1" ht="14.4" customHeight="1" x14ac:dyDescent="0.25">
      <c r="A527" s="44">
        <v>526</v>
      </c>
      <c r="B527" s="45" t="s">
        <v>85</v>
      </c>
      <c r="C527" s="46" t="s">
        <v>268</v>
      </c>
      <c r="D527" s="38" t="s">
        <v>132</v>
      </c>
      <c r="E527" s="61"/>
      <c r="H527" s="54" t="s">
        <v>88</v>
      </c>
      <c r="I527" s="55">
        <v>16000</v>
      </c>
      <c r="K527" s="62"/>
      <c r="L527" s="63"/>
      <c r="M527" s="57"/>
    </row>
    <row r="528" spans="1:16" s="38" customFormat="1" ht="14.4" customHeight="1" x14ac:dyDescent="0.25">
      <c r="A528" s="44">
        <v>527</v>
      </c>
      <c r="B528" s="45" t="s">
        <v>85</v>
      </c>
      <c r="C528" s="46" t="s">
        <v>268</v>
      </c>
      <c r="D528" s="38" t="s">
        <v>133</v>
      </c>
      <c r="E528" s="61"/>
      <c r="H528" s="54" t="s">
        <v>88</v>
      </c>
      <c r="I528" s="55">
        <v>16000</v>
      </c>
      <c r="K528" s="62"/>
      <c r="L528" s="63"/>
      <c r="M528" s="57"/>
    </row>
    <row r="529" spans="1:16" s="38" customFormat="1" ht="14.4" customHeight="1" x14ac:dyDescent="0.25">
      <c r="A529" s="44">
        <v>528</v>
      </c>
      <c r="B529" s="45" t="s">
        <v>85</v>
      </c>
      <c r="C529" s="46" t="s">
        <v>268</v>
      </c>
      <c r="D529" s="38" t="s">
        <v>134</v>
      </c>
      <c r="E529" s="61" t="s">
        <v>265</v>
      </c>
      <c r="F529" s="64">
        <v>45856.592615740701</v>
      </c>
      <c r="G529" s="64">
        <v>45859.771087963003</v>
      </c>
      <c r="H529" s="54" t="s">
        <v>88</v>
      </c>
      <c r="I529" s="55">
        <v>16000</v>
      </c>
      <c r="J529" s="58" t="s">
        <v>107</v>
      </c>
      <c r="K529" s="62"/>
      <c r="L529" s="63"/>
      <c r="M529" s="57"/>
    </row>
    <row r="530" spans="1:16" s="38" customFormat="1" ht="14.4" customHeight="1" x14ac:dyDescent="0.25">
      <c r="A530" s="44">
        <v>529</v>
      </c>
      <c r="B530" s="45" t="s">
        <v>85</v>
      </c>
      <c r="C530" s="46" t="s">
        <v>268</v>
      </c>
      <c r="D530" s="38" t="s">
        <v>135</v>
      </c>
      <c r="E530" s="61"/>
      <c r="H530" s="54" t="s">
        <v>88</v>
      </c>
      <c r="I530" s="55">
        <v>16000</v>
      </c>
      <c r="K530" s="62"/>
      <c r="L530" s="63"/>
      <c r="M530" s="57"/>
    </row>
    <row r="531" spans="1:16" s="38" customFormat="1" ht="14.4" customHeight="1" x14ac:dyDescent="0.25">
      <c r="A531" s="44">
        <v>530</v>
      </c>
      <c r="B531" s="45" t="s">
        <v>85</v>
      </c>
      <c r="C531" s="46" t="s">
        <v>268</v>
      </c>
      <c r="D531" s="38" t="s">
        <v>136</v>
      </c>
      <c r="E531" s="61"/>
      <c r="H531" s="54" t="s">
        <v>88</v>
      </c>
      <c r="I531" s="55">
        <v>16000</v>
      </c>
      <c r="K531" s="62"/>
      <c r="L531" s="63"/>
      <c r="M531" s="57"/>
    </row>
    <row r="532" spans="1:16" s="38" customFormat="1" ht="14.4" customHeight="1" x14ac:dyDescent="0.25">
      <c r="A532" s="44">
        <v>531</v>
      </c>
      <c r="B532" s="45" t="s">
        <v>85</v>
      </c>
      <c r="C532" s="46" t="s">
        <v>268</v>
      </c>
      <c r="D532" s="38" t="s">
        <v>137</v>
      </c>
      <c r="E532" s="61" t="s">
        <v>265</v>
      </c>
      <c r="F532" s="64">
        <v>45793.684976851902</v>
      </c>
      <c r="G532" s="64">
        <v>45794.750254629602</v>
      </c>
      <c r="H532" s="54" t="s">
        <v>88</v>
      </c>
      <c r="I532" s="55">
        <v>16000</v>
      </c>
      <c r="J532" s="58" t="s">
        <v>107</v>
      </c>
      <c r="K532" s="62"/>
      <c r="L532" s="63"/>
      <c r="M532" s="57"/>
    </row>
    <row r="533" spans="1:16" s="38" customFormat="1" ht="14.4" customHeight="1" x14ac:dyDescent="0.25">
      <c r="A533" s="44">
        <v>532</v>
      </c>
      <c r="B533" s="45" t="s">
        <v>85</v>
      </c>
      <c r="C533" s="46" t="s">
        <v>268</v>
      </c>
      <c r="D533" s="38" t="s">
        <v>138</v>
      </c>
      <c r="E533" s="61" t="s">
        <v>265</v>
      </c>
      <c r="F533" s="64">
        <v>45793.684976851902</v>
      </c>
      <c r="G533" s="64">
        <v>45794.750254629602</v>
      </c>
      <c r="H533" s="54" t="s">
        <v>88</v>
      </c>
      <c r="I533" s="55">
        <v>16000</v>
      </c>
      <c r="J533" s="58" t="s">
        <v>107</v>
      </c>
      <c r="K533" s="62"/>
      <c r="L533" s="63"/>
      <c r="M533" s="57"/>
    </row>
    <row r="534" spans="1:16" s="38" customFormat="1" ht="14.4" customHeight="1" x14ac:dyDescent="0.25">
      <c r="A534" s="44">
        <v>533</v>
      </c>
      <c r="B534" s="45" t="s">
        <v>85</v>
      </c>
      <c r="C534" s="69" t="s">
        <v>268</v>
      </c>
      <c r="D534" s="69" t="s">
        <v>143</v>
      </c>
      <c r="E534" s="38" t="s">
        <v>106</v>
      </c>
      <c r="F534" s="64">
        <v>46067.882175925901</v>
      </c>
      <c r="G534" s="64">
        <v>46066.882326388899</v>
      </c>
      <c r="H534" s="54" t="s">
        <v>88</v>
      </c>
      <c r="I534" s="55">
        <v>16000</v>
      </c>
      <c r="J534" s="58" t="s">
        <v>107</v>
      </c>
      <c r="K534" s="70" t="s">
        <v>265</v>
      </c>
      <c r="L534" s="71">
        <v>46058.718912037002</v>
      </c>
      <c r="M534" s="71">
        <v>46059.729131944398</v>
      </c>
      <c r="N534" s="38" t="s">
        <v>146</v>
      </c>
      <c r="O534" s="64">
        <v>46061.916770833297</v>
      </c>
      <c r="P534" s="64">
        <v>46060.916909722197</v>
      </c>
    </row>
    <row r="535" spans="1:16" s="38" customFormat="1" ht="14.4" customHeight="1" x14ac:dyDescent="0.25">
      <c r="A535" s="44">
        <v>534</v>
      </c>
      <c r="B535" s="45" t="s">
        <v>85</v>
      </c>
      <c r="C535" s="72" t="s">
        <v>268</v>
      </c>
      <c r="D535" s="72" t="s">
        <v>144</v>
      </c>
      <c r="E535" s="131" t="s">
        <v>106</v>
      </c>
      <c r="F535" s="76">
        <v>46198.882256944402</v>
      </c>
      <c r="G535" s="76">
        <v>46197.882476851897</v>
      </c>
      <c r="H535" s="54" t="s">
        <v>88</v>
      </c>
      <c r="I535" s="55">
        <v>16000</v>
      </c>
      <c r="J535" s="58" t="s">
        <v>107</v>
      </c>
      <c r="K535" s="61" t="s">
        <v>265</v>
      </c>
      <c r="L535" s="64">
        <v>46184.760648148149</v>
      </c>
      <c r="M535" s="64">
        <v>46191.770833333336</v>
      </c>
      <c r="N535" s="67" t="s">
        <v>146</v>
      </c>
      <c r="O535" s="68">
        <v>46193.916782407403</v>
      </c>
      <c r="P535" s="68">
        <v>46192.917002314804</v>
      </c>
    </row>
    <row r="536" spans="1:16" s="38" customFormat="1" ht="14.4" customHeight="1" x14ac:dyDescent="0.25">
      <c r="A536" s="44">
        <v>535</v>
      </c>
      <c r="B536" s="45" t="s">
        <v>85</v>
      </c>
      <c r="C536" s="46" t="s">
        <v>268</v>
      </c>
      <c r="D536" s="38" t="s">
        <v>145</v>
      </c>
      <c r="E536" s="61"/>
      <c r="H536" s="54" t="s">
        <v>88</v>
      </c>
      <c r="I536" s="55">
        <v>16000</v>
      </c>
      <c r="K536" s="62"/>
      <c r="L536" s="63"/>
      <c r="M536" s="57"/>
    </row>
    <row r="537" spans="1:16" s="38" customFormat="1" ht="14.4" customHeight="1" x14ac:dyDescent="0.25">
      <c r="A537" s="44">
        <v>536</v>
      </c>
      <c r="B537" s="45" t="s">
        <v>85</v>
      </c>
      <c r="C537" s="46" t="s">
        <v>268</v>
      </c>
      <c r="D537" s="38" t="s">
        <v>147</v>
      </c>
      <c r="E537" s="61"/>
      <c r="H537" s="54" t="s">
        <v>88</v>
      </c>
      <c r="I537" s="55">
        <v>16000</v>
      </c>
      <c r="K537" s="62"/>
      <c r="L537" s="63"/>
      <c r="M537" s="57"/>
    </row>
    <row r="538" spans="1:16" s="38" customFormat="1" ht="14.4" customHeight="1" x14ac:dyDescent="0.25">
      <c r="A538" s="44">
        <v>537</v>
      </c>
      <c r="B538" s="45" t="s">
        <v>85</v>
      </c>
      <c r="C538" s="46" t="s">
        <v>268</v>
      </c>
      <c r="D538" s="38" t="s">
        <v>148</v>
      </c>
      <c r="E538" s="61"/>
      <c r="H538" s="54" t="s">
        <v>88</v>
      </c>
      <c r="I538" s="55">
        <v>16000</v>
      </c>
      <c r="K538" s="62"/>
      <c r="L538" s="63"/>
      <c r="M538" s="57"/>
    </row>
    <row r="539" spans="1:16" s="38" customFormat="1" ht="14.4" customHeight="1" x14ac:dyDescent="0.25">
      <c r="A539" s="44">
        <v>538</v>
      </c>
      <c r="B539" s="45" t="s">
        <v>85</v>
      </c>
      <c r="C539" s="46" t="s">
        <v>268</v>
      </c>
      <c r="D539" s="38" t="s">
        <v>149</v>
      </c>
      <c r="E539" s="61"/>
      <c r="H539" s="54" t="s">
        <v>88</v>
      </c>
      <c r="I539" s="55">
        <v>16000</v>
      </c>
      <c r="K539" s="62"/>
      <c r="L539" s="63"/>
      <c r="M539" s="57"/>
    </row>
    <row r="540" spans="1:16" s="38" customFormat="1" ht="14.4" customHeight="1" x14ac:dyDescent="0.25">
      <c r="A540" s="44">
        <v>539</v>
      </c>
      <c r="B540" s="45" t="s">
        <v>85</v>
      </c>
      <c r="C540" s="46" t="s">
        <v>268</v>
      </c>
      <c r="D540" s="38" t="s">
        <v>150</v>
      </c>
      <c r="E540" s="61"/>
      <c r="H540" s="54" t="s">
        <v>88</v>
      </c>
      <c r="I540" s="55">
        <v>16000</v>
      </c>
      <c r="K540" s="62"/>
      <c r="L540" s="63"/>
      <c r="M540" s="57"/>
    </row>
    <row r="541" spans="1:16" s="38" customFormat="1" ht="14.4" customHeight="1" x14ac:dyDescent="0.25">
      <c r="A541" s="44">
        <v>540</v>
      </c>
      <c r="B541" s="45" t="s">
        <v>85</v>
      </c>
      <c r="C541" s="46" t="s">
        <v>268</v>
      </c>
      <c r="D541" s="38" t="s">
        <v>151</v>
      </c>
      <c r="E541" s="61" t="s">
        <v>265</v>
      </c>
      <c r="F541" s="64">
        <v>45856.592615740701</v>
      </c>
      <c r="G541" s="64">
        <v>45859.771087963003</v>
      </c>
      <c r="H541" s="54" t="s">
        <v>88</v>
      </c>
      <c r="I541" s="55">
        <v>16000</v>
      </c>
      <c r="J541" s="58" t="s">
        <v>107</v>
      </c>
      <c r="K541" s="62"/>
      <c r="L541" s="63"/>
      <c r="M541" s="57"/>
    </row>
    <row r="542" spans="1:16" s="38" customFormat="1" ht="14.4" customHeight="1" x14ac:dyDescent="0.25">
      <c r="A542" s="44">
        <v>541</v>
      </c>
      <c r="B542" s="45" t="s">
        <v>85</v>
      </c>
      <c r="C542" s="46" t="s">
        <v>268</v>
      </c>
      <c r="D542" s="38" t="s">
        <v>152</v>
      </c>
      <c r="E542" s="61"/>
      <c r="H542" s="54" t="s">
        <v>88</v>
      </c>
      <c r="I542" s="55">
        <v>16000</v>
      </c>
      <c r="K542" s="62"/>
      <c r="L542" s="63"/>
      <c r="M542" s="57"/>
    </row>
    <row r="543" spans="1:16" s="38" customFormat="1" ht="14.4" customHeight="1" x14ac:dyDescent="0.25">
      <c r="A543" s="44">
        <v>542</v>
      </c>
      <c r="B543" s="45" t="s">
        <v>85</v>
      </c>
      <c r="C543" s="46" t="s">
        <v>268</v>
      </c>
      <c r="D543" s="38" t="s">
        <v>153</v>
      </c>
      <c r="E543" s="38" t="s">
        <v>106</v>
      </c>
      <c r="F543" s="64">
        <v>45857.882187499999</v>
      </c>
      <c r="G543" s="64">
        <v>45856.882256944402</v>
      </c>
      <c r="H543" s="54" t="s">
        <v>88</v>
      </c>
      <c r="I543" s="55">
        <v>16000</v>
      </c>
      <c r="J543" s="58" t="s">
        <v>107</v>
      </c>
      <c r="K543" s="61" t="s">
        <v>265</v>
      </c>
      <c r="L543" s="64">
        <v>45833.684976851902</v>
      </c>
      <c r="M543" s="64">
        <v>45833.771087963003</v>
      </c>
      <c r="N543" s="38" t="s">
        <v>146</v>
      </c>
      <c r="O543" s="64">
        <v>45835.916793981502</v>
      </c>
      <c r="P543" s="64">
        <v>45834.916875000003</v>
      </c>
    </row>
    <row r="544" spans="1:16" s="38" customFormat="1" ht="14.4" customHeight="1" x14ac:dyDescent="0.25">
      <c r="A544" s="44">
        <v>543</v>
      </c>
      <c r="B544" s="45" t="s">
        <v>85</v>
      </c>
      <c r="C544" s="46" t="s">
        <v>268</v>
      </c>
      <c r="D544" s="38" t="s">
        <v>154</v>
      </c>
      <c r="E544" s="61"/>
      <c r="H544" s="54" t="s">
        <v>88</v>
      </c>
      <c r="I544" s="55">
        <v>16000</v>
      </c>
      <c r="K544" s="62"/>
      <c r="L544" s="63"/>
      <c r="M544" s="57"/>
    </row>
    <row r="545" spans="1:22" s="38" customFormat="1" ht="14.4" customHeight="1" x14ac:dyDescent="0.25">
      <c r="A545" s="44">
        <v>544</v>
      </c>
      <c r="B545" s="45" t="s">
        <v>85</v>
      </c>
      <c r="C545" s="46" t="s">
        <v>268</v>
      </c>
      <c r="D545" s="38" t="s">
        <v>155</v>
      </c>
      <c r="E545" s="61"/>
      <c r="H545" s="54" t="s">
        <v>88</v>
      </c>
      <c r="I545" s="55">
        <v>16000</v>
      </c>
      <c r="K545" s="62"/>
      <c r="L545" s="63"/>
      <c r="M545" s="57"/>
    </row>
    <row r="546" spans="1:22" s="38" customFormat="1" ht="14.4" customHeight="1" x14ac:dyDescent="0.25">
      <c r="A546" s="44">
        <v>545</v>
      </c>
      <c r="B546" s="45" t="s">
        <v>85</v>
      </c>
      <c r="C546" s="46" t="s">
        <v>268</v>
      </c>
      <c r="D546" s="38" t="s">
        <v>156</v>
      </c>
      <c r="E546" s="61" t="s">
        <v>265</v>
      </c>
      <c r="F546" s="64">
        <v>45793.684976851902</v>
      </c>
      <c r="G546" s="64">
        <v>45794.750254629602</v>
      </c>
      <c r="H546" s="54" t="s">
        <v>88</v>
      </c>
      <c r="I546" s="55">
        <v>16000</v>
      </c>
      <c r="J546" s="58" t="s">
        <v>107</v>
      </c>
      <c r="K546" s="62"/>
      <c r="L546" s="63"/>
      <c r="M546" s="57"/>
    </row>
    <row r="547" spans="1:22" s="38" customFormat="1" ht="14.4" customHeight="1" x14ac:dyDescent="0.25">
      <c r="A547" s="44">
        <v>546</v>
      </c>
      <c r="B547" s="45" t="s">
        <v>85</v>
      </c>
      <c r="C547" s="46" t="s">
        <v>268</v>
      </c>
      <c r="D547" s="38" t="s">
        <v>157</v>
      </c>
      <c r="E547" s="61" t="s">
        <v>265</v>
      </c>
      <c r="F547" s="64">
        <v>45793.684976851902</v>
      </c>
      <c r="G547" s="64">
        <v>45794.750254629602</v>
      </c>
      <c r="H547" s="54" t="s">
        <v>88</v>
      </c>
      <c r="I547" s="55">
        <v>16000</v>
      </c>
      <c r="J547" s="58" t="s">
        <v>107</v>
      </c>
      <c r="K547" s="62"/>
      <c r="L547" s="63"/>
      <c r="M547" s="57"/>
    </row>
    <row r="548" spans="1:22" s="38" customFormat="1" ht="14.4" customHeight="1" x14ac:dyDescent="0.25">
      <c r="A548" s="44">
        <v>547</v>
      </c>
      <c r="B548" s="45" t="s">
        <v>85</v>
      </c>
      <c r="C548" s="66" t="s">
        <v>268</v>
      </c>
      <c r="D548" s="66" t="s">
        <v>162</v>
      </c>
      <c r="E548" s="67" t="s">
        <v>106</v>
      </c>
      <c r="F548" s="68">
        <v>46155.452800925901</v>
      </c>
      <c r="G548" s="68">
        <v>46153.453020833302</v>
      </c>
      <c r="H548" s="54" t="s">
        <v>88</v>
      </c>
      <c r="I548" s="55">
        <v>16000</v>
      </c>
      <c r="J548" s="58" t="s">
        <v>107</v>
      </c>
      <c r="K548" s="75" t="s">
        <v>265</v>
      </c>
      <c r="L548" s="76">
        <v>46093.675509259301</v>
      </c>
      <c r="M548" s="76">
        <v>46094.640844907401</v>
      </c>
      <c r="T548" s="73" t="s">
        <v>146</v>
      </c>
      <c r="U548" s="74">
        <v>46100.833622685197</v>
      </c>
      <c r="V548" s="74">
        <v>46099.833854166704</v>
      </c>
    </row>
    <row r="549" spans="1:22" s="38" customFormat="1" ht="14.4" customHeight="1" x14ac:dyDescent="0.25">
      <c r="A549" s="44">
        <v>548</v>
      </c>
      <c r="B549" s="45" t="s">
        <v>85</v>
      </c>
      <c r="C549" s="66" t="s">
        <v>268</v>
      </c>
      <c r="D549" s="66" t="s">
        <v>163</v>
      </c>
      <c r="E549" s="67" t="s">
        <v>106</v>
      </c>
      <c r="F549" s="68">
        <v>46155.456307870401</v>
      </c>
      <c r="G549" s="68">
        <v>46153.456516203703</v>
      </c>
      <c r="H549" s="59" t="s">
        <v>90</v>
      </c>
      <c r="I549" s="60">
        <v>12000</v>
      </c>
      <c r="J549" s="58" t="s">
        <v>107</v>
      </c>
      <c r="K549" s="61" t="s">
        <v>108</v>
      </c>
      <c r="L549" s="64">
        <v>45561.5636689815</v>
      </c>
      <c r="M549" s="64">
        <v>45608.730624999997</v>
      </c>
      <c r="N549" s="38" t="s">
        <v>127</v>
      </c>
      <c r="O549" s="64">
        <v>45646.618148148104</v>
      </c>
      <c r="P549" s="64">
        <v>45652.696296296301</v>
      </c>
      <c r="Q549" s="77" t="s">
        <v>265</v>
      </c>
      <c r="R549" s="78">
        <v>46093.675486111097</v>
      </c>
      <c r="S549" s="78">
        <v>46094.642708333296</v>
      </c>
      <c r="T549" s="75" t="s">
        <v>146</v>
      </c>
      <c r="U549" s="76">
        <v>46104.833518518499</v>
      </c>
      <c r="V549" s="76">
        <v>46103.833726851903</v>
      </c>
    </row>
    <row r="550" spans="1:22" s="38" customFormat="1" ht="14.4" customHeight="1" x14ac:dyDescent="0.25">
      <c r="A550" s="44">
        <v>549</v>
      </c>
      <c r="B550" s="45" t="s">
        <v>85</v>
      </c>
      <c r="C550" s="66" t="s">
        <v>268</v>
      </c>
      <c r="D550" s="66" t="s">
        <v>164</v>
      </c>
      <c r="E550" s="67" t="s">
        <v>106</v>
      </c>
      <c r="F550" s="68">
        <v>46155.456203703703</v>
      </c>
      <c r="G550" s="68">
        <v>46153.456423611096</v>
      </c>
      <c r="H550" s="59" t="s">
        <v>90</v>
      </c>
      <c r="I550" s="60">
        <v>12000</v>
      </c>
      <c r="J550" s="58" t="s">
        <v>107</v>
      </c>
      <c r="K550" s="61" t="s">
        <v>108</v>
      </c>
      <c r="L550" s="64">
        <v>45561.5636689815</v>
      </c>
      <c r="M550" s="64">
        <v>45608.730624999997</v>
      </c>
      <c r="N550" s="38" t="s">
        <v>127</v>
      </c>
      <c r="O550" s="64">
        <v>45646.618148148104</v>
      </c>
      <c r="P550" s="64">
        <v>45652.696296296301</v>
      </c>
      <c r="T550" s="79" t="s">
        <v>108</v>
      </c>
      <c r="U550" s="64">
        <v>46101.725949074098</v>
      </c>
      <c r="V550" s="64">
        <v>46104.771307870396</v>
      </c>
    </row>
    <row r="551" spans="1:22" s="38" customFormat="1" ht="14.4" customHeight="1" x14ac:dyDescent="0.25">
      <c r="A551" s="44">
        <v>550</v>
      </c>
      <c r="B551" s="45" t="s">
        <v>85</v>
      </c>
      <c r="C551" s="66" t="s">
        <v>268</v>
      </c>
      <c r="D551" s="66" t="s">
        <v>165</v>
      </c>
      <c r="E551" s="67" t="s">
        <v>106</v>
      </c>
      <c r="F551" s="68">
        <v>46155.459710648101</v>
      </c>
      <c r="G551" s="68">
        <v>46153.459930555597</v>
      </c>
      <c r="H551" s="59" t="s">
        <v>90</v>
      </c>
      <c r="I551" s="60">
        <v>12000</v>
      </c>
      <c r="J551" s="58" t="s">
        <v>107</v>
      </c>
      <c r="K551" s="61" t="s">
        <v>108</v>
      </c>
      <c r="L551" s="64">
        <v>45561.5636689815</v>
      </c>
      <c r="M551" s="64">
        <v>45608.730624999997</v>
      </c>
      <c r="N551" s="38" t="s">
        <v>127</v>
      </c>
      <c r="O551" s="64">
        <v>45646.618148148104</v>
      </c>
      <c r="P551" s="64">
        <v>45652.696296296301</v>
      </c>
      <c r="Q551" s="75" t="s">
        <v>265</v>
      </c>
      <c r="R551" s="76">
        <v>46093.675509259301</v>
      </c>
      <c r="S551" s="76">
        <v>46094.645578703698</v>
      </c>
      <c r="T551" s="73" t="s">
        <v>146</v>
      </c>
      <c r="U551" s="74">
        <v>46100.833622685197</v>
      </c>
      <c r="V551" s="74">
        <v>46099.833854166704</v>
      </c>
    </row>
    <row r="552" spans="1:22" s="38" customFormat="1" ht="14.4" customHeight="1" x14ac:dyDescent="0.25">
      <c r="A552" s="44">
        <v>551</v>
      </c>
      <c r="B552" s="45" t="s">
        <v>85</v>
      </c>
      <c r="C552" s="66" t="s">
        <v>268</v>
      </c>
      <c r="D552" s="66" t="s">
        <v>166</v>
      </c>
      <c r="E552" s="67" t="s">
        <v>106</v>
      </c>
      <c r="F552" s="68">
        <v>46153.437928240703</v>
      </c>
      <c r="G552" s="68">
        <v>46151.438148148103</v>
      </c>
      <c r="H552" s="59" t="s">
        <v>90</v>
      </c>
      <c r="I552" s="60">
        <v>12000</v>
      </c>
      <c r="J552" s="58" t="s">
        <v>107</v>
      </c>
      <c r="K552" s="61" t="s">
        <v>108</v>
      </c>
      <c r="L552" s="64">
        <v>45561.5636689815</v>
      </c>
      <c r="M552" s="64">
        <v>45608.730624999997</v>
      </c>
      <c r="N552" s="38" t="s">
        <v>127</v>
      </c>
      <c r="O552" s="64">
        <v>45646.618148148104</v>
      </c>
      <c r="P552" s="64">
        <v>45652.696296296301</v>
      </c>
      <c r="Q552" s="75" t="s">
        <v>265</v>
      </c>
      <c r="R552" s="76">
        <v>46093.675486111097</v>
      </c>
      <c r="S552" s="76">
        <v>46094.646423611099</v>
      </c>
      <c r="T552" s="73" t="s">
        <v>146</v>
      </c>
      <c r="U552" s="74">
        <v>46100.833622685197</v>
      </c>
      <c r="V552" s="74">
        <v>46099.833854166704</v>
      </c>
    </row>
    <row r="553" spans="1:22" s="38" customFormat="1" ht="14.4" customHeight="1" x14ac:dyDescent="0.25">
      <c r="A553" s="44">
        <v>552</v>
      </c>
      <c r="B553" s="45" t="s">
        <v>85</v>
      </c>
      <c r="C553" s="66" t="s">
        <v>268</v>
      </c>
      <c r="D553" s="66" t="s">
        <v>167</v>
      </c>
      <c r="E553" s="67" t="s">
        <v>106</v>
      </c>
      <c r="F553" s="68">
        <v>46153.441539351901</v>
      </c>
      <c r="G553" s="68">
        <v>46151.441759259302</v>
      </c>
      <c r="H553" s="59" t="s">
        <v>90</v>
      </c>
      <c r="I553" s="60">
        <v>12000</v>
      </c>
      <c r="J553" s="58" t="s">
        <v>107</v>
      </c>
      <c r="K553" s="61" t="s">
        <v>108</v>
      </c>
      <c r="L553" s="64">
        <v>45561.5636689815</v>
      </c>
      <c r="M553" s="64">
        <v>45608.730624999997</v>
      </c>
      <c r="N553" s="38" t="s">
        <v>127</v>
      </c>
      <c r="O553" s="64">
        <v>45646.618148148104</v>
      </c>
      <c r="P553" s="64">
        <v>45652.696296296301</v>
      </c>
      <c r="T553" s="79" t="s">
        <v>108</v>
      </c>
      <c r="U553" s="64">
        <v>46101.725949074098</v>
      </c>
      <c r="V553" s="64">
        <v>46105.771307870396</v>
      </c>
    </row>
    <row r="554" spans="1:22" s="38" customFormat="1" ht="14.4" customHeight="1" x14ac:dyDescent="0.25">
      <c r="A554" s="44">
        <v>553</v>
      </c>
      <c r="B554" s="45" t="s">
        <v>85</v>
      </c>
      <c r="C554" s="66" t="s">
        <v>268</v>
      </c>
      <c r="D554" s="66" t="s">
        <v>168</v>
      </c>
      <c r="E554" s="67" t="s">
        <v>106</v>
      </c>
      <c r="F554" s="68">
        <v>46153.441539351901</v>
      </c>
      <c r="G554" s="68">
        <v>46151.441759259302</v>
      </c>
      <c r="H554" s="59" t="s">
        <v>90</v>
      </c>
      <c r="I554" s="60">
        <v>12000</v>
      </c>
      <c r="J554" s="58" t="s">
        <v>107</v>
      </c>
      <c r="K554" s="61" t="s">
        <v>108</v>
      </c>
      <c r="L554" s="64">
        <v>45561.5636689815</v>
      </c>
      <c r="M554" s="64">
        <v>45608.730624999997</v>
      </c>
      <c r="N554" s="38" t="s">
        <v>127</v>
      </c>
      <c r="O554" s="64">
        <v>45646.618148148104</v>
      </c>
      <c r="P554" s="64">
        <v>45652.696296296301</v>
      </c>
      <c r="Q554" s="75" t="s">
        <v>265</v>
      </c>
      <c r="R554" s="76">
        <v>46093.675497685203</v>
      </c>
      <c r="S554" s="76">
        <v>46094.662280092598</v>
      </c>
      <c r="T554" s="73" t="s">
        <v>146</v>
      </c>
      <c r="U554" s="74">
        <v>46100.833622685197</v>
      </c>
      <c r="V554" s="74">
        <v>46099.833854166704</v>
      </c>
    </row>
    <row r="555" spans="1:22" s="38" customFormat="1" ht="14.4" customHeight="1" x14ac:dyDescent="0.25">
      <c r="A555" s="44">
        <v>554</v>
      </c>
      <c r="B555" s="45" t="s">
        <v>85</v>
      </c>
      <c r="C555" s="66" t="s">
        <v>268</v>
      </c>
      <c r="D555" s="66" t="s">
        <v>169</v>
      </c>
      <c r="E555" s="67" t="s">
        <v>106</v>
      </c>
      <c r="F555" s="68">
        <v>46153.445034722201</v>
      </c>
      <c r="G555" s="68">
        <v>46151.445243055598</v>
      </c>
      <c r="H555" s="59" t="s">
        <v>90</v>
      </c>
      <c r="I555" s="60">
        <v>12000</v>
      </c>
      <c r="J555" s="58" t="s">
        <v>107</v>
      </c>
      <c r="K555" s="61" t="s">
        <v>108</v>
      </c>
      <c r="L555" s="64">
        <v>45561.5636689815</v>
      </c>
      <c r="M555" s="64">
        <v>45608.730624999997</v>
      </c>
      <c r="N555" s="38" t="s">
        <v>127</v>
      </c>
      <c r="O555" s="64">
        <v>45646.618148148104</v>
      </c>
      <c r="P555" s="64">
        <v>45652.696296296301</v>
      </c>
      <c r="Q555" s="75" t="s">
        <v>265</v>
      </c>
      <c r="R555" s="76">
        <v>46093.675486111097</v>
      </c>
      <c r="S555" s="76">
        <v>46094.6623958333</v>
      </c>
      <c r="T555" s="73" t="s">
        <v>146</v>
      </c>
      <c r="U555" s="74">
        <v>46100.833622685197</v>
      </c>
      <c r="V555" s="74">
        <v>46099.833854166704</v>
      </c>
    </row>
    <row r="556" spans="1:22" s="38" customFormat="1" ht="14.4" customHeight="1" x14ac:dyDescent="0.25">
      <c r="A556" s="44">
        <v>555</v>
      </c>
      <c r="B556" s="45" t="s">
        <v>85</v>
      </c>
      <c r="C556" s="66" t="s">
        <v>268</v>
      </c>
      <c r="D556" s="66" t="s">
        <v>170</v>
      </c>
      <c r="E556" s="67" t="s">
        <v>106</v>
      </c>
      <c r="F556" s="68">
        <v>46153.448043981502</v>
      </c>
      <c r="G556" s="68">
        <v>46151.448263888902</v>
      </c>
      <c r="H556" s="59" t="s">
        <v>90</v>
      </c>
      <c r="I556" s="60">
        <v>12000</v>
      </c>
      <c r="J556" s="58" t="s">
        <v>107</v>
      </c>
      <c r="K556" s="61" t="s">
        <v>108</v>
      </c>
      <c r="L556" s="64">
        <v>45561.5636689815</v>
      </c>
      <c r="M556" s="64">
        <v>45608.730624999997</v>
      </c>
      <c r="N556" s="80" t="s">
        <v>127</v>
      </c>
      <c r="O556" s="81">
        <v>45646.618148148104</v>
      </c>
      <c r="P556" s="81">
        <v>45652.696296296301</v>
      </c>
      <c r="T556" s="79" t="s">
        <v>108</v>
      </c>
      <c r="U556" s="64">
        <v>46101.725949074098</v>
      </c>
      <c r="V556" s="64">
        <v>46105.771307870396</v>
      </c>
    </row>
    <row r="557" spans="1:22" s="38" customFormat="1" ht="14.4" customHeight="1" x14ac:dyDescent="0.25">
      <c r="A557" s="44">
        <v>556</v>
      </c>
      <c r="B557" s="45" t="s">
        <v>85</v>
      </c>
      <c r="C557" s="66" t="s">
        <v>268</v>
      </c>
      <c r="D557" s="66" t="s">
        <v>171</v>
      </c>
      <c r="E557" s="67" t="s">
        <v>106</v>
      </c>
      <c r="F557" s="68">
        <v>46153.448032407403</v>
      </c>
      <c r="G557" s="68">
        <v>46151.448252314804</v>
      </c>
      <c r="H557" s="59" t="s">
        <v>90</v>
      </c>
      <c r="I557" s="60">
        <v>12000</v>
      </c>
      <c r="J557" s="58" t="s">
        <v>107</v>
      </c>
      <c r="K557" s="61" t="s">
        <v>108</v>
      </c>
      <c r="L557" s="64">
        <v>45561.5636689815</v>
      </c>
      <c r="M557" s="64">
        <v>45608.730624999997</v>
      </c>
      <c r="N557" s="38" t="s">
        <v>127</v>
      </c>
      <c r="O557" s="64">
        <v>45646.618148148104</v>
      </c>
      <c r="P557" s="64">
        <v>45652.696296296301</v>
      </c>
      <c r="Q557" s="77" t="s">
        <v>265</v>
      </c>
      <c r="R557" s="78">
        <v>46093.675520833298</v>
      </c>
      <c r="S557" s="78">
        <v>46094.662511574097</v>
      </c>
      <c r="T557" s="82" t="s">
        <v>146</v>
      </c>
      <c r="U557" s="83">
        <v>46100.833622685197</v>
      </c>
      <c r="V557" s="83">
        <v>46099.833854166704</v>
      </c>
    </row>
    <row r="558" spans="1:22" s="38" customFormat="1" ht="14.4" customHeight="1" x14ac:dyDescent="0.25">
      <c r="A558" s="44">
        <v>557</v>
      </c>
      <c r="B558" s="45" t="s">
        <v>85</v>
      </c>
      <c r="C558" s="46" t="s">
        <v>268</v>
      </c>
      <c r="D558" s="72" t="s">
        <v>172</v>
      </c>
      <c r="E558" s="75" t="s">
        <v>265</v>
      </c>
      <c r="F558" s="76">
        <v>46093.675486111097</v>
      </c>
      <c r="G558" s="76">
        <v>46094.662708333301</v>
      </c>
      <c r="H558" s="59" t="s">
        <v>90</v>
      </c>
      <c r="I558" s="60">
        <v>12000</v>
      </c>
      <c r="J558" s="58" t="s">
        <v>107</v>
      </c>
      <c r="K558" s="62"/>
      <c r="L558" s="63"/>
      <c r="M558" s="57"/>
    </row>
    <row r="559" spans="1:22" s="38" customFormat="1" ht="14.4" customHeight="1" x14ac:dyDescent="0.25">
      <c r="A559" s="44">
        <v>558</v>
      </c>
      <c r="B559" s="45" t="s">
        <v>85</v>
      </c>
      <c r="C559" s="46" t="s">
        <v>268</v>
      </c>
      <c r="D559" s="38" t="s">
        <v>173</v>
      </c>
      <c r="E559" s="75" t="s">
        <v>265</v>
      </c>
      <c r="F559" s="64">
        <v>46101.725949074098</v>
      </c>
      <c r="G559" s="64">
        <v>46104.771307870396</v>
      </c>
      <c r="H559" s="59" t="s">
        <v>90</v>
      </c>
      <c r="I559" s="60">
        <v>12000</v>
      </c>
      <c r="J559" s="58" t="s">
        <v>107</v>
      </c>
      <c r="K559" s="62"/>
      <c r="L559" s="63"/>
      <c r="M559" s="57"/>
    </row>
    <row r="560" spans="1:22" s="38" customFormat="1" ht="14.4" customHeight="1" x14ac:dyDescent="0.25">
      <c r="A560" s="44">
        <v>559</v>
      </c>
      <c r="B560" s="45" t="s">
        <v>85</v>
      </c>
      <c r="C560" s="72" t="s">
        <v>268</v>
      </c>
      <c r="D560" s="72" t="s">
        <v>174</v>
      </c>
      <c r="E560" s="75" t="s">
        <v>265</v>
      </c>
      <c r="F560" s="76">
        <v>46093.675486111097</v>
      </c>
      <c r="G560" s="76">
        <v>46094.690625000003</v>
      </c>
      <c r="H560" s="59" t="s">
        <v>90</v>
      </c>
      <c r="I560" s="60">
        <v>12000</v>
      </c>
      <c r="J560" s="58" t="s">
        <v>107</v>
      </c>
      <c r="K560" s="62"/>
      <c r="L560" s="63"/>
      <c r="M560" s="57"/>
    </row>
    <row r="561" spans="1:22" s="38" customFormat="1" ht="14.4" customHeight="1" x14ac:dyDescent="0.25">
      <c r="A561" s="44">
        <v>560</v>
      </c>
      <c r="B561" s="45" t="s">
        <v>85</v>
      </c>
      <c r="C561" s="72" t="s">
        <v>268</v>
      </c>
      <c r="D561" s="72" t="s">
        <v>175</v>
      </c>
      <c r="E561" s="75" t="s">
        <v>265</v>
      </c>
      <c r="F561" s="76">
        <v>46093.675486111097</v>
      </c>
      <c r="G561" s="76">
        <v>46098.660335648201</v>
      </c>
      <c r="H561" s="59" t="s">
        <v>90</v>
      </c>
      <c r="I561" s="60">
        <v>12000</v>
      </c>
      <c r="J561" s="58" t="s">
        <v>107</v>
      </c>
      <c r="K561" s="62"/>
      <c r="L561" s="63"/>
      <c r="M561" s="57"/>
    </row>
    <row r="562" spans="1:22" s="38" customFormat="1" ht="14.4" customHeight="1" x14ac:dyDescent="0.25">
      <c r="A562" s="44">
        <v>561</v>
      </c>
      <c r="B562" s="45" t="s">
        <v>85</v>
      </c>
      <c r="C562" s="46" t="s">
        <v>268</v>
      </c>
      <c r="D562" s="38" t="s">
        <v>176</v>
      </c>
      <c r="E562" s="75" t="s">
        <v>265</v>
      </c>
      <c r="F562" s="64">
        <v>46101.725949074098</v>
      </c>
      <c r="G562" s="64">
        <v>46104.771307870396</v>
      </c>
      <c r="H562" s="59" t="s">
        <v>90</v>
      </c>
      <c r="I562" s="60">
        <v>12000</v>
      </c>
      <c r="J562" s="58" t="s">
        <v>107</v>
      </c>
      <c r="K562" s="62"/>
      <c r="L562" s="63"/>
      <c r="M562" s="57"/>
    </row>
    <row r="563" spans="1:22" s="38" customFormat="1" ht="14.4" customHeight="1" x14ac:dyDescent="0.25">
      <c r="A563" s="44">
        <v>562</v>
      </c>
      <c r="B563" s="45" t="s">
        <v>85</v>
      </c>
      <c r="C563" s="46" t="s">
        <v>268</v>
      </c>
      <c r="D563" s="38" t="s">
        <v>177</v>
      </c>
      <c r="E563" s="61"/>
      <c r="H563" s="59" t="s">
        <v>90</v>
      </c>
      <c r="I563" s="60">
        <v>12000</v>
      </c>
      <c r="K563" s="62"/>
      <c r="L563" s="63"/>
      <c r="M563" s="57"/>
    </row>
    <row r="564" spans="1:22" s="38" customFormat="1" ht="14.4" customHeight="1" x14ac:dyDescent="0.25">
      <c r="A564" s="44">
        <v>563</v>
      </c>
      <c r="B564" s="45" t="s">
        <v>85</v>
      </c>
      <c r="C564" s="66" t="s">
        <v>268</v>
      </c>
      <c r="D564" s="66" t="s">
        <v>178</v>
      </c>
      <c r="E564" s="67" t="s">
        <v>106</v>
      </c>
      <c r="F564" s="68">
        <v>46153.473263888904</v>
      </c>
      <c r="G564" s="68">
        <v>46151.473483796297</v>
      </c>
      <c r="H564" s="54" t="s">
        <v>88</v>
      </c>
      <c r="I564" s="55">
        <v>16000</v>
      </c>
      <c r="J564" s="58" t="s">
        <v>107</v>
      </c>
      <c r="K564" s="62"/>
      <c r="L564" s="63"/>
      <c r="M564" s="57"/>
      <c r="T564" s="79" t="s">
        <v>108</v>
      </c>
      <c r="U564" s="64">
        <v>46101.725949074098</v>
      </c>
      <c r="V564" s="64">
        <v>46104.771307870396</v>
      </c>
    </row>
    <row r="565" spans="1:22" s="38" customFormat="1" ht="14.4" customHeight="1" x14ac:dyDescent="0.25">
      <c r="A565" s="44">
        <v>564</v>
      </c>
      <c r="B565" s="45" t="s">
        <v>85</v>
      </c>
      <c r="C565" s="66" t="s">
        <v>268</v>
      </c>
      <c r="D565" s="66" t="s">
        <v>179</v>
      </c>
      <c r="E565" s="67" t="s">
        <v>106</v>
      </c>
      <c r="F565" s="68">
        <v>46153.473263888904</v>
      </c>
      <c r="G565" s="68">
        <v>46151.473472222198</v>
      </c>
      <c r="H565" s="59" t="s">
        <v>90</v>
      </c>
      <c r="I565" s="60">
        <v>12000</v>
      </c>
      <c r="J565" s="58" t="s">
        <v>107</v>
      </c>
      <c r="K565" s="61" t="s">
        <v>108</v>
      </c>
      <c r="L565" s="64">
        <v>45561.5636689815</v>
      </c>
      <c r="M565" s="64">
        <v>45608.730624999997</v>
      </c>
      <c r="N565" s="38" t="s">
        <v>127</v>
      </c>
      <c r="O565" s="64">
        <v>45646.618148148104</v>
      </c>
      <c r="P565" s="64">
        <v>45652.696296296301</v>
      </c>
      <c r="Q565" s="75" t="s">
        <v>265</v>
      </c>
      <c r="R565" s="76">
        <v>46093.675497685203</v>
      </c>
      <c r="S565" s="76">
        <v>46094.690763888902</v>
      </c>
      <c r="T565" s="67" t="s">
        <v>146</v>
      </c>
      <c r="U565" s="68">
        <v>46129.833587963003</v>
      </c>
      <c r="V565" s="68">
        <v>46128.833807870396</v>
      </c>
    </row>
    <row r="566" spans="1:22" s="38" customFormat="1" ht="14.4" customHeight="1" x14ac:dyDescent="0.25">
      <c r="A566" s="44">
        <v>565</v>
      </c>
      <c r="B566" s="45" t="s">
        <v>85</v>
      </c>
      <c r="C566" s="66" t="s">
        <v>268</v>
      </c>
      <c r="D566" s="66" t="s">
        <v>180</v>
      </c>
      <c r="E566" s="67" t="s">
        <v>106</v>
      </c>
      <c r="F566" s="68">
        <v>46125.882187499999</v>
      </c>
      <c r="G566" s="68">
        <v>46124.882395833301</v>
      </c>
      <c r="H566" s="59" t="s">
        <v>90</v>
      </c>
      <c r="I566" s="60">
        <v>12000</v>
      </c>
      <c r="J566" s="58" t="s">
        <v>107</v>
      </c>
      <c r="K566" s="61" t="s">
        <v>108</v>
      </c>
      <c r="L566" s="64">
        <v>45561.5636689815</v>
      </c>
      <c r="M566" s="64">
        <v>45608.730624999997</v>
      </c>
      <c r="N566" s="38" t="s">
        <v>127</v>
      </c>
      <c r="O566" s="64">
        <v>45646.618148148104</v>
      </c>
      <c r="P566" s="64">
        <v>45652.696296296301</v>
      </c>
      <c r="Q566" s="75" t="s">
        <v>265</v>
      </c>
      <c r="R566" s="76">
        <v>46093.675497685203</v>
      </c>
      <c r="S566" s="76">
        <v>46094.693171296298</v>
      </c>
      <c r="T566" s="82" t="s">
        <v>146</v>
      </c>
      <c r="U566" s="83">
        <v>46100.833622685197</v>
      </c>
      <c r="V566" s="83">
        <v>46099.833854166704</v>
      </c>
    </row>
    <row r="567" spans="1:22" s="38" customFormat="1" ht="14.4" customHeight="1" x14ac:dyDescent="0.25">
      <c r="A567" s="44">
        <v>566</v>
      </c>
      <c r="B567" s="45" t="s">
        <v>85</v>
      </c>
      <c r="C567" s="66" t="s">
        <v>268</v>
      </c>
      <c r="D567" s="66" t="s">
        <v>181</v>
      </c>
      <c r="E567" s="67" t="s">
        <v>106</v>
      </c>
      <c r="F567" s="68">
        <v>46124.882245370398</v>
      </c>
      <c r="G567" s="68">
        <v>46123.882465277798</v>
      </c>
      <c r="H567" s="59" t="s">
        <v>90</v>
      </c>
      <c r="I567" s="60">
        <v>12000</v>
      </c>
      <c r="J567" s="58" t="s">
        <v>107</v>
      </c>
      <c r="K567" s="61" t="s">
        <v>108</v>
      </c>
      <c r="L567" s="64">
        <v>45561.5636689815</v>
      </c>
      <c r="M567" s="64">
        <v>45608.730624999997</v>
      </c>
      <c r="N567" s="38" t="s">
        <v>127</v>
      </c>
      <c r="O567" s="64">
        <v>45646.618148148104</v>
      </c>
      <c r="P567" s="64">
        <v>45652.696296296301</v>
      </c>
      <c r="Q567" s="79" t="s">
        <v>108</v>
      </c>
      <c r="R567" s="64">
        <v>46101.725949074098</v>
      </c>
      <c r="S567" s="64">
        <v>46105.771307870396</v>
      </c>
    </row>
    <row r="568" spans="1:22" s="38" customFormat="1" ht="14.4" customHeight="1" x14ac:dyDescent="0.25">
      <c r="A568" s="44">
        <v>567</v>
      </c>
      <c r="B568" s="45" t="s">
        <v>85</v>
      </c>
      <c r="C568" s="66" t="s">
        <v>268</v>
      </c>
      <c r="D568" s="66" t="s">
        <v>182</v>
      </c>
      <c r="E568" s="67" t="s">
        <v>106</v>
      </c>
      <c r="F568" s="68">
        <v>46124.882245370398</v>
      </c>
      <c r="G568" s="68">
        <v>46123.882465277798</v>
      </c>
      <c r="H568" s="59" t="s">
        <v>90</v>
      </c>
      <c r="I568" s="60">
        <v>12000</v>
      </c>
      <c r="J568" s="58" t="s">
        <v>107</v>
      </c>
      <c r="K568" s="61" t="s">
        <v>108</v>
      </c>
      <c r="L568" s="64">
        <v>45561.5636689815</v>
      </c>
      <c r="M568" s="64">
        <v>45608.730624999997</v>
      </c>
      <c r="N568" s="38" t="s">
        <v>127</v>
      </c>
      <c r="O568" s="64">
        <v>45646.618148148104</v>
      </c>
      <c r="P568" s="64">
        <v>45652.696296296301</v>
      </c>
      <c r="Q568" s="75" t="s">
        <v>265</v>
      </c>
      <c r="R568" s="76">
        <v>46093.675486111097</v>
      </c>
      <c r="S568" s="76">
        <v>46094.693321759303</v>
      </c>
      <c r="T568" s="67" t="s">
        <v>146</v>
      </c>
      <c r="U568" s="68">
        <v>46109.833611111098</v>
      </c>
      <c r="V568" s="68">
        <v>46108.833831018499</v>
      </c>
    </row>
    <row r="569" spans="1:22" s="38" customFormat="1" ht="14.4" customHeight="1" x14ac:dyDescent="0.25">
      <c r="A569" s="44">
        <v>568</v>
      </c>
      <c r="B569" s="45" t="s">
        <v>85</v>
      </c>
      <c r="C569" s="66" t="s">
        <v>268</v>
      </c>
      <c r="D569" s="66" t="s">
        <v>183</v>
      </c>
      <c r="E569" s="67" t="s">
        <v>106</v>
      </c>
      <c r="F569" s="68">
        <v>46125.882187499999</v>
      </c>
      <c r="G569" s="68">
        <v>46124.882395833301</v>
      </c>
      <c r="H569" s="59" t="s">
        <v>90</v>
      </c>
      <c r="I569" s="60">
        <v>12000</v>
      </c>
      <c r="J569" s="58" t="s">
        <v>107</v>
      </c>
      <c r="K569" s="61" t="s">
        <v>108</v>
      </c>
      <c r="L569" s="64">
        <v>45561.5636689815</v>
      </c>
      <c r="M569" s="64">
        <v>45608.730624999997</v>
      </c>
      <c r="N569" s="38" t="s">
        <v>127</v>
      </c>
      <c r="O569" s="64">
        <v>45646.618148148104</v>
      </c>
      <c r="P569" s="64">
        <v>45652.696296296301</v>
      </c>
      <c r="Q569" s="75" t="s">
        <v>265</v>
      </c>
      <c r="R569" s="76">
        <v>46093.675486111097</v>
      </c>
      <c r="S569" s="76">
        <v>46094.693657407399</v>
      </c>
      <c r="T569" s="82" t="s">
        <v>146</v>
      </c>
      <c r="U569" s="83">
        <v>46100.833622685197</v>
      </c>
      <c r="V569" s="83">
        <v>46099.833854166704</v>
      </c>
    </row>
    <row r="570" spans="1:22" s="38" customFormat="1" ht="14.4" customHeight="1" x14ac:dyDescent="0.25">
      <c r="A570" s="44">
        <v>569</v>
      </c>
      <c r="B570" s="45" t="s">
        <v>85</v>
      </c>
      <c r="C570" s="66" t="s">
        <v>268</v>
      </c>
      <c r="D570" s="66" t="s">
        <v>184</v>
      </c>
      <c r="E570" s="67" t="s">
        <v>106</v>
      </c>
      <c r="F570" s="68">
        <v>46124.882245370398</v>
      </c>
      <c r="G570" s="68">
        <v>46123.882465277798</v>
      </c>
      <c r="H570" s="59" t="s">
        <v>90</v>
      </c>
      <c r="I570" s="60">
        <v>12000</v>
      </c>
      <c r="J570" s="58" t="s">
        <v>107</v>
      </c>
      <c r="K570" s="61" t="s">
        <v>108</v>
      </c>
      <c r="L570" s="64">
        <v>45561.5636689815</v>
      </c>
      <c r="M570" s="64">
        <v>45608.730624999997</v>
      </c>
      <c r="N570" s="38" t="s">
        <v>127</v>
      </c>
      <c r="O570" s="64">
        <v>45646.618148148104</v>
      </c>
      <c r="P570" s="64">
        <v>45652.696296296301</v>
      </c>
      <c r="Q570" s="79" t="s">
        <v>108</v>
      </c>
      <c r="R570" s="64">
        <v>46101.725949074098</v>
      </c>
      <c r="S570" s="64">
        <v>46105.771307870396</v>
      </c>
    </row>
    <row r="571" spans="1:22" s="38" customFormat="1" ht="14.4" customHeight="1" x14ac:dyDescent="0.25">
      <c r="A571" s="44">
        <v>570</v>
      </c>
      <c r="B571" s="45" t="s">
        <v>85</v>
      </c>
      <c r="C571" s="66" t="s">
        <v>268</v>
      </c>
      <c r="D571" s="66" t="s">
        <v>185</v>
      </c>
      <c r="E571" s="67" t="s">
        <v>106</v>
      </c>
      <c r="F571" s="68">
        <v>46125.882187499999</v>
      </c>
      <c r="G571" s="68">
        <v>46124.882395833301</v>
      </c>
      <c r="H571" s="59" t="s">
        <v>90</v>
      </c>
      <c r="I571" s="60">
        <v>12000</v>
      </c>
      <c r="J571" s="58" t="s">
        <v>107</v>
      </c>
      <c r="K571" s="61" t="s">
        <v>108</v>
      </c>
      <c r="L571" s="64">
        <v>45561.5636689815</v>
      </c>
      <c r="M571" s="64">
        <v>45608.730624999997</v>
      </c>
      <c r="N571" s="38" t="s">
        <v>127</v>
      </c>
      <c r="O571" s="64">
        <v>45646.618148148104</v>
      </c>
      <c r="P571" s="64">
        <v>45652.696296296301</v>
      </c>
      <c r="Q571" s="75" t="s">
        <v>265</v>
      </c>
      <c r="R571" s="76">
        <v>46093.675497685203</v>
      </c>
      <c r="S571" s="76">
        <v>46094.693958333301</v>
      </c>
      <c r="T571" s="123" t="s">
        <v>146</v>
      </c>
      <c r="U571" s="124">
        <v>46115.8335069444</v>
      </c>
      <c r="V571" s="124">
        <v>46114.833715277797</v>
      </c>
    </row>
    <row r="572" spans="1:22" s="38" customFormat="1" ht="14.4" customHeight="1" x14ac:dyDescent="0.25">
      <c r="A572" s="44">
        <v>571</v>
      </c>
      <c r="B572" s="45" t="s">
        <v>85</v>
      </c>
      <c r="C572" s="66" t="s">
        <v>268</v>
      </c>
      <c r="D572" s="66" t="s">
        <v>186</v>
      </c>
      <c r="E572" s="67" t="s">
        <v>106</v>
      </c>
      <c r="F572" s="68">
        <v>46125.882187499999</v>
      </c>
      <c r="G572" s="68">
        <v>46124.882395833301</v>
      </c>
      <c r="H572" s="59" t="s">
        <v>90</v>
      </c>
      <c r="I572" s="60">
        <v>12000</v>
      </c>
      <c r="J572" s="58" t="s">
        <v>107</v>
      </c>
      <c r="K572" s="61" t="s">
        <v>108</v>
      </c>
      <c r="L572" s="64">
        <v>45561.5636689815</v>
      </c>
      <c r="M572" s="64">
        <v>45608.730624999997</v>
      </c>
      <c r="N572" s="38" t="s">
        <v>127</v>
      </c>
      <c r="O572" s="64">
        <v>45646.618148148104</v>
      </c>
      <c r="P572" s="64">
        <v>45652.696296296301</v>
      </c>
      <c r="Q572" s="75" t="s">
        <v>265</v>
      </c>
      <c r="R572" s="76">
        <v>46093.675486111097</v>
      </c>
      <c r="S572" s="76">
        <v>46094.6946412037</v>
      </c>
      <c r="T572" s="82" t="s">
        <v>146</v>
      </c>
      <c r="U572" s="83">
        <v>46100.833622685197</v>
      </c>
      <c r="V572" s="83">
        <v>46099.833854166704</v>
      </c>
    </row>
    <row r="573" spans="1:22" s="38" customFormat="1" ht="14.4" customHeight="1" x14ac:dyDescent="0.25">
      <c r="A573" s="44">
        <v>572</v>
      </c>
      <c r="B573" s="45" t="s">
        <v>85</v>
      </c>
      <c r="C573" s="66" t="s">
        <v>268</v>
      </c>
      <c r="D573" s="66" t="s">
        <v>187</v>
      </c>
      <c r="E573" s="67" t="s">
        <v>106</v>
      </c>
      <c r="F573" s="68">
        <v>46126.882175925901</v>
      </c>
      <c r="G573" s="68">
        <v>46125.882384259297</v>
      </c>
      <c r="H573" s="59" t="s">
        <v>90</v>
      </c>
      <c r="I573" s="60">
        <v>12000</v>
      </c>
      <c r="J573" s="58" t="s">
        <v>107</v>
      </c>
      <c r="K573" s="61" t="s">
        <v>108</v>
      </c>
      <c r="L573" s="64">
        <v>45561.5636689815</v>
      </c>
      <c r="M573" s="64">
        <v>45608.730624999997</v>
      </c>
      <c r="N573" s="38" t="s">
        <v>127</v>
      </c>
      <c r="O573" s="64">
        <v>45646.618148148104</v>
      </c>
      <c r="P573" s="64">
        <v>45652.696296296301</v>
      </c>
      <c r="Q573" s="79" t="s">
        <v>108</v>
      </c>
      <c r="R573" s="64">
        <v>46101.725949074098</v>
      </c>
      <c r="S573" s="64">
        <v>46104.771307870396</v>
      </c>
    </row>
    <row r="574" spans="1:22" s="38" customFormat="1" ht="14.4" customHeight="1" x14ac:dyDescent="0.25">
      <c r="A574" s="44">
        <v>573</v>
      </c>
      <c r="B574" s="45" t="s">
        <v>85</v>
      </c>
      <c r="C574" s="66" t="s">
        <v>268</v>
      </c>
      <c r="D574" s="66" t="s">
        <v>188</v>
      </c>
      <c r="E574" s="67" t="s">
        <v>106</v>
      </c>
      <c r="F574" s="68">
        <v>46128.4870717593</v>
      </c>
      <c r="G574" s="68">
        <v>46126.487291666701</v>
      </c>
      <c r="H574" s="59" t="s">
        <v>90</v>
      </c>
      <c r="I574" s="60">
        <v>12000</v>
      </c>
      <c r="J574" s="58" t="s">
        <v>107</v>
      </c>
      <c r="K574" s="75" t="s">
        <v>265</v>
      </c>
      <c r="L574" s="76">
        <v>46093.675486111097</v>
      </c>
      <c r="M574" s="76">
        <v>46094.694930555597</v>
      </c>
      <c r="N574" s="75" t="s">
        <v>146</v>
      </c>
      <c r="O574" s="76">
        <v>46103.834444444401</v>
      </c>
      <c r="P574" s="76">
        <v>46102.834664351903</v>
      </c>
    </row>
    <row r="575" spans="1:22" s="38" customFormat="1" ht="14.4" customHeight="1" x14ac:dyDescent="0.25">
      <c r="A575" s="44">
        <v>574</v>
      </c>
      <c r="B575" s="45" t="s">
        <v>85</v>
      </c>
      <c r="C575" s="66" t="s">
        <v>268</v>
      </c>
      <c r="D575" s="66" t="s">
        <v>189</v>
      </c>
      <c r="E575" s="67" t="s">
        <v>106</v>
      </c>
      <c r="F575" s="68">
        <v>46128.490682870397</v>
      </c>
      <c r="G575" s="68">
        <v>46126.490902777798</v>
      </c>
      <c r="H575" s="59" t="s">
        <v>90</v>
      </c>
      <c r="I575" s="60">
        <v>12000</v>
      </c>
      <c r="J575" s="58" t="s">
        <v>107</v>
      </c>
      <c r="K575" s="75" t="s">
        <v>265</v>
      </c>
      <c r="L575" s="76">
        <v>46093.675497685203</v>
      </c>
      <c r="M575" s="76">
        <v>46094.695231481499</v>
      </c>
      <c r="N575" s="82" t="s">
        <v>146</v>
      </c>
      <c r="O575" s="83">
        <v>46100.833622685197</v>
      </c>
      <c r="P575" s="83">
        <v>46099.833854166704</v>
      </c>
    </row>
    <row r="576" spans="1:22" s="38" customFormat="1" ht="14.4" customHeight="1" x14ac:dyDescent="0.25">
      <c r="A576" s="44">
        <v>575</v>
      </c>
      <c r="B576" s="45" t="s">
        <v>85</v>
      </c>
      <c r="C576" s="66" t="s">
        <v>268</v>
      </c>
      <c r="D576" s="66" t="s">
        <v>190</v>
      </c>
      <c r="E576" s="67" t="s">
        <v>106</v>
      </c>
      <c r="F576" s="68">
        <v>46180.495682870402</v>
      </c>
      <c r="G576" s="68">
        <v>46178.495902777802</v>
      </c>
      <c r="H576" s="59" t="s">
        <v>90</v>
      </c>
      <c r="I576" s="60">
        <v>12000</v>
      </c>
      <c r="J576" s="58" t="s">
        <v>107</v>
      </c>
      <c r="K576" s="62"/>
      <c r="L576" s="63"/>
      <c r="M576" s="57"/>
      <c r="N576" s="79" t="s">
        <v>108</v>
      </c>
      <c r="O576" s="64">
        <v>46122.750254629631</v>
      </c>
      <c r="P576" s="64">
        <v>46122.458587962959</v>
      </c>
    </row>
    <row r="577" spans="1:22" s="38" customFormat="1" ht="14.4" customHeight="1" x14ac:dyDescent="0.25">
      <c r="A577" s="44">
        <v>576</v>
      </c>
      <c r="B577" s="45" t="s">
        <v>85</v>
      </c>
      <c r="C577" s="66" t="s">
        <v>268</v>
      </c>
      <c r="D577" s="66" t="s">
        <v>191</v>
      </c>
      <c r="E577" s="67" t="s">
        <v>106</v>
      </c>
      <c r="F577" s="68">
        <v>46180.498807870397</v>
      </c>
      <c r="G577" s="68">
        <v>46178.499016203699</v>
      </c>
      <c r="H577" s="59" t="s">
        <v>90</v>
      </c>
      <c r="I577" s="60">
        <v>12000</v>
      </c>
      <c r="J577" s="58" t="s">
        <v>107</v>
      </c>
      <c r="K577" s="67" t="s">
        <v>265</v>
      </c>
      <c r="L577" s="68">
        <v>46108.611875000002</v>
      </c>
      <c r="M577" s="68">
        <v>46112.430960648097</v>
      </c>
      <c r="N577" s="73" t="s">
        <v>146</v>
      </c>
      <c r="O577" s="74">
        <v>46121.833564814799</v>
      </c>
      <c r="P577" s="74">
        <v>46120.833773148202</v>
      </c>
    </row>
    <row r="578" spans="1:22" s="38" customFormat="1" ht="14.4" customHeight="1" x14ac:dyDescent="0.25">
      <c r="A578" s="44">
        <v>577</v>
      </c>
      <c r="B578" s="45" t="s">
        <v>85</v>
      </c>
      <c r="C578" s="66" t="s">
        <v>268</v>
      </c>
      <c r="D578" s="66" t="s">
        <v>192</v>
      </c>
      <c r="E578" s="67" t="s">
        <v>106</v>
      </c>
      <c r="F578" s="68">
        <v>46237.733148148101</v>
      </c>
      <c r="G578" s="68">
        <v>46235.733379629601</v>
      </c>
      <c r="H578" s="59" t="s">
        <v>90</v>
      </c>
      <c r="I578" s="60">
        <v>12000</v>
      </c>
      <c r="J578" s="58" t="s">
        <v>107</v>
      </c>
      <c r="K578" s="67" t="s">
        <v>265</v>
      </c>
      <c r="L578" s="68">
        <v>46108.611875000002</v>
      </c>
      <c r="M578" s="68">
        <v>46112.431122685201</v>
      </c>
      <c r="N578" s="73" t="s">
        <v>146</v>
      </c>
      <c r="O578" s="74">
        <v>46115.8335069444</v>
      </c>
      <c r="P578" s="74">
        <v>46114.833715277797</v>
      </c>
    </row>
    <row r="579" spans="1:22" s="38" customFormat="1" ht="14.4" customHeight="1" x14ac:dyDescent="0.25">
      <c r="A579" s="44">
        <v>578</v>
      </c>
      <c r="B579" s="45" t="s">
        <v>85</v>
      </c>
      <c r="C579" s="119" t="s">
        <v>268</v>
      </c>
      <c r="D579" s="120" t="s">
        <v>193</v>
      </c>
      <c r="E579" s="121"/>
      <c r="F579" s="120"/>
      <c r="G579" s="120"/>
      <c r="H579" s="59" t="s">
        <v>90</v>
      </c>
      <c r="I579" s="60">
        <v>12000</v>
      </c>
      <c r="K579" s="62"/>
      <c r="L579" s="63"/>
      <c r="M579" s="57"/>
    </row>
    <row r="580" spans="1:22" s="38" customFormat="1" ht="14.4" customHeight="1" x14ac:dyDescent="0.25">
      <c r="A580" s="44">
        <v>579</v>
      </c>
      <c r="B580" s="45" t="s">
        <v>85</v>
      </c>
      <c r="C580" s="46" t="s">
        <v>268</v>
      </c>
      <c r="D580" s="38" t="s">
        <v>194</v>
      </c>
      <c r="E580" s="61"/>
      <c r="H580" s="59" t="s">
        <v>90</v>
      </c>
      <c r="I580" s="60">
        <v>12000</v>
      </c>
      <c r="K580" s="62"/>
      <c r="L580" s="63"/>
      <c r="M580" s="57"/>
    </row>
    <row r="581" spans="1:22" s="38" customFormat="1" ht="14.4" customHeight="1" x14ac:dyDescent="0.25">
      <c r="A581" s="44">
        <v>580</v>
      </c>
      <c r="B581" s="45" t="s">
        <v>85</v>
      </c>
      <c r="C581" s="46" t="s">
        <v>268</v>
      </c>
      <c r="D581" s="38" t="s">
        <v>195</v>
      </c>
      <c r="E581" s="61"/>
      <c r="H581" s="59" t="s">
        <v>90</v>
      </c>
      <c r="I581" s="60">
        <v>12000</v>
      </c>
      <c r="K581" s="62"/>
      <c r="L581" s="63"/>
      <c r="M581" s="57"/>
    </row>
    <row r="582" spans="1:22" s="38" customFormat="1" ht="14.4" customHeight="1" x14ac:dyDescent="0.25">
      <c r="A582" s="44">
        <v>581</v>
      </c>
      <c r="B582" s="45" t="s">
        <v>85</v>
      </c>
      <c r="C582" s="66" t="s">
        <v>268</v>
      </c>
      <c r="D582" s="66" t="s">
        <v>196</v>
      </c>
      <c r="E582" s="67" t="s">
        <v>106</v>
      </c>
      <c r="F582" s="68">
        <v>46180.488680555602</v>
      </c>
      <c r="G582" s="68">
        <v>46178.488888888904</v>
      </c>
      <c r="H582" s="118" t="s">
        <v>88</v>
      </c>
      <c r="I582" s="55">
        <v>16000</v>
      </c>
      <c r="J582" s="58" t="s">
        <v>107</v>
      </c>
      <c r="K582" s="67" t="s">
        <v>265</v>
      </c>
      <c r="L582" s="68">
        <v>46108.611875000002</v>
      </c>
      <c r="M582" s="68">
        <v>46108.718634259298</v>
      </c>
      <c r="T582" s="73" t="s">
        <v>146</v>
      </c>
      <c r="U582" s="74">
        <v>46115.8335069444</v>
      </c>
      <c r="V582" s="74">
        <v>46114.833715277797</v>
      </c>
    </row>
    <row r="583" spans="1:22" s="38" customFormat="1" ht="14.4" customHeight="1" x14ac:dyDescent="0.25">
      <c r="A583" s="44">
        <v>582</v>
      </c>
      <c r="B583" s="45" t="s">
        <v>85</v>
      </c>
      <c r="C583" s="66" t="s">
        <v>268</v>
      </c>
      <c r="D583" s="66" t="s">
        <v>197</v>
      </c>
      <c r="E583" s="67" t="s">
        <v>106</v>
      </c>
      <c r="F583" s="68">
        <v>46180.495752314797</v>
      </c>
      <c r="G583" s="68">
        <v>46178.495960648099</v>
      </c>
      <c r="H583" s="59" t="s">
        <v>90</v>
      </c>
      <c r="I583" s="60">
        <v>12000</v>
      </c>
      <c r="J583" s="58" t="s">
        <v>107</v>
      </c>
      <c r="K583" s="61" t="s">
        <v>108</v>
      </c>
      <c r="L583" s="64">
        <v>45561.5636689815</v>
      </c>
      <c r="M583" s="64">
        <v>45608.730624999997</v>
      </c>
      <c r="N583" s="38" t="s">
        <v>127</v>
      </c>
      <c r="O583" s="64">
        <v>45646.618148148104</v>
      </c>
      <c r="P583" s="64">
        <v>45652.696296296301</v>
      </c>
      <c r="Q583" s="67" t="s">
        <v>265</v>
      </c>
      <c r="R583" s="68">
        <v>46108.611875000002</v>
      </c>
      <c r="S583" s="68">
        <v>46108.718761574099</v>
      </c>
      <c r="T583" s="73" t="s">
        <v>146</v>
      </c>
      <c r="U583" s="74">
        <v>46115.8335069444</v>
      </c>
      <c r="V583" s="74">
        <v>46114.833715277797</v>
      </c>
    </row>
    <row r="584" spans="1:22" s="38" customFormat="1" ht="14.4" customHeight="1" x14ac:dyDescent="0.25">
      <c r="A584" s="44">
        <v>583</v>
      </c>
      <c r="B584" s="45" t="s">
        <v>85</v>
      </c>
      <c r="C584" s="66" t="s">
        <v>268</v>
      </c>
      <c r="D584" s="66" t="s">
        <v>198</v>
      </c>
      <c r="E584" s="67" t="s">
        <v>106</v>
      </c>
      <c r="F584" s="68">
        <v>46237.768414351798</v>
      </c>
      <c r="G584" s="68">
        <v>46235.768634259301</v>
      </c>
      <c r="H584" s="59" t="s">
        <v>90</v>
      </c>
      <c r="I584" s="60">
        <v>12000</v>
      </c>
      <c r="J584" s="58" t="s">
        <v>107</v>
      </c>
      <c r="K584" s="61" t="s">
        <v>108</v>
      </c>
      <c r="L584" s="64">
        <v>45561.5636689815</v>
      </c>
      <c r="M584" s="64">
        <v>45608.730624999997</v>
      </c>
      <c r="N584" s="120" t="s">
        <v>127</v>
      </c>
      <c r="O584" s="122">
        <v>45646.618148148104</v>
      </c>
      <c r="P584" s="122">
        <v>45652.696296296301</v>
      </c>
      <c r="Q584" s="67" t="s">
        <v>108</v>
      </c>
      <c r="R584" s="68">
        <v>46179</v>
      </c>
      <c r="S584" s="68">
        <v>46182.574247685203</v>
      </c>
    </row>
    <row r="585" spans="1:22" s="38" customFormat="1" ht="14.4" customHeight="1" x14ac:dyDescent="0.25">
      <c r="A585" s="44">
        <v>584</v>
      </c>
      <c r="B585" s="45" t="s">
        <v>85</v>
      </c>
      <c r="C585" s="66" t="s">
        <v>268</v>
      </c>
      <c r="D585" s="66" t="s">
        <v>199</v>
      </c>
      <c r="E585" s="67" t="s">
        <v>106</v>
      </c>
      <c r="F585" s="68">
        <v>46153.476886574099</v>
      </c>
      <c r="G585" s="68">
        <v>46151.4771064815</v>
      </c>
      <c r="H585" s="59" t="s">
        <v>90</v>
      </c>
      <c r="I585" s="60">
        <v>12000</v>
      </c>
      <c r="J585" s="58" t="s">
        <v>107</v>
      </c>
      <c r="K585" s="61" t="s">
        <v>108</v>
      </c>
      <c r="L585" s="64">
        <v>45561.5636689815</v>
      </c>
      <c r="M585" s="64">
        <v>45608.730624999997</v>
      </c>
      <c r="N585" s="38" t="s">
        <v>127</v>
      </c>
      <c r="O585" s="64">
        <v>45646.618148148104</v>
      </c>
      <c r="P585" s="64">
        <v>45652.696296296301</v>
      </c>
      <c r="Q585" s="67" t="s">
        <v>265</v>
      </c>
      <c r="R585" s="68">
        <v>46108.611875000002</v>
      </c>
      <c r="S585" s="68">
        <v>46108.718900462998</v>
      </c>
      <c r="T585" s="73" t="s">
        <v>146</v>
      </c>
      <c r="U585" s="74">
        <v>46116.833587963003</v>
      </c>
      <c r="V585" s="74">
        <v>46115.833807870396</v>
      </c>
    </row>
    <row r="586" spans="1:22" s="38" customFormat="1" ht="14.4" customHeight="1" x14ac:dyDescent="0.25">
      <c r="A586" s="44">
        <v>585</v>
      </c>
      <c r="B586" s="45" t="s">
        <v>85</v>
      </c>
      <c r="C586" s="66" t="s">
        <v>268</v>
      </c>
      <c r="D586" s="66" t="s">
        <v>200</v>
      </c>
      <c r="E586" s="67" t="s">
        <v>106</v>
      </c>
      <c r="F586" s="68">
        <v>46153.487962963001</v>
      </c>
      <c r="G586" s="68">
        <v>46151.488182870402</v>
      </c>
      <c r="H586" s="59" t="s">
        <v>90</v>
      </c>
      <c r="I586" s="60">
        <v>12000</v>
      </c>
      <c r="J586" s="58" t="s">
        <v>107</v>
      </c>
      <c r="K586" s="61" t="s">
        <v>108</v>
      </c>
      <c r="L586" s="64">
        <v>45561.5636689815</v>
      </c>
      <c r="M586" s="64">
        <v>45608.730624999997</v>
      </c>
      <c r="N586" s="38" t="s">
        <v>127</v>
      </c>
      <c r="O586" s="64">
        <v>45646.618148148104</v>
      </c>
      <c r="P586" s="64">
        <v>45652.696296296301</v>
      </c>
      <c r="Q586" s="67" t="s">
        <v>265</v>
      </c>
      <c r="R586" s="68">
        <v>46108.611875000002</v>
      </c>
      <c r="S586" s="68">
        <v>46112.431597222203</v>
      </c>
      <c r="T586" s="73" t="s">
        <v>146</v>
      </c>
      <c r="U586" s="74">
        <v>46119.833715277797</v>
      </c>
      <c r="V586" s="74">
        <v>46118.833923611099</v>
      </c>
    </row>
    <row r="587" spans="1:22" s="38" customFormat="1" ht="14.4" customHeight="1" x14ac:dyDescent="0.25">
      <c r="A587" s="44">
        <v>586</v>
      </c>
      <c r="B587" s="45" t="s">
        <v>85</v>
      </c>
      <c r="C587" s="66" t="s">
        <v>268</v>
      </c>
      <c r="D587" s="66" t="s">
        <v>201</v>
      </c>
      <c r="E587" s="67" t="s">
        <v>106</v>
      </c>
      <c r="F587" s="68">
        <v>46235.496296296304</v>
      </c>
      <c r="G587" s="68">
        <v>46233.496527777803</v>
      </c>
      <c r="H587" s="59" t="s">
        <v>90</v>
      </c>
      <c r="I587" s="60">
        <v>12000</v>
      </c>
      <c r="J587" s="58" t="s">
        <v>107</v>
      </c>
      <c r="K587" s="61" t="s">
        <v>108</v>
      </c>
      <c r="L587" s="64">
        <v>45561.5636689815</v>
      </c>
      <c r="M587" s="64">
        <v>45608.730624999997</v>
      </c>
      <c r="N587" s="67" t="s">
        <v>108</v>
      </c>
      <c r="O587" s="68">
        <v>46152</v>
      </c>
      <c r="P587" s="68">
        <v>46153.642361111102</v>
      </c>
      <c r="T587" s="120" t="s">
        <v>127</v>
      </c>
      <c r="U587" s="122">
        <v>45646.618148148104</v>
      </c>
      <c r="V587" s="122">
        <v>45652.696296296301</v>
      </c>
    </row>
    <row r="588" spans="1:22" s="38" customFormat="1" ht="14.4" customHeight="1" x14ac:dyDescent="0.25">
      <c r="A588" s="44">
        <v>587</v>
      </c>
      <c r="B588" s="45" t="s">
        <v>85</v>
      </c>
      <c r="C588" s="66" t="s">
        <v>268</v>
      </c>
      <c r="D588" s="66" t="s">
        <v>202</v>
      </c>
      <c r="E588" s="67" t="s">
        <v>106</v>
      </c>
      <c r="F588" s="68">
        <v>46153.480335648099</v>
      </c>
      <c r="G588" s="68">
        <v>46151.480555555601</v>
      </c>
      <c r="H588" s="59" t="s">
        <v>90</v>
      </c>
      <c r="I588" s="60">
        <v>12000</v>
      </c>
      <c r="J588" s="58" t="s">
        <v>107</v>
      </c>
      <c r="K588" s="61" t="s">
        <v>108</v>
      </c>
      <c r="L588" s="64">
        <v>45561.5636689815</v>
      </c>
      <c r="M588" s="64">
        <v>45608.730624999997</v>
      </c>
      <c r="N588" s="38" t="s">
        <v>127</v>
      </c>
      <c r="O588" s="64">
        <v>45646.618148148104</v>
      </c>
      <c r="P588" s="64">
        <v>45652.696296296301</v>
      </c>
      <c r="Q588" s="67" t="s">
        <v>265</v>
      </c>
      <c r="R588" s="68">
        <v>46108.611875000002</v>
      </c>
      <c r="S588" s="68">
        <v>46112.431782407402</v>
      </c>
      <c r="T588" s="73" t="s">
        <v>146</v>
      </c>
      <c r="U588" s="74">
        <v>46117.833611111098</v>
      </c>
      <c r="V588" s="74">
        <v>46116.833831018499</v>
      </c>
    </row>
    <row r="589" spans="1:22" s="38" customFormat="1" ht="14.4" customHeight="1" x14ac:dyDescent="0.25">
      <c r="A589" s="44">
        <v>588</v>
      </c>
      <c r="B589" s="45" t="s">
        <v>85</v>
      </c>
      <c r="C589" s="66" t="s">
        <v>268</v>
      </c>
      <c r="D589" s="66" t="s">
        <v>203</v>
      </c>
      <c r="E589" s="67" t="s">
        <v>106</v>
      </c>
      <c r="F589" s="68">
        <v>46153.484375</v>
      </c>
      <c r="G589" s="68">
        <v>46151.484594907401</v>
      </c>
      <c r="H589" s="59" t="s">
        <v>90</v>
      </c>
      <c r="I589" s="60">
        <v>12000</v>
      </c>
      <c r="J589" s="58" t="s">
        <v>107</v>
      </c>
      <c r="K589" s="61" t="s">
        <v>108</v>
      </c>
      <c r="L589" s="64">
        <v>45561.5636689815</v>
      </c>
      <c r="M589" s="64">
        <v>45608.730624999997</v>
      </c>
      <c r="N589" s="38" t="s">
        <v>127</v>
      </c>
      <c r="O589" s="64">
        <v>45646.618148148104</v>
      </c>
      <c r="P589" s="64">
        <v>45652.696296296301</v>
      </c>
      <c r="Q589" s="67" t="s">
        <v>265</v>
      </c>
      <c r="R589" s="68">
        <v>46108.611875000002</v>
      </c>
      <c r="S589" s="68">
        <v>46108.7191087963</v>
      </c>
      <c r="T589" s="73" t="s">
        <v>146</v>
      </c>
      <c r="U589" s="74">
        <v>46115.8335069444</v>
      </c>
      <c r="V589" s="74">
        <v>46114.833715277797</v>
      </c>
    </row>
    <row r="590" spans="1:22" s="38" customFormat="1" ht="14.4" customHeight="1" x14ac:dyDescent="0.25">
      <c r="A590" s="44">
        <v>589</v>
      </c>
      <c r="B590" s="45" t="s">
        <v>85</v>
      </c>
      <c r="C590" s="66" t="s">
        <v>268</v>
      </c>
      <c r="D590" s="66" t="s">
        <v>204</v>
      </c>
      <c r="E590" s="67" t="s">
        <v>106</v>
      </c>
      <c r="F590" s="68">
        <v>46238.528784722199</v>
      </c>
      <c r="G590" s="68">
        <v>46236.529016203698</v>
      </c>
      <c r="H590" s="59" t="s">
        <v>90</v>
      </c>
      <c r="I590" s="60">
        <v>12000</v>
      </c>
      <c r="J590" s="58" t="s">
        <v>107</v>
      </c>
      <c r="K590" s="61" t="s">
        <v>108</v>
      </c>
      <c r="L590" s="64">
        <v>45561.5636689815</v>
      </c>
      <c r="M590" s="64">
        <v>45608.730624999997</v>
      </c>
      <c r="N590" s="67" t="s">
        <v>108</v>
      </c>
      <c r="O590" s="68">
        <v>46152</v>
      </c>
      <c r="P590" s="68">
        <v>46153.642407407402</v>
      </c>
      <c r="T590" s="120" t="s">
        <v>127</v>
      </c>
      <c r="U590" s="122">
        <v>45646.618148148104</v>
      </c>
      <c r="V590" s="122">
        <v>45652.696296296301</v>
      </c>
    </row>
    <row r="591" spans="1:22" s="38" customFormat="1" ht="14.4" customHeight="1" x14ac:dyDescent="0.25">
      <c r="A591" s="44">
        <v>590</v>
      </c>
      <c r="B591" s="45" t="s">
        <v>85</v>
      </c>
      <c r="C591" s="46" t="s">
        <v>268</v>
      </c>
      <c r="D591" s="38" t="s">
        <v>205</v>
      </c>
      <c r="E591" s="38" t="s">
        <v>127</v>
      </c>
      <c r="F591" s="64">
        <v>45653.618136574099</v>
      </c>
      <c r="G591" s="64">
        <v>45656.681203703702</v>
      </c>
      <c r="H591" s="59" t="s">
        <v>90</v>
      </c>
      <c r="I591" s="60">
        <v>12000</v>
      </c>
      <c r="J591" s="58" t="s">
        <v>107</v>
      </c>
      <c r="K591" s="61" t="s">
        <v>108</v>
      </c>
      <c r="L591" s="64">
        <v>45603.673773148097</v>
      </c>
      <c r="M591" s="64">
        <v>45615.738229166702</v>
      </c>
    </row>
    <row r="592" spans="1:22" s="38" customFormat="1" ht="14.4" customHeight="1" x14ac:dyDescent="0.25">
      <c r="A592" s="44">
        <v>591</v>
      </c>
      <c r="B592" s="45" t="s">
        <v>85</v>
      </c>
      <c r="C592" s="46" t="s">
        <v>268</v>
      </c>
      <c r="D592" s="38" t="s">
        <v>206</v>
      </c>
      <c r="E592" s="61"/>
      <c r="H592" s="59" t="s">
        <v>90</v>
      </c>
      <c r="I592" s="60">
        <v>12000</v>
      </c>
      <c r="K592" s="62"/>
      <c r="L592" s="63"/>
      <c r="M592" s="57"/>
    </row>
    <row r="593" spans="1:13" s="38" customFormat="1" ht="14.4" customHeight="1" x14ac:dyDescent="0.25">
      <c r="A593" s="44">
        <v>592</v>
      </c>
      <c r="B593" s="45" t="s">
        <v>85</v>
      </c>
      <c r="C593" s="46" t="s">
        <v>268</v>
      </c>
      <c r="D593" s="38" t="s">
        <v>207</v>
      </c>
      <c r="E593" s="61"/>
      <c r="H593" s="59" t="s">
        <v>90</v>
      </c>
      <c r="I593" s="60">
        <v>12000</v>
      </c>
      <c r="K593" s="62"/>
      <c r="L593" s="63"/>
      <c r="M593" s="57"/>
    </row>
    <row r="594" spans="1:13" s="38" customFormat="1" ht="14.4" customHeight="1" x14ac:dyDescent="0.25">
      <c r="A594" s="44">
        <v>593</v>
      </c>
      <c r="B594" s="45" t="s">
        <v>85</v>
      </c>
      <c r="C594" s="46" t="s">
        <v>268</v>
      </c>
      <c r="D594" s="38" t="s">
        <v>208</v>
      </c>
      <c r="E594" s="61"/>
      <c r="H594" s="59" t="s">
        <v>90</v>
      </c>
      <c r="I594" s="60">
        <v>12000</v>
      </c>
      <c r="K594" s="62"/>
      <c r="L594" s="63"/>
      <c r="M594" s="57"/>
    </row>
    <row r="595" spans="1:13" s="38" customFormat="1" ht="14.4" customHeight="1" x14ac:dyDescent="0.25">
      <c r="A595" s="44">
        <v>594</v>
      </c>
      <c r="B595" s="45" t="s">
        <v>85</v>
      </c>
      <c r="C595" s="46" t="s">
        <v>268</v>
      </c>
      <c r="D595" s="38" t="s">
        <v>209</v>
      </c>
      <c r="E595" s="61"/>
      <c r="H595" s="59" t="s">
        <v>90</v>
      </c>
      <c r="I595" s="60">
        <v>12000</v>
      </c>
      <c r="K595" s="62"/>
      <c r="L595" s="63"/>
      <c r="M595" s="57"/>
    </row>
    <row r="596" spans="1:13" s="38" customFormat="1" ht="14.4" customHeight="1" x14ac:dyDescent="0.25">
      <c r="A596" s="44">
        <v>595</v>
      </c>
      <c r="B596" s="45" t="s">
        <v>85</v>
      </c>
      <c r="C596" s="46" t="s">
        <v>268</v>
      </c>
      <c r="D596" s="38" t="s">
        <v>210</v>
      </c>
      <c r="E596" s="61"/>
      <c r="H596" s="59" t="s">
        <v>90</v>
      </c>
      <c r="I596" s="60">
        <v>12000</v>
      </c>
      <c r="K596" s="62"/>
      <c r="L596" s="63"/>
      <c r="M596" s="57"/>
    </row>
    <row r="597" spans="1:13" s="38" customFormat="1" ht="14.4" customHeight="1" x14ac:dyDescent="0.25">
      <c r="A597" s="44">
        <v>596</v>
      </c>
      <c r="B597" s="45" t="s">
        <v>85</v>
      </c>
      <c r="C597" s="46" t="s">
        <v>268</v>
      </c>
      <c r="D597" s="38" t="s">
        <v>211</v>
      </c>
      <c r="E597" s="61"/>
      <c r="H597" s="59" t="s">
        <v>90</v>
      </c>
      <c r="I597" s="60">
        <v>12000</v>
      </c>
      <c r="K597" s="62"/>
      <c r="L597" s="63"/>
      <c r="M597" s="57"/>
    </row>
    <row r="598" spans="1:13" s="38" customFormat="1" ht="14.4" customHeight="1" x14ac:dyDescent="0.25">
      <c r="A598" s="44">
        <v>597</v>
      </c>
      <c r="B598" s="45" t="s">
        <v>85</v>
      </c>
      <c r="C598" s="46" t="s">
        <v>268</v>
      </c>
      <c r="D598" s="38" t="s">
        <v>212</v>
      </c>
      <c r="E598" s="61"/>
      <c r="H598" s="54" t="s">
        <v>88</v>
      </c>
      <c r="I598" s="55">
        <v>16000</v>
      </c>
      <c r="K598" s="62"/>
      <c r="L598" s="63"/>
      <c r="M598" s="57"/>
    </row>
    <row r="599" spans="1:13" s="38" customFormat="1" ht="14.4" customHeight="1" x14ac:dyDescent="0.25">
      <c r="A599" s="44">
        <v>598</v>
      </c>
      <c r="B599" s="45" t="s">
        <v>85</v>
      </c>
      <c r="C599" s="46" t="s">
        <v>268</v>
      </c>
      <c r="D599" s="38" t="s">
        <v>213</v>
      </c>
      <c r="E599" s="38" t="s">
        <v>127</v>
      </c>
      <c r="F599" s="64">
        <v>45646.618148148104</v>
      </c>
      <c r="G599" s="64">
        <v>45652.696296296301</v>
      </c>
      <c r="H599" s="59" t="s">
        <v>90</v>
      </c>
      <c r="I599" s="60">
        <v>12000</v>
      </c>
      <c r="J599" s="58" t="s">
        <v>107</v>
      </c>
      <c r="K599" s="61" t="s">
        <v>108</v>
      </c>
      <c r="L599" s="64">
        <v>45561.5636689815</v>
      </c>
      <c r="M599" s="64">
        <v>45608.730624999997</v>
      </c>
    </row>
    <row r="600" spans="1:13" s="38" customFormat="1" ht="14.4" customHeight="1" x14ac:dyDescent="0.25">
      <c r="A600" s="44">
        <v>599</v>
      </c>
      <c r="B600" s="45" t="s">
        <v>85</v>
      </c>
      <c r="C600" s="46" t="s">
        <v>268</v>
      </c>
      <c r="D600" s="38" t="s">
        <v>214</v>
      </c>
      <c r="E600" s="38" t="s">
        <v>127</v>
      </c>
      <c r="F600" s="64">
        <v>45646.618148148104</v>
      </c>
      <c r="G600" s="64">
        <v>45652.696296296301</v>
      </c>
      <c r="H600" s="59" t="s">
        <v>90</v>
      </c>
      <c r="I600" s="60">
        <v>12000</v>
      </c>
      <c r="J600" s="58" t="s">
        <v>107</v>
      </c>
      <c r="K600" s="61" t="s">
        <v>108</v>
      </c>
      <c r="L600" s="64">
        <v>45561.5636689815</v>
      </c>
      <c r="M600" s="64">
        <v>45608.730624999997</v>
      </c>
    </row>
    <row r="601" spans="1:13" s="38" customFormat="1" ht="14.4" customHeight="1" x14ac:dyDescent="0.25">
      <c r="A601" s="44">
        <v>600</v>
      </c>
      <c r="B601" s="45" t="s">
        <v>85</v>
      </c>
      <c r="C601" s="46" t="s">
        <v>268</v>
      </c>
      <c r="D601" s="38" t="s">
        <v>215</v>
      </c>
      <c r="E601" s="38" t="s">
        <v>127</v>
      </c>
      <c r="F601" s="64">
        <v>45646.618148148104</v>
      </c>
      <c r="G601" s="64">
        <v>45652.696296296301</v>
      </c>
      <c r="H601" s="59" t="s">
        <v>90</v>
      </c>
      <c r="I601" s="60">
        <v>12000</v>
      </c>
      <c r="J601" s="58" t="s">
        <v>107</v>
      </c>
      <c r="K601" s="61" t="s">
        <v>108</v>
      </c>
      <c r="L601" s="64">
        <v>45561.5636689815</v>
      </c>
      <c r="M601" s="64">
        <v>45608.730624999997</v>
      </c>
    </row>
    <row r="602" spans="1:13" s="38" customFormat="1" ht="14.4" customHeight="1" x14ac:dyDescent="0.25">
      <c r="A602" s="44">
        <v>601</v>
      </c>
      <c r="B602" s="45" t="s">
        <v>85</v>
      </c>
      <c r="C602" s="46" t="s">
        <v>268</v>
      </c>
      <c r="D602" s="38" t="s">
        <v>216</v>
      </c>
      <c r="E602" s="38" t="s">
        <v>127</v>
      </c>
      <c r="F602" s="64">
        <v>45646.618148148104</v>
      </c>
      <c r="G602" s="64">
        <v>45652.696296296301</v>
      </c>
      <c r="H602" s="59" t="s">
        <v>90</v>
      </c>
      <c r="I602" s="60">
        <v>12000</v>
      </c>
      <c r="J602" s="58" t="s">
        <v>107</v>
      </c>
      <c r="K602" s="61" t="s">
        <v>108</v>
      </c>
      <c r="L602" s="64">
        <v>45561.5636689815</v>
      </c>
      <c r="M602" s="64">
        <v>45608.730624999997</v>
      </c>
    </row>
    <row r="603" spans="1:13" s="38" customFormat="1" ht="14.4" customHeight="1" x14ac:dyDescent="0.25">
      <c r="A603" s="44">
        <v>602</v>
      </c>
      <c r="B603" s="45" t="s">
        <v>85</v>
      </c>
      <c r="C603" s="46" t="s">
        <v>268</v>
      </c>
      <c r="D603" s="38" t="s">
        <v>217</v>
      </c>
      <c r="E603" s="38" t="s">
        <v>127</v>
      </c>
      <c r="F603" s="64">
        <v>45646.618148148104</v>
      </c>
      <c r="G603" s="64">
        <v>45652.696296296301</v>
      </c>
      <c r="H603" s="59" t="s">
        <v>90</v>
      </c>
      <c r="I603" s="60">
        <v>12000</v>
      </c>
      <c r="J603" s="58" t="s">
        <v>107</v>
      </c>
      <c r="K603" s="61" t="s">
        <v>108</v>
      </c>
      <c r="L603" s="64">
        <v>45561.5636689815</v>
      </c>
      <c r="M603" s="64">
        <v>45608.730624999997</v>
      </c>
    </row>
    <row r="604" spans="1:13" s="38" customFormat="1" ht="14.4" customHeight="1" x14ac:dyDescent="0.25">
      <c r="A604" s="44">
        <v>603</v>
      </c>
      <c r="B604" s="45" t="s">
        <v>85</v>
      </c>
      <c r="C604" s="46" t="s">
        <v>268</v>
      </c>
      <c r="D604" s="38" t="s">
        <v>218</v>
      </c>
      <c r="E604" s="38" t="s">
        <v>127</v>
      </c>
      <c r="F604" s="64">
        <v>45646.618148148104</v>
      </c>
      <c r="G604" s="64">
        <v>45652.696296296301</v>
      </c>
      <c r="H604" s="59" t="s">
        <v>90</v>
      </c>
      <c r="I604" s="60">
        <v>12000</v>
      </c>
      <c r="J604" s="58" t="s">
        <v>107</v>
      </c>
      <c r="K604" s="61" t="s">
        <v>108</v>
      </c>
      <c r="L604" s="64">
        <v>45561.5636689815</v>
      </c>
      <c r="M604" s="64">
        <v>45608.730624999997</v>
      </c>
    </row>
    <row r="605" spans="1:13" s="38" customFormat="1" ht="14.4" customHeight="1" x14ac:dyDescent="0.25">
      <c r="A605" s="44">
        <v>604</v>
      </c>
      <c r="B605" s="45" t="s">
        <v>85</v>
      </c>
      <c r="C605" s="46" t="s">
        <v>268</v>
      </c>
      <c r="D605" s="38" t="s">
        <v>219</v>
      </c>
      <c r="E605" s="38" t="s">
        <v>127</v>
      </c>
      <c r="F605" s="64">
        <v>45646.618148148104</v>
      </c>
      <c r="G605" s="64">
        <v>45652.696296296301</v>
      </c>
      <c r="H605" s="59" t="s">
        <v>90</v>
      </c>
      <c r="I605" s="60">
        <v>12000</v>
      </c>
      <c r="J605" s="58" t="s">
        <v>107</v>
      </c>
      <c r="K605" s="61" t="s">
        <v>108</v>
      </c>
      <c r="L605" s="64">
        <v>45561.5636689815</v>
      </c>
      <c r="M605" s="64">
        <v>45608.730624999997</v>
      </c>
    </row>
    <row r="606" spans="1:13" s="38" customFormat="1" ht="14.4" customHeight="1" x14ac:dyDescent="0.25">
      <c r="A606" s="44">
        <v>605</v>
      </c>
      <c r="B606" s="45" t="s">
        <v>85</v>
      </c>
      <c r="C606" s="46" t="s">
        <v>268</v>
      </c>
      <c r="D606" s="38" t="s">
        <v>220</v>
      </c>
      <c r="E606" s="38" t="s">
        <v>127</v>
      </c>
      <c r="F606" s="64">
        <v>45646.618148148104</v>
      </c>
      <c r="G606" s="64">
        <v>45652.696296296301</v>
      </c>
      <c r="H606" s="59" t="s">
        <v>90</v>
      </c>
      <c r="I606" s="60">
        <v>12000</v>
      </c>
      <c r="J606" s="58" t="s">
        <v>107</v>
      </c>
      <c r="K606" s="61" t="s">
        <v>108</v>
      </c>
      <c r="L606" s="64">
        <v>45561.5636689815</v>
      </c>
      <c r="M606" s="64">
        <v>45608.730624999997</v>
      </c>
    </row>
    <row r="607" spans="1:13" s="38" customFormat="1" ht="14.4" customHeight="1" x14ac:dyDescent="0.25">
      <c r="A607" s="44">
        <v>606</v>
      </c>
      <c r="B607" s="45" t="s">
        <v>85</v>
      </c>
      <c r="C607" s="46" t="s">
        <v>268</v>
      </c>
      <c r="D607" s="38" t="s">
        <v>221</v>
      </c>
      <c r="E607" s="38" t="s">
        <v>127</v>
      </c>
      <c r="F607" s="64">
        <v>45646.618148148104</v>
      </c>
      <c r="G607" s="64">
        <v>45652.696296296301</v>
      </c>
      <c r="H607" s="59" t="s">
        <v>90</v>
      </c>
      <c r="I607" s="60">
        <v>12000</v>
      </c>
      <c r="J607" s="58" t="s">
        <v>107</v>
      </c>
      <c r="K607" s="61" t="s">
        <v>108</v>
      </c>
      <c r="L607" s="64">
        <v>45561.5636689815</v>
      </c>
      <c r="M607" s="64">
        <v>45608.730624999997</v>
      </c>
    </row>
    <row r="608" spans="1:13" s="38" customFormat="1" ht="14.4" customHeight="1" x14ac:dyDescent="0.25">
      <c r="A608" s="44">
        <v>607</v>
      </c>
      <c r="B608" s="45" t="s">
        <v>85</v>
      </c>
      <c r="C608" s="46" t="s">
        <v>268</v>
      </c>
      <c r="D608" s="38" t="s">
        <v>222</v>
      </c>
      <c r="E608" s="61"/>
      <c r="H608" s="59" t="s">
        <v>90</v>
      </c>
      <c r="I608" s="60">
        <v>12000</v>
      </c>
      <c r="K608" s="62"/>
      <c r="L608" s="63"/>
      <c r="M608" s="57"/>
    </row>
    <row r="609" spans="1:13" s="38" customFormat="1" ht="14.4" customHeight="1" x14ac:dyDescent="0.25">
      <c r="A609" s="44">
        <v>608</v>
      </c>
      <c r="B609" s="45" t="s">
        <v>85</v>
      </c>
      <c r="C609" s="46" t="s">
        <v>268</v>
      </c>
      <c r="D609" s="38" t="s">
        <v>223</v>
      </c>
      <c r="E609" s="61"/>
      <c r="H609" s="59" t="s">
        <v>90</v>
      </c>
      <c r="I609" s="60">
        <v>12000</v>
      </c>
      <c r="K609" s="62"/>
      <c r="L609" s="63"/>
      <c r="M609" s="57"/>
    </row>
    <row r="610" spans="1:13" s="38" customFormat="1" ht="14.4" customHeight="1" x14ac:dyDescent="0.25">
      <c r="A610" s="44">
        <v>609</v>
      </c>
      <c r="B610" s="45" t="s">
        <v>85</v>
      </c>
      <c r="C610" s="46" t="s">
        <v>268</v>
      </c>
      <c r="D610" s="38" t="s">
        <v>224</v>
      </c>
      <c r="E610" s="61"/>
      <c r="H610" s="59" t="s">
        <v>90</v>
      </c>
      <c r="I610" s="60">
        <v>12000</v>
      </c>
      <c r="K610" s="62"/>
      <c r="L610" s="63"/>
      <c r="M610" s="57"/>
    </row>
    <row r="611" spans="1:13" s="38" customFormat="1" ht="14.4" customHeight="1" x14ac:dyDescent="0.25">
      <c r="A611" s="44">
        <v>610</v>
      </c>
      <c r="B611" s="45" t="s">
        <v>85</v>
      </c>
      <c r="C611" s="46" t="s">
        <v>268</v>
      </c>
      <c r="D611" s="38" t="s">
        <v>225</v>
      </c>
      <c r="E611" s="61"/>
      <c r="H611" s="59" t="s">
        <v>90</v>
      </c>
      <c r="I611" s="60">
        <v>12000</v>
      </c>
      <c r="K611" s="62"/>
      <c r="L611" s="63"/>
      <c r="M611" s="57"/>
    </row>
    <row r="612" spans="1:13" s="38" customFormat="1" ht="14.4" customHeight="1" x14ac:dyDescent="0.25">
      <c r="A612" s="44">
        <v>611</v>
      </c>
      <c r="B612" s="45" t="s">
        <v>85</v>
      </c>
      <c r="C612" s="46" t="s">
        <v>268</v>
      </c>
      <c r="D612" s="38" t="s">
        <v>226</v>
      </c>
      <c r="E612" s="61"/>
      <c r="H612" s="59" t="s">
        <v>90</v>
      </c>
      <c r="I612" s="60">
        <v>12000</v>
      </c>
      <c r="K612" s="62"/>
      <c r="L612" s="63"/>
      <c r="M612" s="57"/>
    </row>
    <row r="613" spans="1:13" s="38" customFormat="1" ht="14.4" customHeight="1" x14ac:dyDescent="0.25">
      <c r="A613" s="44">
        <v>612</v>
      </c>
      <c r="B613" s="45" t="s">
        <v>85</v>
      </c>
      <c r="C613" s="46" t="s">
        <v>268</v>
      </c>
      <c r="D613" s="38" t="s">
        <v>227</v>
      </c>
      <c r="E613" s="61"/>
      <c r="H613" s="59" t="s">
        <v>90</v>
      </c>
      <c r="I613" s="60">
        <v>12000</v>
      </c>
      <c r="K613" s="62"/>
      <c r="L613" s="63"/>
      <c r="M613" s="57"/>
    </row>
    <row r="614" spans="1:13" s="38" customFormat="1" ht="14.4" customHeight="1" x14ac:dyDescent="0.25">
      <c r="A614" s="44">
        <v>613</v>
      </c>
      <c r="B614" s="45" t="s">
        <v>85</v>
      </c>
      <c r="C614" s="46" t="s">
        <v>268</v>
      </c>
      <c r="D614" s="38" t="s">
        <v>228</v>
      </c>
      <c r="E614" s="61"/>
      <c r="H614" s="59" t="s">
        <v>90</v>
      </c>
      <c r="I614" s="60">
        <v>12000</v>
      </c>
      <c r="K614" s="62"/>
      <c r="L614" s="63"/>
      <c r="M614" s="57"/>
    </row>
    <row r="615" spans="1:13" s="38" customFormat="1" ht="14.4" customHeight="1" x14ac:dyDescent="0.25">
      <c r="A615" s="44">
        <v>614</v>
      </c>
      <c r="B615" s="45" t="s">
        <v>85</v>
      </c>
      <c r="C615" s="46" t="s">
        <v>268</v>
      </c>
      <c r="D615" s="38" t="s">
        <v>229</v>
      </c>
      <c r="E615" s="61"/>
      <c r="H615" s="59" t="s">
        <v>90</v>
      </c>
      <c r="I615" s="60">
        <v>12000</v>
      </c>
      <c r="K615" s="62"/>
      <c r="L615" s="63"/>
      <c r="M615" s="57"/>
    </row>
    <row r="616" spans="1:13" s="38" customFormat="1" ht="14.4" customHeight="1" x14ac:dyDescent="0.25">
      <c r="A616" s="44">
        <v>615</v>
      </c>
      <c r="B616" s="45" t="s">
        <v>85</v>
      </c>
      <c r="C616" s="46" t="s">
        <v>268</v>
      </c>
      <c r="D616" s="38" t="s">
        <v>230</v>
      </c>
      <c r="E616" s="61"/>
      <c r="H616" s="54" t="s">
        <v>88</v>
      </c>
      <c r="I616" s="55">
        <v>16000</v>
      </c>
      <c r="K616" s="62"/>
      <c r="L616" s="63"/>
      <c r="M616" s="57"/>
    </row>
    <row r="617" spans="1:13" s="38" customFormat="1" ht="14.4" customHeight="1" x14ac:dyDescent="0.25">
      <c r="A617" s="44">
        <v>616</v>
      </c>
      <c r="B617" s="45" t="s">
        <v>85</v>
      </c>
      <c r="C617" s="46" t="s">
        <v>268</v>
      </c>
      <c r="D617" s="38" t="s">
        <v>231</v>
      </c>
      <c r="E617" s="38" t="s">
        <v>127</v>
      </c>
      <c r="F617" s="64">
        <v>45646.618148148104</v>
      </c>
      <c r="G617" s="64">
        <v>45652.696296296301</v>
      </c>
      <c r="H617" s="59" t="s">
        <v>90</v>
      </c>
      <c r="I617" s="60">
        <v>12000</v>
      </c>
      <c r="J617" s="58" t="s">
        <v>107</v>
      </c>
      <c r="K617" s="61" t="s">
        <v>108</v>
      </c>
      <c r="L617" s="64">
        <v>45561.5636689815</v>
      </c>
      <c r="M617" s="64">
        <v>45608.730624999997</v>
      </c>
    </row>
    <row r="618" spans="1:13" s="38" customFormat="1" ht="14.4" customHeight="1" x14ac:dyDescent="0.25">
      <c r="A618" s="44">
        <v>617</v>
      </c>
      <c r="B618" s="45" t="s">
        <v>85</v>
      </c>
      <c r="C618" s="46" t="s">
        <v>268</v>
      </c>
      <c r="D618" s="38" t="s">
        <v>232</v>
      </c>
      <c r="E618" s="38" t="s">
        <v>127</v>
      </c>
      <c r="F618" s="64">
        <v>45646.618148148104</v>
      </c>
      <c r="G618" s="64">
        <v>45652.696296296301</v>
      </c>
      <c r="H618" s="59" t="s">
        <v>90</v>
      </c>
      <c r="I618" s="60">
        <v>12000</v>
      </c>
      <c r="J618" s="58" t="s">
        <v>107</v>
      </c>
      <c r="K618" s="61" t="s">
        <v>108</v>
      </c>
      <c r="L618" s="64">
        <v>45561.5636689815</v>
      </c>
      <c r="M618" s="64">
        <v>45608.730624999997</v>
      </c>
    </row>
    <row r="619" spans="1:13" s="38" customFormat="1" ht="14.4" customHeight="1" x14ac:dyDescent="0.25">
      <c r="A619" s="44">
        <v>618</v>
      </c>
      <c r="B619" s="45" t="s">
        <v>85</v>
      </c>
      <c r="C619" s="46" t="s">
        <v>268</v>
      </c>
      <c r="D619" s="38" t="s">
        <v>233</v>
      </c>
      <c r="E619" s="38" t="s">
        <v>127</v>
      </c>
      <c r="F619" s="64">
        <v>45646.618148148104</v>
      </c>
      <c r="G619" s="64">
        <v>45652.696296296301</v>
      </c>
      <c r="H619" s="59" t="s">
        <v>90</v>
      </c>
      <c r="I619" s="60">
        <v>12000</v>
      </c>
      <c r="J619" s="58" t="s">
        <v>107</v>
      </c>
      <c r="K619" s="61" t="s">
        <v>108</v>
      </c>
      <c r="L619" s="64">
        <v>45561.5636689815</v>
      </c>
      <c r="M619" s="64">
        <v>45608.730624999997</v>
      </c>
    </row>
    <row r="620" spans="1:13" s="38" customFormat="1" ht="14.4" customHeight="1" x14ac:dyDescent="0.25">
      <c r="A620" s="44">
        <v>619</v>
      </c>
      <c r="B620" s="45" t="s">
        <v>85</v>
      </c>
      <c r="C620" s="46" t="s">
        <v>268</v>
      </c>
      <c r="D620" s="38" t="s">
        <v>234</v>
      </c>
      <c r="E620" s="38" t="s">
        <v>127</v>
      </c>
      <c r="F620" s="64">
        <v>45646.618148148104</v>
      </c>
      <c r="G620" s="64">
        <v>45652.696296296301</v>
      </c>
      <c r="H620" s="59" t="s">
        <v>90</v>
      </c>
      <c r="I620" s="60">
        <v>12000</v>
      </c>
      <c r="J620" s="58" t="s">
        <v>107</v>
      </c>
      <c r="K620" s="61" t="s">
        <v>108</v>
      </c>
      <c r="L620" s="64">
        <v>45561.5636689815</v>
      </c>
      <c r="M620" s="64">
        <v>45608.730624999997</v>
      </c>
    </row>
    <row r="621" spans="1:13" s="38" customFormat="1" ht="14.4" customHeight="1" x14ac:dyDescent="0.25">
      <c r="A621" s="44">
        <v>620</v>
      </c>
      <c r="B621" s="45" t="s">
        <v>85</v>
      </c>
      <c r="C621" s="46" t="s">
        <v>268</v>
      </c>
      <c r="D621" s="38" t="s">
        <v>235</v>
      </c>
      <c r="E621" s="61"/>
      <c r="H621" s="59" t="s">
        <v>90</v>
      </c>
      <c r="I621" s="60">
        <v>12000</v>
      </c>
      <c r="K621" s="62"/>
      <c r="L621" s="63"/>
      <c r="M621" s="57"/>
    </row>
    <row r="622" spans="1:13" s="38" customFormat="1" ht="14.4" customHeight="1" x14ac:dyDescent="0.25">
      <c r="A622" s="44">
        <v>621</v>
      </c>
      <c r="B622" s="45" t="s">
        <v>85</v>
      </c>
      <c r="C622" s="46" t="s">
        <v>268</v>
      </c>
      <c r="D622" s="38" t="s">
        <v>236</v>
      </c>
      <c r="E622" s="38" t="s">
        <v>127</v>
      </c>
      <c r="F622" s="64">
        <v>45646.618148148104</v>
      </c>
      <c r="G622" s="64">
        <v>45652.696296296301</v>
      </c>
      <c r="H622" s="59" t="s">
        <v>90</v>
      </c>
      <c r="I622" s="60">
        <v>12000</v>
      </c>
      <c r="J622" s="58" t="s">
        <v>107</v>
      </c>
      <c r="K622" s="61" t="s">
        <v>108</v>
      </c>
      <c r="L622" s="64">
        <v>45561.5636689815</v>
      </c>
      <c r="M622" s="64">
        <v>45608.730624999997</v>
      </c>
    </row>
    <row r="623" spans="1:13" s="38" customFormat="1" ht="14.4" customHeight="1" x14ac:dyDescent="0.25">
      <c r="A623" s="44">
        <v>622</v>
      </c>
      <c r="B623" s="45" t="s">
        <v>85</v>
      </c>
      <c r="C623" s="46" t="s">
        <v>268</v>
      </c>
      <c r="D623" s="38" t="s">
        <v>237</v>
      </c>
      <c r="E623" s="38" t="s">
        <v>127</v>
      </c>
      <c r="F623" s="64">
        <v>45646.618148148104</v>
      </c>
      <c r="G623" s="64">
        <v>45652.696296296301</v>
      </c>
      <c r="H623" s="59" t="s">
        <v>90</v>
      </c>
      <c r="I623" s="60">
        <v>12000</v>
      </c>
      <c r="J623" s="58" t="s">
        <v>107</v>
      </c>
      <c r="K623" s="61" t="s">
        <v>108</v>
      </c>
      <c r="L623" s="64">
        <v>45561.5636689815</v>
      </c>
      <c r="M623" s="64">
        <v>45608.730624999997</v>
      </c>
    </row>
    <row r="624" spans="1:13" s="38" customFormat="1" ht="14.4" customHeight="1" x14ac:dyDescent="0.25">
      <c r="A624" s="44">
        <v>623</v>
      </c>
      <c r="B624" s="45" t="s">
        <v>85</v>
      </c>
      <c r="C624" s="46" t="s">
        <v>268</v>
      </c>
      <c r="D624" s="38" t="s">
        <v>238</v>
      </c>
      <c r="E624" s="38" t="s">
        <v>127</v>
      </c>
      <c r="F624" s="64">
        <v>45646.618148148104</v>
      </c>
      <c r="G624" s="64">
        <v>45652.696296296301</v>
      </c>
      <c r="H624" s="59" t="s">
        <v>90</v>
      </c>
      <c r="I624" s="60">
        <v>12000</v>
      </c>
      <c r="J624" s="58" t="s">
        <v>107</v>
      </c>
      <c r="K624" s="61" t="s">
        <v>108</v>
      </c>
      <c r="L624" s="64">
        <v>45561.5636689815</v>
      </c>
      <c r="M624" s="64">
        <v>45608.730624999997</v>
      </c>
    </row>
    <row r="625" spans="1:13" s="38" customFormat="1" ht="14.4" customHeight="1" x14ac:dyDescent="0.25">
      <c r="A625" s="44">
        <v>624</v>
      </c>
      <c r="B625" s="45" t="s">
        <v>85</v>
      </c>
      <c r="C625" s="46" t="s">
        <v>268</v>
      </c>
      <c r="D625" s="38" t="s">
        <v>239</v>
      </c>
      <c r="E625" s="38" t="s">
        <v>127</v>
      </c>
      <c r="F625" s="64">
        <v>45646.618148148104</v>
      </c>
      <c r="G625" s="64">
        <v>45652.696296296301</v>
      </c>
      <c r="H625" s="59" t="s">
        <v>90</v>
      </c>
      <c r="I625" s="60">
        <v>12000</v>
      </c>
      <c r="J625" s="58" t="s">
        <v>107</v>
      </c>
      <c r="K625" s="61" t="s">
        <v>108</v>
      </c>
      <c r="L625" s="64">
        <v>45561.5636689815</v>
      </c>
      <c r="M625" s="64">
        <v>45608.730624999997</v>
      </c>
    </row>
    <row r="626" spans="1:13" s="38" customFormat="1" ht="14.4" customHeight="1" x14ac:dyDescent="0.25">
      <c r="A626" s="44">
        <v>625</v>
      </c>
      <c r="B626" s="45" t="s">
        <v>85</v>
      </c>
      <c r="C626" s="46" t="s">
        <v>268</v>
      </c>
      <c r="D626" s="38" t="s">
        <v>240</v>
      </c>
      <c r="E626" s="61"/>
      <c r="H626" s="59" t="s">
        <v>90</v>
      </c>
      <c r="I626" s="60">
        <v>12000</v>
      </c>
      <c r="K626" s="62"/>
      <c r="L626" s="63"/>
      <c r="M626" s="57"/>
    </row>
    <row r="627" spans="1:13" s="38" customFormat="1" ht="14.4" customHeight="1" x14ac:dyDescent="0.25">
      <c r="A627" s="44">
        <v>626</v>
      </c>
      <c r="B627" s="45" t="s">
        <v>85</v>
      </c>
      <c r="C627" s="46" t="s">
        <v>268</v>
      </c>
      <c r="D627" s="38" t="s">
        <v>241</v>
      </c>
      <c r="E627" s="61"/>
      <c r="H627" s="59" t="s">
        <v>90</v>
      </c>
      <c r="I627" s="60">
        <v>12000</v>
      </c>
      <c r="K627" s="62"/>
      <c r="L627" s="63"/>
      <c r="M627" s="57"/>
    </row>
    <row r="628" spans="1:13" s="38" customFormat="1" ht="14.4" customHeight="1" x14ac:dyDescent="0.25">
      <c r="A628" s="44">
        <v>627</v>
      </c>
      <c r="B628" s="45" t="s">
        <v>85</v>
      </c>
      <c r="C628" s="46" t="s">
        <v>268</v>
      </c>
      <c r="D628" s="38" t="s">
        <v>242</v>
      </c>
      <c r="E628" s="61"/>
      <c r="H628" s="59" t="s">
        <v>90</v>
      </c>
      <c r="I628" s="60">
        <v>12000</v>
      </c>
      <c r="K628" s="62"/>
      <c r="L628" s="63"/>
      <c r="M628" s="57"/>
    </row>
    <row r="629" spans="1:13" s="38" customFormat="1" ht="14.4" customHeight="1" x14ac:dyDescent="0.25">
      <c r="A629" s="44">
        <v>628</v>
      </c>
      <c r="B629" s="45" t="s">
        <v>85</v>
      </c>
      <c r="C629" s="46" t="s">
        <v>268</v>
      </c>
      <c r="D629" s="38" t="s">
        <v>243</v>
      </c>
      <c r="E629" s="61"/>
      <c r="H629" s="59" t="s">
        <v>90</v>
      </c>
      <c r="I629" s="60">
        <v>12000</v>
      </c>
      <c r="K629" s="62"/>
      <c r="L629" s="63"/>
      <c r="M629" s="57"/>
    </row>
    <row r="630" spans="1:13" s="38" customFormat="1" ht="14.4" customHeight="1" x14ac:dyDescent="0.25">
      <c r="A630" s="44">
        <v>629</v>
      </c>
      <c r="B630" s="45" t="s">
        <v>85</v>
      </c>
      <c r="C630" s="46" t="s">
        <v>268</v>
      </c>
      <c r="D630" s="38" t="s">
        <v>244</v>
      </c>
      <c r="E630" s="61"/>
      <c r="H630" s="59" t="s">
        <v>90</v>
      </c>
      <c r="I630" s="60">
        <v>12000</v>
      </c>
      <c r="K630" s="62"/>
      <c r="L630" s="63"/>
      <c r="M630" s="57"/>
    </row>
    <row r="631" spans="1:13" s="38" customFormat="1" ht="14.4" customHeight="1" x14ac:dyDescent="0.25">
      <c r="A631" s="44">
        <v>630</v>
      </c>
      <c r="B631" s="45" t="s">
        <v>85</v>
      </c>
      <c r="C631" s="46" t="s">
        <v>268</v>
      </c>
      <c r="D631" s="38" t="s">
        <v>245</v>
      </c>
      <c r="E631" s="61"/>
      <c r="H631" s="59" t="s">
        <v>90</v>
      </c>
      <c r="I631" s="60">
        <v>12000</v>
      </c>
      <c r="K631" s="62"/>
      <c r="L631" s="63"/>
      <c r="M631" s="57"/>
    </row>
    <row r="632" spans="1:13" s="38" customFormat="1" ht="14.4" customHeight="1" x14ac:dyDescent="0.25">
      <c r="A632" s="44">
        <v>631</v>
      </c>
      <c r="B632" s="45" t="s">
        <v>85</v>
      </c>
      <c r="C632" s="46" t="s">
        <v>268</v>
      </c>
      <c r="D632" s="38" t="s">
        <v>246</v>
      </c>
      <c r="E632" s="61"/>
      <c r="H632" s="54" t="s">
        <v>88</v>
      </c>
      <c r="I632" s="55">
        <v>16000</v>
      </c>
      <c r="K632" s="62"/>
      <c r="L632" s="63"/>
      <c r="M632" s="57"/>
    </row>
    <row r="633" spans="1:13" s="38" customFormat="1" ht="14.4" customHeight="1" x14ac:dyDescent="0.25">
      <c r="A633" s="44">
        <v>632</v>
      </c>
      <c r="B633" s="45" t="s">
        <v>85</v>
      </c>
      <c r="C633" s="46" t="s">
        <v>268</v>
      </c>
      <c r="D633" s="38" t="s">
        <v>247</v>
      </c>
      <c r="E633" s="38" t="s">
        <v>127</v>
      </c>
      <c r="F633" s="64">
        <v>45646.618148148104</v>
      </c>
      <c r="G633" s="64">
        <v>45652.696296296301</v>
      </c>
      <c r="H633" s="59" t="s">
        <v>90</v>
      </c>
      <c r="I633" s="60">
        <v>12000</v>
      </c>
      <c r="J633" s="58" t="s">
        <v>107</v>
      </c>
      <c r="K633" s="61" t="s">
        <v>108</v>
      </c>
      <c r="L633" s="64">
        <v>45561.5636689815</v>
      </c>
      <c r="M633" s="64">
        <v>45608.730624999997</v>
      </c>
    </row>
    <row r="634" spans="1:13" s="38" customFormat="1" ht="14.4" customHeight="1" x14ac:dyDescent="0.25">
      <c r="A634" s="44">
        <v>633</v>
      </c>
      <c r="B634" s="45" t="s">
        <v>85</v>
      </c>
      <c r="C634" s="46" t="s">
        <v>268</v>
      </c>
      <c r="D634" s="38" t="s">
        <v>248</v>
      </c>
      <c r="E634" s="38" t="s">
        <v>127</v>
      </c>
      <c r="F634" s="64">
        <v>45646.618148148104</v>
      </c>
      <c r="G634" s="64">
        <v>45652.696296296301</v>
      </c>
      <c r="H634" s="59" t="s">
        <v>90</v>
      </c>
      <c r="I634" s="60">
        <v>12000</v>
      </c>
      <c r="J634" s="58" t="s">
        <v>107</v>
      </c>
      <c r="K634" s="61" t="s">
        <v>108</v>
      </c>
      <c r="L634" s="64">
        <v>45561.5636689815</v>
      </c>
      <c r="M634" s="64">
        <v>45608.730624999997</v>
      </c>
    </row>
    <row r="635" spans="1:13" s="38" customFormat="1" ht="14.4" customHeight="1" x14ac:dyDescent="0.25">
      <c r="A635" s="44">
        <v>634</v>
      </c>
      <c r="B635" s="45" t="s">
        <v>85</v>
      </c>
      <c r="C635" s="46" t="s">
        <v>268</v>
      </c>
      <c r="D635" s="38" t="s">
        <v>249</v>
      </c>
      <c r="E635" s="38" t="s">
        <v>127</v>
      </c>
      <c r="F635" s="64">
        <v>45646.618148148104</v>
      </c>
      <c r="G635" s="64">
        <v>45652.696296296301</v>
      </c>
      <c r="H635" s="59" t="s">
        <v>90</v>
      </c>
      <c r="I635" s="60">
        <v>12000</v>
      </c>
      <c r="J635" s="58" t="s">
        <v>107</v>
      </c>
      <c r="K635" s="61" t="s">
        <v>108</v>
      </c>
      <c r="L635" s="64">
        <v>45561.5636689815</v>
      </c>
      <c r="M635" s="64">
        <v>45608.730624999997</v>
      </c>
    </row>
    <row r="636" spans="1:13" s="38" customFormat="1" ht="14.4" customHeight="1" x14ac:dyDescent="0.25">
      <c r="A636" s="44">
        <v>635</v>
      </c>
      <c r="B636" s="45" t="s">
        <v>85</v>
      </c>
      <c r="C636" s="46" t="s">
        <v>268</v>
      </c>
      <c r="D636" s="38" t="s">
        <v>250</v>
      </c>
      <c r="E636" s="38" t="s">
        <v>127</v>
      </c>
      <c r="F636" s="64">
        <v>45646.618148148104</v>
      </c>
      <c r="G636" s="64">
        <v>45652.696296296301</v>
      </c>
      <c r="H636" s="59" t="s">
        <v>90</v>
      </c>
      <c r="I636" s="60">
        <v>12000</v>
      </c>
      <c r="J636" s="58" t="s">
        <v>107</v>
      </c>
      <c r="K636" s="61" t="s">
        <v>108</v>
      </c>
      <c r="L636" s="64">
        <v>45561.5636689815</v>
      </c>
      <c r="M636" s="64">
        <v>45608.730624999997</v>
      </c>
    </row>
    <row r="637" spans="1:13" s="38" customFormat="1" ht="14.4" customHeight="1" x14ac:dyDescent="0.25">
      <c r="A637" s="44">
        <v>636</v>
      </c>
      <c r="B637" s="45" t="s">
        <v>85</v>
      </c>
      <c r="C637" s="46" t="s">
        <v>268</v>
      </c>
      <c r="D637" s="38" t="s">
        <v>251</v>
      </c>
      <c r="E637" s="38" t="s">
        <v>127</v>
      </c>
      <c r="F637" s="64">
        <v>45646.618148148104</v>
      </c>
      <c r="G637" s="64">
        <v>45652.696296296301</v>
      </c>
      <c r="H637" s="59" t="s">
        <v>90</v>
      </c>
      <c r="I637" s="60">
        <v>12000</v>
      </c>
      <c r="J637" s="58" t="s">
        <v>107</v>
      </c>
      <c r="K637" s="61" t="s">
        <v>108</v>
      </c>
      <c r="L637" s="64">
        <v>45561.5636689815</v>
      </c>
      <c r="M637" s="64">
        <v>45608.730624999997</v>
      </c>
    </row>
    <row r="638" spans="1:13" s="38" customFormat="1" ht="14.4" customHeight="1" x14ac:dyDescent="0.25">
      <c r="A638" s="44">
        <v>637</v>
      </c>
      <c r="B638" s="45" t="s">
        <v>85</v>
      </c>
      <c r="C638" s="46" t="s">
        <v>268</v>
      </c>
      <c r="D638" s="38" t="s">
        <v>252</v>
      </c>
      <c r="E638" s="38" t="s">
        <v>127</v>
      </c>
      <c r="F638" s="64">
        <v>45646.618148148104</v>
      </c>
      <c r="G638" s="64">
        <v>45652.696296296301</v>
      </c>
      <c r="H638" s="59" t="s">
        <v>90</v>
      </c>
      <c r="I638" s="60">
        <v>12000</v>
      </c>
      <c r="J638" s="58" t="s">
        <v>107</v>
      </c>
      <c r="K638" s="61" t="s">
        <v>108</v>
      </c>
      <c r="L638" s="64">
        <v>45561.5636689815</v>
      </c>
      <c r="M638" s="64">
        <v>45608.730624999997</v>
      </c>
    </row>
    <row r="639" spans="1:13" s="38" customFormat="1" ht="14.4" customHeight="1" x14ac:dyDescent="0.25">
      <c r="A639" s="44">
        <v>638</v>
      </c>
      <c r="B639" s="45" t="s">
        <v>85</v>
      </c>
      <c r="C639" s="46" t="s">
        <v>268</v>
      </c>
      <c r="D639" s="38" t="s">
        <v>253</v>
      </c>
      <c r="E639" s="38" t="s">
        <v>127</v>
      </c>
      <c r="F639" s="64">
        <v>45646.618148148104</v>
      </c>
      <c r="G639" s="64">
        <v>45652.696296296301</v>
      </c>
      <c r="H639" s="59" t="s">
        <v>90</v>
      </c>
      <c r="I639" s="60">
        <v>12000</v>
      </c>
      <c r="J639" s="58" t="s">
        <v>107</v>
      </c>
      <c r="K639" s="61" t="s">
        <v>108</v>
      </c>
      <c r="L639" s="64">
        <v>45561.5636689815</v>
      </c>
      <c r="M639" s="64">
        <v>45608.730624999997</v>
      </c>
    </row>
    <row r="640" spans="1:13" s="38" customFormat="1" ht="14.4" customHeight="1" x14ac:dyDescent="0.25">
      <c r="A640" s="44">
        <v>639</v>
      </c>
      <c r="B640" s="45" t="s">
        <v>85</v>
      </c>
      <c r="C640" s="46" t="s">
        <v>268</v>
      </c>
      <c r="D640" s="38" t="s">
        <v>254</v>
      </c>
      <c r="E640" s="38" t="s">
        <v>127</v>
      </c>
      <c r="F640" s="64">
        <v>45646.618148148104</v>
      </c>
      <c r="G640" s="64">
        <v>45652.696296296301</v>
      </c>
      <c r="H640" s="59" t="s">
        <v>90</v>
      </c>
      <c r="I640" s="60">
        <v>12000</v>
      </c>
      <c r="J640" s="58" t="s">
        <v>107</v>
      </c>
      <c r="K640" s="61" t="s">
        <v>108</v>
      </c>
      <c r="L640" s="64">
        <v>45561.5636689815</v>
      </c>
      <c r="M640" s="64">
        <v>45608.730624999997</v>
      </c>
    </row>
    <row r="641" spans="1:19" s="38" customFormat="1" ht="14.4" customHeight="1" x14ac:dyDescent="0.25">
      <c r="A641" s="44">
        <v>640</v>
      </c>
      <c r="B641" s="45" t="s">
        <v>85</v>
      </c>
      <c r="C641" s="46" t="s">
        <v>268</v>
      </c>
      <c r="D641" s="38" t="s">
        <v>255</v>
      </c>
      <c r="E641" s="38" t="s">
        <v>127</v>
      </c>
      <c r="F641" s="64">
        <v>45646.618148148104</v>
      </c>
      <c r="G641" s="64">
        <v>45652.696296296301</v>
      </c>
      <c r="H641" s="59" t="s">
        <v>90</v>
      </c>
      <c r="I641" s="60">
        <v>12000</v>
      </c>
      <c r="J641" s="58" t="s">
        <v>107</v>
      </c>
      <c r="K641" s="61" t="s">
        <v>108</v>
      </c>
      <c r="L641" s="64">
        <v>45561.5636689815</v>
      </c>
      <c r="M641" s="64">
        <v>45608.730624999997</v>
      </c>
    </row>
    <row r="642" spans="1:19" s="38" customFormat="1" ht="14.4" customHeight="1" x14ac:dyDescent="0.25">
      <c r="A642" s="44">
        <v>641</v>
      </c>
      <c r="B642" s="45" t="s">
        <v>85</v>
      </c>
      <c r="C642" s="46" t="s">
        <v>268</v>
      </c>
      <c r="D642" s="38" t="s">
        <v>256</v>
      </c>
      <c r="E642" s="61"/>
      <c r="H642" s="59" t="s">
        <v>90</v>
      </c>
      <c r="I642" s="60">
        <v>12000</v>
      </c>
      <c r="K642" s="62"/>
      <c r="L642" s="63"/>
      <c r="M642" s="57"/>
    </row>
    <row r="643" spans="1:19" s="38" customFormat="1" ht="14.4" customHeight="1" x14ac:dyDescent="0.25">
      <c r="A643" s="44">
        <v>642</v>
      </c>
      <c r="B643" s="45" t="s">
        <v>85</v>
      </c>
      <c r="C643" s="46" t="s">
        <v>268</v>
      </c>
      <c r="D643" s="38" t="s">
        <v>257</v>
      </c>
      <c r="E643" s="61"/>
      <c r="H643" s="59" t="s">
        <v>90</v>
      </c>
      <c r="I643" s="60">
        <v>12000</v>
      </c>
      <c r="K643" s="62"/>
      <c r="L643" s="63"/>
      <c r="M643" s="57"/>
    </row>
    <row r="644" spans="1:19" s="38" customFormat="1" ht="14.4" customHeight="1" x14ac:dyDescent="0.25">
      <c r="A644" s="44">
        <v>643</v>
      </c>
      <c r="B644" s="45" t="s">
        <v>85</v>
      </c>
      <c r="C644" s="46" t="s">
        <v>268</v>
      </c>
      <c r="D644" s="38" t="s">
        <v>258</v>
      </c>
      <c r="E644" s="61"/>
      <c r="H644" s="59" t="s">
        <v>90</v>
      </c>
      <c r="I644" s="60">
        <v>12000</v>
      </c>
      <c r="K644" s="62"/>
      <c r="L644" s="63"/>
      <c r="M644" s="57"/>
    </row>
    <row r="645" spans="1:19" s="38" customFormat="1" ht="14.4" customHeight="1" x14ac:dyDescent="0.25">
      <c r="A645" s="44">
        <v>644</v>
      </c>
      <c r="B645" s="45" t="s">
        <v>85</v>
      </c>
      <c r="C645" s="46" t="s">
        <v>268</v>
      </c>
      <c r="D645" s="38" t="s">
        <v>259</v>
      </c>
      <c r="E645" s="61"/>
      <c r="H645" s="59" t="s">
        <v>90</v>
      </c>
      <c r="I645" s="60">
        <v>12000</v>
      </c>
      <c r="K645" s="62"/>
      <c r="L645" s="63"/>
      <c r="M645" s="57"/>
    </row>
    <row r="646" spans="1:19" s="38" customFormat="1" ht="14.4" customHeight="1" x14ac:dyDescent="0.25">
      <c r="A646" s="44">
        <v>645</v>
      </c>
      <c r="B646" s="45" t="s">
        <v>85</v>
      </c>
      <c r="C646" s="46" t="s">
        <v>268</v>
      </c>
      <c r="D646" s="38" t="s">
        <v>260</v>
      </c>
      <c r="E646" s="61"/>
      <c r="H646" s="59" t="s">
        <v>90</v>
      </c>
      <c r="I646" s="60">
        <v>12000</v>
      </c>
      <c r="K646" s="62"/>
      <c r="L646" s="63"/>
      <c r="M646" s="57"/>
    </row>
    <row r="647" spans="1:19" s="38" customFormat="1" ht="14.4" customHeight="1" x14ac:dyDescent="0.25">
      <c r="A647" s="44">
        <v>646</v>
      </c>
      <c r="B647" s="45" t="s">
        <v>85</v>
      </c>
      <c r="C647" s="46" t="s">
        <v>268</v>
      </c>
      <c r="D647" s="38" t="s">
        <v>261</v>
      </c>
      <c r="E647" s="61"/>
      <c r="H647" s="59" t="s">
        <v>90</v>
      </c>
      <c r="I647" s="60">
        <v>12000</v>
      </c>
      <c r="K647" s="62"/>
      <c r="L647" s="63"/>
      <c r="M647" s="57"/>
    </row>
    <row r="648" spans="1:19" s="38" customFormat="1" ht="14.4" customHeight="1" x14ac:dyDescent="0.25">
      <c r="A648" s="44">
        <v>647</v>
      </c>
      <c r="B648" s="45" t="s">
        <v>85</v>
      </c>
      <c r="C648" s="46" t="s">
        <v>268</v>
      </c>
      <c r="D648" s="38" t="s">
        <v>262</v>
      </c>
      <c r="E648" s="61"/>
      <c r="H648" s="59" t="s">
        <v>90</v>
      </c>
      <c r="I648" s="60">
        <v>12000</v>
      </c>
      <c r="K648" s="62"/>
      <c r="L648" s="63"/>
      <c r="M648" s="57"/>
    </row>
    <row r="649" spans="1:19" s="38" customFormat="1" ht="14.4" customHeight="1" x14ac:dyDescent="0.25">
      <c r="A649" s="44">
        <v>648</v>
      </c>
      <c r="B649" s="45" t="s">
        <v>85</v>
      </c>
      <c r="C649" s="46" t="s">
        <v>268</v>
      </c>
      <c r="D649" s="38" t="s">
        <v>263</v>
      </c>
      <c r="E649" s="61"/>
      <c r="H649" s="59" t="s">
        <v>90</v>
      </c>
      <c r="I649" s="60">
        <v>12000</v>
      </c>
      <c r="K649" s="62"/>
      <c r="L649" s="63"/>
      <c r="M649" s="57"/>
    </row>
    <row r="650" spans="1:19" s="38" customFormat="1" ht="14.4" customHeight="1" x14ac:dyDescent="0.25">
      <c r="A650" s="44">
        <v>649</v>
      </c>
      <c r="B650" s="45" t="s">
        <v>85</v>
      </c>
      <c r="C650" s="66" t="s">
        <v>269</v>
      </c>
      <c r="D650" s="66" t="s">
        <v>87</v>
      </c>
      <c r="E650" s="67" t="s">
        <v>108</v>
      </c>
      <c r="F650" s="68">
        <v>46227.896990740701</v>
      </c>
      <c r="G650" s="68">
        <v>46237.628414351799</v>
      </c>
      <c r="H650" s="54" t="s">
        <v>88</v>
      </c>
      <c r="I650" s="55">
        <v>16000</v>
      </c>
      <c r="J650" s="58" t="s">
        <v>107</v>
      </c>
      <c r="K650" s="62"/>
      <c r="L650" s="63"/>
      <c r="M650" s="57"/>
    </row>
    <row r="651" spans="1:19" s="38" customFormat="1" x14ac:dyDescent="0.25">
      <c r="A651" s="44">
        <v>650</v>
      </c>
      <c r="B651" s="45" t="s">
        <v>85</v>
      </c>
      <c r="C651" s="66" t="s">
        <v>269</v>
      </c>
      <c r="D651" s="66" t="s">
        <v>89</v>
      </c>
      <c r="E651" s="67" t="s">
        <v>146</v>
      </c>
      <c r="F651" s="68">
        <v>46225.833657407398</v>
      </c>
      <c r="G651" s="68">
        <v>46224.833888888897</v>
      </c>
      <c r="H651" s="59" t="s">
        <v>90</v>
      </c>
      <c r="I651" s="60">
        <v>12000</v>
      </c>
      <c r="J651" s="58" t="s">
        <v>107</v>
      </c>
      <c r="K651" s="75" t="s">
        <v>265</v>
      </c>
      <c r="L651" s="76">
        <v>46221.736481481501</v>
      </c>
      <c r="M651" s="76">
        <v>46221.862152777801</v>
      </c>
    </row>
    <row r="652" spans="1:19" s="38" customFormat="1" x14ac:dyDescent="0.25">
      <c r="A652" s="44">
        <v>651</v>
      </c>
      <c r="B652" s="45" t="s">
        <v>85</v>
      </c>
      <c r="C652" s="66" t="s">
        <v>269</v>
      </c>
      <c r="D652" s="66" t="s">
        <v>91</v>
      </c>
      <c r="E652" s="67" t="s">
        <v>146</v>
      </c>
      <c r="F652" s="68">
        <v>46225.833657407398</v>
      </c>
      <c r="G652" s="68">
        <v>46224.833888888897</v>
      </c>
      <c r="H652" s="59" t="s">
        <v>90</v>
      </c>
      <c r="I652" s="60">
        <v>12000</v>
      </c>
      <c r="J652" s="58" t="s">
        <v>107</v>
      </c>
      <c r="K652" s="75" t="s">
        <v>265</v>
      </c>
      <c r="L652" s="76">
        <v>46221.7364930556</v>
      </c>
      <c r="M652" s="76">
        <v>46221.864050925898</v>
      </c>
    </row>
    <row r="653" spans="1:19" s="38" customFormat="1" ht="14.4" customHeight="1" x14ac:dyDescent="0.25">
      <c r="A653" s="44">
        <v>652</v>
      </c>
      <c r="B653" s="45" t="s">
        <v>85</v>
      </c>
      <c r="C653" s="66" t="s">
        <v>269</v>
      </c>
      <c r="D653" s="66" t="s">
        <v>92</v>
      </c>
      <c r="E653" s="67" t="s">
        <v>108</v>
      </c>
      <c r="F653" s="68">
        <v>46227.896990740701</v>
      </c>
      <c r="G653" s="68">
        <v>46237.628472222197</v>
      </c>
      <c r="H653" s="59" t="s">
        <v>90</v>
      </c>
      <c r="I653" s="60">
        <v>12000</v>
      </c>
      <c r="J653" s="58" t="s">
        <v>107</v>
      </c>
      <c r="K653" s="61" t="s">
        <v>108</v>
      </c>
      <c r="L653" s="64">
        <v>45610.729907407404</v>
      </c>
      <c r="M653" s="64">
        <v>45616.765138888899</v>
      </c>
      <c r="N653" s="38" t="s">
        <v>127</v>
      </c>
      <c r="O653" s="64">
        <v>45653.618136574099</v>
      </c>
      <c r="P653" s="64">
        <v>45656.681203703702</v>
      </c>
    </row>
    <row r="654" spans="1:19" s="38" customFormat="1" x14ac:dyDescent="0.25">
      <c r="A654" s="44">
        <v>653</v>
      </c>
      <c r="B654" s="45" t="s">
        <v>85</v>
      </c>
      <c r="C654" s="66" t="s">
        <v>269</v>
      </c>
      <c r="D654" s="66" t="s">
        <v>93</v>
      </c>
      <c r="E654" s="67" t="s">
        <v>146</v>
      </c>
      <c r="F654" s="68">
        <v>46225.833657407398</v>
      </c>
      <c r="G654" s="68">
        <v>46224.833888888897</v>
      </c>
      <c r="H654" s="59" t="s">
        <v>90</v>
      </c>
      <c r="I654" s="60">
        <v>12000</v>
      </c>
      <c r="J654" s="58" t="s">
        <v>107</v>
      </c>
      <c r="K654" s="61" t="s">
        <v>108</v>
      </c>
      <c r="L654" s="64">
        <v>45610.729907407404</v>
      </c>
      <c r="M654" s="64">
        <v>45616.765138888899</v>
      </c>
      <c r="N654" s="38" t="s">
        <v>127</v>
      </c>
      <c r="O654" s="64">
        <v>45653.618136574099</v>
      </c>
      <c r="P654" s="64">
        <v>45656.681203703702</v>
      </c>
      <c r="Q654" s="75" t="s">
        <v>265</v>
      </c>
      <c r="R654" s="76">
        <v>46221.736481481501</v>
      </c>
      <c r="S654" s="76">
        <v>46221.813460648104</v>
      </c>
    </row>
    <row r="655" spans="1:19" s="38" customFormat="1" x14ac:dyDescent="0.25">
      <c r="A655" s="44">
        <v>654</v>
      </c>
      <c r="B655" s="45" t="s">
        <v>85</v>
      </c>
      <c r="C655" s="66" t="s">
        <v>269</v>
      </c>
      <c r="D655" s="66" t="s">
        <v>94</v>
      </c>
      <c r="E655" s="67" t="s">
        <v>146</v>
      </c>
      <c r="F655" s="68">
        <v>46225.833657407398</v>
      </c>
      <c r="G655" s="68">
        <v>46224.833888888897</v>
      </c>
      <c r="H655" s="59" t="s">
        <v>90</v>
      </c>
      <c r="I655" s="60">
        <v>12000</v>
      </c>
      <c r="J655" s="58" t="s">
        <v>107</v>
      </c>
      <c r="K655" s="61" t="s">
        <v>108</v>
      </c>
      <c r="L655" s="64">
        <v>45610.729907407404</v>
      </c>
      <c r="M655" s="64">
        <v>45616.765138888899</v>
      </c>
      <c r="N655" s="38" t="s">
        <v>127</v>
      </c>
      <c r="O655" s="64">
        <v>45653.618136574099</v>
      </c>
      <c r="P655" s="64">
        <v>45656.681203703702</v>
      </c>
      <c r="Q655" s="75" t="s">
        <v>265</v>
      </c>
      <c r="R655" s="76">
        <v>46221.736516203702</v>
      </c>
      <c r="S655" s="76">
        <v>46221.816712963002</v>
      </c>
    </row>
    <row r="656" spans="1:19" s="38" customFormat="1" ht="14.4" customHeight="1" x14ac:dyDescent="0.25">
      <c r="A656" s="44">
        <v>655</v>
      </c>
      <c r="B656" s="45" t="s">
        <v>85</v>
      </c>
      <c r="C656" s="66" t="s">
        <v>269</v>
      </c>
      <c r="D656" s="66" t="s">
        <v>95</v>
      </c>
      <c r="E656" s="67" t="s">
        <v>108</v>
      </c>
      <c r="F656" s="68">
        <v>46227.896979166697</v>
      </c>
      <c r="G656" s="68">
        <v>46237.628530092603</v>
      </c>
      <c r="H656" s="59" t="s">
        <v>90</v>
      </c>
      <c r="I656" s="60">
        <v>12000</v>
      </c>
      <c r="J656" s="58" t="s">
        <v>107</v>
      </c>
      <c r="K656" s="61" t="s">
        <v>108</v>
      </c>
      <c r="L656" s="64">
        <v>45610.729907407404</v>
      </c>
      <c r="M656" s="64">
        <v>45616.765138888899</v>
      </c>
      <c r="N656" s="38" t="s">
        <v>127</v>
      </c>
      <c r="O656" s="64">
        <v>45653.618136574099</v>
      </c>
      <c r="P656" s="64">
        <v>45656.681203703702</v>
      </c>
    </row>
    <row r="657" spans="1:19" s="38" customFormat="1" x14ac:dyDescent="0.25">
      <c r="A657" s="44">
        <v>656</v>
      </c>
      <c r="B657" s="45" t="s">
        <v>85</v>
      </c>
      <c r="C657" s="66" t="s">
        <v>269</v>
      </c>
      <c r="D657" s="66" t="s">
        <v>96</v>
      </c>
      <c r="E657" s="67" t="s">
        <v>146</v>
      </c>
      <c r="F657" s="68">
        <v>46225.833657407398</v>
      </c>
      <c r="G657" s="68">
        <v>46224.833888888897</v>
      </c>
      <c r="H657" s="59" t="s">
        <v>90</v>
      </c>
      <c r="I657" s="60">
        <v>12000</v>
      </c>
      <c r="J657" s="58" t="s">
        <v>107</v>
      </c>
      <c r="K657" s="61" t="s">
        <v>108</v>
      </c>
      <c r="L657" s="64">
        <v>45610.729907407404</v>
      </c>
      <c r="M657" s="64">
        <v>45616.765138888899</v>
      </c>
      <c r="N657" s="38" t="s">
        <v>127</v>
      </c>
      <c r="O657" s="64">
        <v>45653.618136574099</v>
      </c>
      <c r="P657" s="64">
        <v>45656.681203703702</v>
      </c>
      <c r="Q657" s="75" t="s">
        <v>265</v>
      </c>
      <c r="R657" s="76">
        <v>46221.736481481501</v>
      </c>
      <c r="S657" s="76">
        <v>46221.819444444402</v>
      </c>
    </row>
    <row r="658" spans="1:19" s="38" customFormat="1" x14ac:dyDescent="0.25">
      <c r="A658" s="44">
        <v>657</v>
      </c>
      <c r="B658" s="45" t="s">
        <v>85</v>
      </c>
      <c r="C658" s="66" t="s">
        <v>269</v>
      </c>
      <c r="D658" s="66" t="s">
        <v>97</v>
      </c>
      <c r="E658" s="67" t="s">
        <v>146</v>
      </c>
      <c r="F658" s="68">
        <v>46225.833657407398</v>
      </c>
      <c r="G658" s="68">
        <v>46224.833888888897</v>
      </c>
      <c r="H658" s="59" t="s">
        <v>90</v>
      </c>
      <c r="I658" s="60">
        <v>12000</v>
      </c>
      <c r="J658" s="58" t="s">
        <v>107</v>
      </c>
      <c r="K658" s="61" t="s">
        <v>108</v>
      </c>
      <c r="L658" s="64">
        <v>45610.729907407404</v>
      </c>
      <c r="M658" s="64">
        <v>45616.765138888899</v>
      </c>
      <c r="N658" s="38" t="s">
        <v>127</v>
      </c>
      <c r="O658" s="64">
        <v>45653.618136574099</v>
      </c>
      <c r="P658" s="64">
        <v>45656.681203703702</v>
      </c>
      <c r="Q658" s="75" t="s">
        <v>265</v>
      </c>
      <c r="R658" s="76">
        <v>46221.736504629604</v>
      </c>
      <c r="S658" s="76">
        <v>46221.818854166697</v>
      </c>
    </row>
    <row r="659" spans="1:19" s="38" customFormat="1" ht="14.4" customHeight="1" x14ac:dyDescent="0.25">
      <c r="A659" s="44">
        <v>658</v>
      </c>
      <c r="B659" s="45" t="s">
        <v>85</v>
      </c>
      <c r="C659" s="66" t="s">
        <v>269</v>
      </c>
      <c r="D659" s="66" t="s">
        <v>98</v>
      </c>
      <c r="E659" s="67" t="s">
        <v>108</v>
      </c>
      <c r="F659" s="68">
        <v>46227.897037037001</v>
      </c>
      <c r="G659" s="68">
        <v>46237.628599536998</v>
      </c>
      <c r="H659" s="59" t="s">
        <v>90</v>
      </c>
      <c r="I659" s="60">
        <v>12000</v>
      </c>
      <c r="J659" s="58" t="s">
        <v>107</v>
      </c>
      <c r="K659" s="61" t="s">
        <v>108</v>
      </c>
      <c r="L659" s="64">
        <v>45610.729907407404</v>
      </c>
      <c r="M659" s="64">
        <v>45616.765138888899</v>
      </c>
      <c r="N659" s="38" t="s">
        <v>127</v>
      </c>
      <c r="O659" s="64">
        <v>45653.618136574099</v>
      </c>
      <c r="P659" s="64">
        <v>45656.681203703702</v>
      </c>
    </row>
    <row r="660" spans="1:19" s="38" customFormat="1" x14ac:dyDescent="0.25">
      <c r="A660" s="44">
        <v>659</v>
      </c>
      <c r="B660" s="45" t="s">
        <v>85</v>
      </c>
      <c r="C660" s="66" t="s">
        <v>269</v>
      </c>
      <c r="D660" s="66" t="s">
        <v>99</v>
      </c>
      <c r="E660" s="67" t="s">
        <v>146</v>
      </c>
      <c r="F660" s="68">
        <v>46225.833657407398</v>
      </c>
      <c r="G660" s="68">
        <v>46224.833888888897</v>
      </c>
      <c r="H660" s="59" t="s">
        <v>90</v>
      </c>
      <c r="I660" s="60">
        <v>12000</v>
      </c>
      <c r="J660" s="58" t="s">
        <v>107</v>
      </c>
      <c r="K660" s="75" t="s">
        <v>265</v>
      </c>
      <c r="L660" s="76">
        <v>46221.736481481501</v>
      </c>
      <c r="M660" s="76">
        <v>46221.819560185198</v>
      </c>
    </row>
    <row r="661" spans="1:19" s="38" customFormat="1" x14ac:dyDescent="0.25">
      <c r="A661" s="44">
        <v>660</v>
      </c>
      <c r="B661" s="45" t="s">
        <v>85</v>
      </c>
      <c r="C661" s="66" t="s">
        <v>269</v>
      </c>
      <c r="D661" s="66" t="s">
        <v>100</v>
      </c>
      <c r="E661" s="67" t="s">
        <v>146</v>
      </c>
      <c r="F661" s="68">
        <v>46225.833657407398</v>
      </c>
      <c r="G661" s="68">
        <v>46224.833888888897</v>
      </c>
      <c r="H661" s="59" t="s">
        <v>90</v>
      </c>
      <c r="I661" s="60">
        <v>12000</v>
      </c>
      <c r="J661" s="58" t="s">
        <v>107</v>
      </c>
      <c r="K661" s="75" t="s">
        <v>265</v>
      </c>
      <c r="L661" s="76">
        <v>46221.736481481501</v>
      </c>
      <c r="M661" s="76">
        <v>46221.823576388902</v>
      </c>
    </row>
    <row r="662" spans="1:19" s="38" customFormat="1" ht="14.4" customHeight="1" x14ac:dyDescent="0.25">
      <c r="A662" s="44">
        <v>661</v>
      </c>
      <c r="B662" s="45" t="s">
        <v>85</v>
      </c>
      <c r="C662" s="66" t="s">
        <v>269</v>
      </c>
      <c r="D662" s="66" t="s">
        <v>101</v>
      </c>
      <c r="E662" s="67" t="s">
        <v>108</v>
      </c>
      <c r="F662" s="68">
        <v>46227.896990740701</v>
      </c>
      <c r="G662" s="68">
        <v>46237.628668981502</v>
      </c>
      <c r="H662" s="59" t="s">
        <v>90</v>
      </c>
      <c r="I662" s="60">
        <v>12000</v>
      </c>
      <c r="J662" s="58" t="s">
        <v>107</v>
      </c>
      <c r="K662" s="62"/>
      <c r="L662" s="63"/>
      <c r="M662" s="57"/>
    </row>
    <row r="663" spans="1:19" s="38" customFormat="1" x14ac:dyDescent="0.25">
      <c r="A663" s="44">
        <v>662</v>
      </c>
      <c r="B663" s="45" t="s">
        <v>85</v>
      </c>
      <c r="C663" s="66" t="s">
        <v>269</v>
      </c>
      <c r="D663" s="66" t="s">
        <v>102</v>
      </c>
      <c r="E663" s="67" t="s">
        <v>146</v>
      </c>
      <c r="F663" s="68">
        <v>46225.833657407398</v>
      </c>
      <c r="G663" s="68">
        <v>46224.833888888897</v>
      </c>
      <c r="H663" s="59" t="s">
        <v>90</v>
      </c>
      <c r="I663" s="60">
        <v>12000</v>
      </c>
      <c r="J663" s="58" t="s">
        <v>107</v>
      </c>
      <c r="K663" s="75" t="s">
        <v>265</v>
      </c>
      <c r="L663" s="76">
        <v>46221.736481481501</v>
      </c>
      <c r="M663" s="76">
        <v>46221.823668981502</v>
      </c>
    </row>
    <row r="664" spans="1:19" s="38" customFormat="1" x14ac:dyDescent="0.25">
      <c r="A664" s="44">
        <v>663</v>
      </c>
      <c r="B664" s="45" t="s">
        <v>85</v>
      </c>
      <c r="C664" s="66" t="s">
        <v>269</v>
      </c>
      <c r="D664" s="66" t="s">
        <v>103</v>
      </c>
      <c r="E664" s="67" t="s">
        <v>146</v>
      </c>
      <c r="F664" s="68">
        <v>46225.833657407398</v>
      </c>
      <c r="G664" s="68">
        <v>46224.833888888897</v>
      </c>
      <c r="H664" s="59" t="s">
        <v>90</v>
      </c>
      <c r="I664" s="60">
        <v>12000</v>
      </c>
      <c r="J664" s="58" t="s">
        <v>107</v>
      </c>
      <c r="K664" s="75" t="s">
        <v>265</v>
      </c>
      <c r="L664" s="76">
        <v>46221.7364930556</v>
      </c>
      <c r="M664" s="76">
        <v>46221.823946759301</v>
      </c>
    </row>
    <row r="665" spans="1:19" s="38" customFormat="1" ht="14.4" customHeight="1" x14ac:dyDescent="0.25">
      <c r="A665" s="44">
        <v>664</v>
      </c>
      <c r="B665" s="45" t="s">
        <v>85</v>
      </c>
      <c r="C665" s="46" t="s">
        <v>269</v>
      </c>
      <c r="D665" s="46" t="s">
        <v>104</v>
      </c>
      <c r="E665" s="61"/>
      <c r="H665" s="59" t="s">
        <v>90</v>
      </c>
      <c r="I665" s="60">
        <v>12000</v>
      </c>
      <c r="K665" s="62"/>
      <c r="L665" s="63"/>
      <c r="M665" s="57"/>
    </row>
    <row r="666" spans="1:19" s="38" customFormat="1" ht="14.4" customHeight="1" x14ac:dyDescent="0.25">
      <c r="A666" s="44">
        <v>665</v>
      </c>
      <c r="B666" s="45" t="s">
        <v>85</v>
      </c>
      <c r="C666" s="66" t="s">
        <v>269</v>
      </c>
      <c r="D666" s="66" t="s">
        <v>105</v>
      </c>
      <c r="E666" s="67" t="s">
        <v>265</v>
      </c>
      <c r="F666" s="68">
        <v>46152.725613425901</v>
      </c>
      <c r="G666" s="68">
        <v>46153.632222222201</v>
      </c>
      <c r="H666" s="54" t="s">
        <v>88</v>
      </c>
      <c r="I666" s="55">
        <v>16000</v>
      </c>
      <c r="J666" s="58" t="s">
        <v>107</v>
      </c>
      <c r="K666" s="62"/>
      <c r="L666" s="63"/>
      <c r="M666" s="57"/>
    </row>
    <row r="667" spans="1:19" s="38" customFormat="1" x14ac:dyDescent="0.25">
      <c r="A667" s="44">
        <v>666</v>
      </c>
      <c r="B667" s="45" t="s">
        <v>85</v>
      </c>
      <c r="C667" s="66" t="s">
        <v>269</v>
      </c>
      <c r="D667" s="66" t="s">
        <v>109</v>
      </c>
      <c r="E667" s="67" t="s">
        <v>146</v>
      </c>
      <c r="F667" s="68">
        <v>46225.833657407398</v>
      </c>
      <c r="G667" s="68">
        <v>46224.833888888897</v>
      </c>
      <c r="H667" s="59" t="s">
        <v>90</v>
      </c>
      <c r="I667" s="60">
        <v>12000</v>
      </c>
      <c r="J667" s="58" t="s">
        <v>107</v>
      </c>
      <c r="K667" s="61" t="s">
        <v>108</v>
      </c>
      <c r="L667" s="64">
        <v>45610.729907407404</v>
      </c>
      <c r="M667" s="64">
        <v>45616.765138888899</v>
      </c>
      <c r="N667" s="38" t="s">
        <v>127</v>
      </c>
      <c r="O667" s="64">
        <v>45653.618136574099</v>
      </c>
      <c r="P667" s="64">
        <v>45656.681203703702</v>
      </c>
      <c r="Q667" s="75" t="s">
        <v>265</v>
      </c>
      <c r="R667" s="76">
        <v>46221.7364930556</v>
      </c>
      <c r="S667" s="76">
        <v>46221.864421296297</v>
      </c>
    </row>
    <row r="668" spans="1:19" s="38" customFormat="1" x14ac:dyDescent="0.25">
      <c r="A668" s="44">
        <v>667</v>
      </c>
      <c r="B668" s="45" t="s">
        <v>85</v>
      </c>
      <c r="C668" s="66" t="s">
        <v>269</v>
      </c>
      <c r="D668" s="66" t="s">
        <v>110</v>
      </c>
      <c r="E668" s="67" t="s">
        <v>146</v>
      </c>
      <c r="F668" s="68">
        <v>46225.833657407398</v>
      </c>
      <c r="G668" s="68">
        <v>46224.833888888897</v>
      </c>
      <c r="H668" s="59" t="s">
        <v>90</v>
      </c>
      <c r="I668" s="60">
        <v>12000</v>
      </c>
      <c r="J668" s="58" t="s">
        <v>107</v>
      </c>
      <c r="K668" s="61" t="s">
        <v>108</v>
      </c>
      <c r="L668" s="64">
        <v>45610.729907407404</v>
      </c>
      <c r="M668" s="64">
        <v>45616.765138888899</v>
      </c>
      <c r="N668" s="38" t="s">
        <v>127</v>
      </c>
      <c r="O668" s="64">
        <v>45653.618136574099</v>
      </c>
      <c r="P668" s="64">
        <v>45656.681203703702</v>
      </c>
      <c r="Q668" s="75" t="s">
        <v>265</v>
      </c>
      <c r="R668" s="76">
        <v>46221.7364930556</v>
      </c>
      <c r="S668" s="76">
        <v>46221.8641319444</v>
      </c>
    </row>
    <row r="669" spans="1:19" s="38" customFormat="1" ht="14.4" customHeight="1" x14ac:dyDescent="0.25">
      <c r="A669" s="44">
        <v>668</v>
      </c>
      <c r="B669" s="45" t="s">
        <v>85</v>
      </c>
      <c r="C669" s="66" t="s">
        <v>269</v>
      </c>
      <c r="D669" s="66" t="s">
        <v>111</v>
      </c>
      <c r="E669" s="67" t="s">
        <v>108</v>
      </c>
      <c r="F669" s="68">
        <v>46227.893067129597</v>
      </c>
      <c r="G669" s="68">
        <v>46237.659351851798</v>
      </c>
      <c r="H669" s="59" t="s">
        <v>90</v>
      </c>
      <c r="I669" s="60">
        <v>12000</v>
      </c>
      <c r="J669" s="58" t="s">
        <v>107</v>
      </c>
      <c r="K669" s="61" t="s">
        <v>108</v>
      </c>
      <c r="L669" s="64">
        <v>45610.729907407404</v>
      </c>
      <c r="M669" s="64">
        <v>45616.765138888899</v>
      </c>
      <c r="N669" s="38" t="s">
        <v>127</v>
      </c>
      <c r="O669" s="64">
        <v>45653.618136574099</v>
      </c>
      <c r="P669" s="64">
        <v>45656.681203703702</v>
      </c>
    </row>
    <row r="670" spans="1:19" s="38" customFormat="1" x14ac:dyDescent="0.25">
      <c r="A670" s="44">
        <v>669</v>
      </c>
      <c r="B670" s="45" t="s">
        <v>85</v>
      </c>
      <c r="C670" s="66" t="s">
        <v>269</v>
      </c>
      <c r="D670" s="66" t="s">
        <v>112</v>
      </c>
      <c r="E670" s="67" t="s">
        <v>146</v>
      </c>
      <c r="F670" s="68">
        <v>46225.833657407398</v>
      </c>
      <c r="G670" s="68">
        <v>46224.833888888897</v>
      </c>
      <c r="H670" s="59" t="s">
        <v>90</v>
      </c>
      <c r="I670" s="60">
        <v>12000</v>
      </c>
      <c r="J670" s="58" t="s">
        <v>107</v>
      </c>
      <c r="K670" s="61" t="s">
        <v>108</v>
      </c>
      <c r="L670" s="64">
        <v>45610.729907407404</v>
      </c>
      <c r="M670" s="64">
        <v>45616.765138888899</v>
      </c>
      <c r="N670" s="38" t="s">
        <v>127</v>
      </c>
      <c r="O670" s="64">
        <v>45653.618136574099</v>
      </c>
      <c r="P670" s="64">
        <v>45656.681203703702</v>
      </c>
      <c r="Q670" s="75" t="s">
        <v>265</v>
      </c>
      <c r="R670" s="76">
        <v>46221.736481481501</v>
      </c>
      <c r="S670" s="76">
        <v>46221.864502314798</v>
      </c>
    </row>
    <row r="671" spans="1:19" s="38" customFormat="1" x14ac:dyDescent="0.25">
      <c r="A671" s="44">
        <v>670</v>
      </c>
      <c r="B671" s="45" t="s">
        <v>85</v>
      </c>
      <c r="C671" s="66" t="s">
        <v>269</v>
      </c>
      <c r="D671" s="66" t="s">
        <v>113</v>
      </c>
      <c r="E671" s="67" t="s">
        <v>146</v>
      </c>
      <c r="F671" s="68">
        <v>46225.833657407398</v>
      </c>
      <c r="G671" s="68">
        <v>46224.833888888897</v>
      </c>
      <c r="H671" s="59" t="s">
        <v>90</v>
      </c>
      <c r="I671" s="60">
        <v>12000</v>
      </c>
      <c r="J671" s="58" t="s">
        <v>107</v>
      </c>
      <c r="K671" s="61" t="s">
        <v>108</v>
      </c>
      <c r="L671" s="64">
        <v>45610.729907407404</v>
      </c>
      <c r="M671" s="64">
        <v>45616.765138888899</v>
      </c>
      <c r="N671" s="38" t="s">
        <v>127</v>
      </c>
      <c r="O671" s="64">
        <v>45653.618136574099</v>
      </c>
      <c r="P671" s="64">
        <v>45656.681203703702</v>
      </c>
      <c r="Q671" s="75" t="s">
        <v>265</v>
      </c>
      <c r="R671" s="76">
        <v>46221.736469907402</v>
      </c>
      <c r="S671" s="76">
        <v>46221.864571759303</v>
      </c>
    </row>
    <row r="672" spans="1:19" s="38" customFormat="1" ht="14.4" customHeight="1" x14ac:dyDescent="0.25">
      <c r="A672" s="44">
        <v>671</v>
      </c>
      <c r="B672" s="45" t="s">
        <v>85</v>
      </c>
      <c r="C672" s="66" t="s">
        <v>269</v>
      </c>
      <c r="D672" s="66" t="s">
        <v>114</v>
      </c>
      <c r="E672" s="67" t="s">
        <v>108</v>
      </c>
      <c r="F672" s="68">
        <v>46227.896990740701</v>
      </c>
      <c r="G672" s="68">
        <v>46237.659421296303</v>
      </c>
      <c r="H672" s="59" t="s">
        <v>90</v>
      </c>
      <c r="I672" s="60">
        <v>12000</v>
      </c>
      <c r="J672" s="58" t="s">
        <v>107</v>
      </c>
      <c r="K672" s="61" t="s">
        <v>108</v>
      </c>
      <c r="L672" s="64">
        <v>45610.729907407404</v>
      </c>
      <c r="M672" s="64">
        <v>45616.765138888899</v>
      </c>
      <c r="N672" s="38" t="s">
        <v>127</v>
      </c>
      <c r="O672" s="64">
        <v>45653.618136574099</v>
      </c>
      <c r="P672" s="64">
        <v>45656.681203703702</v>
      </c>
    </row>
    <row r="673" spans="1:19" s="38" customFormat="1" x14ac:dyDescent="0.25">
      <c r="A673" s="44">
        <v>672</v>
      </c>
      <c r="B673" s="45" t="s">
        <v>85</v>
      </c>
      <c r="C673" s="66" t="s">
        <v>269</v>
      </c>
      <c r="D673" s="66" t="s">
        <v>115</v>
      </c>
      <c r="E673" s="67" t="s">
        <v>146</v>
      </c>
      <c r="F673" s="68">
        <v>46225.833657407398</v>
      </c>
      <c r="G673" s="68">
        <v>46224.833888888897</v>
      </c>
      <c r="H673" s="59" t="s">
        <v>90</v>
      </c>
      <c r="I673" s="60">
        <v>12000</v>
      </c>
      <c r="J673" s="58" t="s">
        <v>107</v>
      </c>
      <c r="K673" s="61" t="s">
        <v>108</v>
      </c>
      <c r="L673" s="64">
        <v>45610.729907407404</v>
      </c>
      <c r="M673" s="64">
        <v>45616.765138888899</v>
      </c>
      <c r="N673" s="38" t="s">
        <v>127</v>
      </c>
      <c r="O673" s="64">
        <v>45653.618136574099</v>
      </c>
      <c r="P673" s="64">
        <v>45656.681203703702</v>
      </c>
      <c r="Q673" s="75" t="s">
        <v>265</v>
      </c>
      <c r="R673" s="76">
        <v>46221.7364930556</v>
      </c>
      <c r="S673" s="76">
        <v>46221.864629629599</v>
      </c>
    </row>
    <row r="674" spans="1:19" s="38" customFormat="1" x14ac:dyDescent="0.25">
      <c r="A674" s="44">
        <v>673</v>
      </c>
      <c r="B674" s="45" t="s">
        <v>85</v>
      </c>
      <c r="C674" s="66" t="s">
        <v>269</v>
      </c>
      <c r="D674" s="66" t="s">
        <v>116</v>
      </c>
      <c r="E674" s="67" t="s">
        <v>146</v>
      </c>
      <c r="F674" s="68">
        <v>46225.833657407398</v>
      </c>
      <c r="G674" s="68">
        <v>46224.833888888897</v>
      </c>
      <c r="H674" s="59" t="s">
        <v>90</v>
      </c>
      <c r="I674" s="60">
        <v>12000</v>
      </c>
      <c r="J674" s="58" t="s">
        <v>107</v>
      </c>
      <c r="K674" s="61" t="s">
        <v>108</v>
      </c>
      <c r="L674" s="64">
        <v>45610.729907407404</v>
      </c>
      <c r="M674" s="64">
        <v>45616.765138888899</v>
      </c>
      <c r="N674" s="38" t="s">
        <v>127</v>
      </c>
      <c r="O674" s="64">
        <v>45653.618136574099</v>
      </c>
      <c r="P674" s="64">
        <v>45656.681203703702</v>
      </c>
      <c r="Q674" s="75" t="s">
        <v>265</v>
      </c>
      <c r="R674" s="76">
        <v>46221.736469907402</v>
      </c>
      <c r="S674" s="76">
        <v>46221.864733796298</v>
      </c>
    </row>
    <row r="675" spans="1:19" s="38" customFormat="1" ht="14.4" customHeight="1" x14ac:dyDescent="0.25">
      <c r="A675" s="44">
        <v>674</v>
      </c>
      <c r="B675" s="45" t="s">
        <v>85</v>
      </c>
      <c r="C675" s="66" t="s">
        <v>269</v>
      </c>
      <c r="D675" s="66" t="s">
        <v>117</v>
      </c>
      <c r="E675" s="67" t="s">
        <v>108</v>
      </c>
      <c r="F675" s="68">
        <v>46227.897013888898</v>
      </c>
      <c r="G675" s="68">
        <v>46237.659467592603</v>
      </c>
      <c r="H675" s="59" t="s">
        <v>90</v>
      </c>
      <c r="I675" s="60">
        <v>12000</v>
      </c>
      <c r="J675" s="58" t="s">
        <v>107</v>
      </c>
      <c r="K675" s="62"/>
      <c r="L675" s="63"/>
      <c r="M675" s="57"/>
    </row>
    <row r="676" spans="1:19" s="38" customFormat="1" x14ac:dyDescent="0.25">
      <c r="A676" s="44">
        <v>675</v>
      </c>
      <c r="B676" s="45" t="s">
        <v>85</v>
      </c>
      <c r="C676" s="66" t="s">
        <v>269</v>
      </c>
      <c r="D676" s="66" t="s">
        <v>118</v>
      </c>
      <c r="E676" s="67" t="s">
        <v>146</v>
      </c>
      <c r="F676" s="68">
        <v>46225.833657407398</v>
      </c>
      <c r="G676" s="68">
        <v>46224.833888888897</v>
      </c>
      <c r="H676" s="59" t="s">
        <v>90</v>
      </c>
      <c r="I676" s="60">
        <v>12000</v>
      </c>
      <c r="J676" s="58" t="s">
        <v>107</v>
      </c>
      <c r="K676" s="75" t="s">
        <v>265</v>
      </c>
      <c r="L676" s="76">
        <v>46221.736481481501</v>
      </c>
      <c r="M676" s="76">
        <v>46221.8648032407</v>
      </c>
    </row>
    <row r="677" spans="1:19" s="38" customFormat="1" x14ac:dyDescent="0.25">
      <c r="A677" s="44">
        <v>676</v>
      </c>
      <c r="B677" s="45" t="s">
        <v>85</v>
      </c>
      <c r="C677" s="66" t="s">
        <v>269</v>
      </c>
      <c r="D677" s="66" t="s">
        <v>119</v>
      </c>
      <c r="E677" s="67" t="s">
        <v>146</v>
      </c>
      <c r="F677" s="68">
        <v>46225.833657407398</v>
      </c>
      <c r="G677" s="68">
        <v>46224.833888888897</v>
      </c>
      <c r="H677" s="59" t="s">
        <v>90</v>
      </c>
      <c r="I677" s="60">
        <v>12000</v>
      </c>
      <c r="J677" s="58" t="s">
        <v>107</v>
      </c>
      <c r="K677" s="75" t="s">
        <v>265</v>
      </c>
      <c r="L677" s="76">
        <v>46221.736481481501</v>
      </c>
      <c r="M677" s="76">
        <v>46221.864884259303</v>
      </c>
    </row>
    <row r="678" spans="1:19" s="38" customFormat="1" ht="14.4" customHeight="1" x14ac:dyDescent="0.25">
      <c r="A678" s="44">
        <v>677</v>
      </c>
      <c r="B678" s="45" t="s">
        <v>85</v>
      </c>
      <c r="C678" s="66" t="s">
        <v>269</v>
      </c>
      <c r="D678" s="66" t="s">
        <v>120</v>
      </c>
      <c r="E678" s="67" t="s">
        <v>108</v>
      </c>
      <c r="F678" s="68">
        <v>46227.896990740701</v>
      </c>
      <c r="G678" s="68">
        <v>46237.659525463001</v>
      </c>
      <c r="H678" s="59" t="s">
        <v>90</v>
      </c>
      <c r="I678" s="60">
        <v>12000</v>
      </c>
      <c r="J678" s="58" t="s">
        <v>107</v>
      </c>
      <c r="K678" s="62"/>
      <c r="L678" s="63"/>
      <c r="M678" s="57"/>
    </row>
    <row r="679" spans="1:19" s="38" customFormat="1" x14ac:dyDescent="0.25">
      <c r="A679" s="44">
        <v>678</v>
      </c>
      <c r="B679" s="45" t="s">
        <v>85</v>
      </c>
      <c r="C679" s="66" t="s">
        <v>269</v>
      </c>
      <c r="D679" s="66" t="s">
        <v>121</v>
      </c>
      <c r="E679" s="67" t="s">
        <v>146</v>
      </c>
      <c r="F679" s="68">
        <v>46225.833657407398</v>
      </c>
      <c r="G679" s="68">
        <v>46224.833888888897</v>
      </c>
      <c r="H679" s="59" t="s">
        <v>90</v>
      </c>
      <c r="I679" s="60">
        <v>12000</v>
      </c>
      <c r="J679" s="58" t="s">
        <v>107</v>
      </c>
      <c r="K679" s="75" t="s">
        <v>265</v>
      </c>
      <c r="L679" s="76">
        <v>46221.7364930556</v>
      </c>
      <c r="M679" s="76">
        <v>46221.864189814798</v>
      </c>
    </row>
    <row r="680" spans="1:19" s="38" customFormat="1" x14ac:dyDescent="0.25">
      <c r="A680" s="44">
        <v>679</v>
      </c>
      <c r="B680" s="45" t="s">
        <v>85</v>
      </c>
      <c r="C680" s="66" t="s">
        <v>269</v>
      </c>
      <c r="D680" s="66" t="s">
        <v>122</v>
      </c>
      <c r="E680" s="67" t="s">
        <v>146</v>
      </c>
      <c r="F680" s="68">
        <v>46225.833657407398</v>
      </c>
      <c r="G680" s="68">
        <v>46224.833888888897</v>
      </c>
      <c r="H680" s="59" t="s">
        <v>90</v>
      </c>
      <c r="I680" s="60">
        <v>12000</v>
      </c>
      <c r="J680" s="58" t="s">
        <v>107</v>
      </c>
      <c r="K680" s="75" t="s">
        <v>265</v>
      </c>
      <c r="L680" s="76">
        <v>46221.736481481501</v>
      </c>
      <c r="M680" s="76">
        <v>46221.865034722199</v>
      </c>
    </row>
    <row r="681" spans="1:19" s="38" customFormat="1" ht="14.4" customHeight="1" x14ac:dyDescent="0.25">
      <c r="A681" s="44">
        <v>680</v>
      </c>
      <c r="B681" s="45" t="s">
        <v>85</v>
      </c>
      <c r="C681" s="66" t="s">
        <v>269</v>
      </c>
      <c r="D681" s="66" t="s">
        <v>123</v>
      </c>
      <c r="E681" s="67" t="s">
        <v>108</v>
      </c>
      <c r="F681" s="68">
        <v>46227.896990740701</v>
      </c>
      <c r="G681" s="68">
        <v>46237.661435185197</v>
      </c>
      <c r="H681" s="59" t="s">
        <v>90</v>
      </c>
      <c r="I681" s="60">
        <v>12000</v>
      </c>
      <c r="J681" s="58" t="s">
        <v>107</v>
      </c>
      <c r="K681" s="62"/>
      <c r="L681" s="63"/>
      <c r="M681" s="57"/>
    </row>
    <row r="682" spans="1:19" s="38" customFormat="1" ht="14.4" customHeight="1" x14ac:dyDescent="0.25">
      <c r="A682" s="44">
        <v>681</v>
      </c>
      <c r="B682" s="45" t="s">
        <v>85</v>
      </c>
      <c r="C682" s="66" t="s">
        <v>269</v>
      </c>
      <c r="D682" s="66" t="s">
        <v>124</v>
      </c>
      <c r="E682" s="67" t="s">
        <v>108</v>
      </c>
      <c r="F682" s="68">
        <v>46227.896990740701</v>
      </c>
      <c r="G682" s="68">
        <v>46237.661504629599</v>
      </c>
      <c r="H682" s="59" t="s">
        <v>90</v>
      </c>
      <c r="I682" s="60">
        <v>12000</v>
      </c>
      <c r="J682" s="58" t="s">
        <v>107</v>
      </c>
      <c r="K682" s="62"/>
      <c r="L682" s="63"/>
      <c r="M682" s="57"/>
    </row>
    <row r="683" spans="1:19" s="38" customFormat="1" x14ac:dyDescent="0.25">
      <c r="A683" s="44">
        <v>682</v>
      </c>
      <c r="B683" s="45" t="s">
        <v>85</v>
      </c>
      <c r="C683" s="66" t="s">
        <v>269</v>
      </c>
      <c r="D683" s="66" t="s">
        <v>125</v>
      </c>
      <c r="E683" s="67" t="s">
        <v>146</v>
      </c>
      <c r="F683" s="68">
        <v>46225.833657407398</v>
      </c>
      <c r="G683" s="68">
        <v>46224.833888888897</v>
      </c>
      <c r="H683" s="59" t="s">
        <v>90</v>
      </c>
      <c r="I683" s="60">
        <v>12000</v>
      </c>
      <c r="J683" s="58" t="s">
        <v>107</v>
      </c>
      <c r="K683" s="75" t="s">
        <v>265</v>
      </c>
      <c r="L683" s="76">
        <v>46221.736481481501</v>
      </c>
      <c r="M683" s="76">
        <v>46221.865092592598</v>
      </c>
    </row>
    <row r="684" spans="1:19" s="38" customFormat="1" ht="14.4" customHeight="1" x14ac:dyDescent="0.25">
      <c r="A684" s="44">
        <v>683</v>
      </c>
      <c r="B684" s="45" t="s">
        <v>85</v>
      </c>
      <c r="C684" s="46" t="s">
        <v>269</v>
      </c>
      <c r="D684" s="38" t="s">
        <v>126</v>
      </c>
      <c r="E684" s="61"/>
      <c r="H684" s="54" t="s">
        <v>88</v>
      </c>
      <c r="I684" s="55">
        <v>16000</v>
      </c>
      <c r="K684" s="62"/>
      <c r="L684" s="63"/>
      <c r="M684" s="57"/>
    </row>
    <row r="685" spans="1:19" s="38" customFormat="1" ht="14.4" customHeight="1" x14ac:dyDescent="0.25">
      <c r="A685" s="44">
        <v>684</v>
      </c>
      <c r="B685" s="45" t="s">
        <v>85</v>
      </c>
      <c r="C685" s="46" t="s">
        <v>269</v>
      </c>
      <c r="D685" s="38" t="s">
        <v>128</v>
      </c>
      <c r="E685" s="38" t="s">
        <v>127</v>
      </c>
      <c r="F685" s="64">
        <v>45653.618136574099</v>
      </c>
      <c r="G685" s="64">
        <v>45656.681203703702</v>
      </c>
      <c r="H685" s="59" t="s">
        <v>90</v>
      </c>
      <c r="I685" s="60">
        <v>12000</v>
      </c>
      <c r="J685" s="58" t="s">
        <v>107</v>
      </c>
      <c r="K685" s="61" t="s">
        <v>108</v>
      </c>
      <c r="L685" s="64">
        <v>45610.729907407404</v>
      </c>
      <c r="M685" s="64">
        <v>45616.765138888899</v>
      </c>
    </row>
    <row r="686" spans="1:19" s="38" customFormat="1" ht="14.4" customHeight="1" x14ac:dyDescent="0.25">
      <c r="A686" s="44">
        <v>685</v>
      </c>
      <c r="B686" s="45" t="s">
        <v>85</v>
      </c>
      <c r="C686" s="46" t="s">
        <v>269</v>
      </c>
      <c r="D686" s="38" t="s">
        <v>129</v>
      </c>
      <c r="E686" s="38" t="s">
        <v>127</v>
      </c>
      <c r="F686" s="64">
        <v>45653.618136574099</v>
      </c>
      <c r="G686" s="64">
        <v>45656.681203703702</v>
      </c>
      <c r="H686" s="59" t="s">
        <v>90</v>
      </c>
      <c r="I686" s="60">
        <v>12000</v>
      </c>
      <c r="J686" s="58" t="s">
        <v>107</v>
      </c>
      <c r="K686" s="61" t="s">
        <v>108</v>
      </c>
      <c r="L686" s="64">
        <v>45610.729907407404</v>
      </c>
      <c r="M686" s="64">
        <v>45616.765138888899</v>
      </c>
    </row>
    <row r="687" spans="1:19" s="38" customFormat="1" ht="14.4" customHeight="1" x14ac:dyDescent="0.25">
      <c r="A687" s="44">
        <v>686</v>
      </c>
      <c r="B687" s="45" t="s">
        <v>85</v>
      </c>
      <c r="C687" s="66" t="s">
        <v>269</v>
      </c>
      <c r="D687" s="66" t="s">
        <v>130</v>
      </c>
      <c r="E687" s="67" t="s">
        <v>108</v>
      </c>
      <c r="F687" s="68">
        <v>46227.897037037001</v>
      </c>
      <c r="G687" s="68">
        <v>46237.661550925899</v>
      </c>
      <c r="H687" s="59" t="s">
        <v>90</v>
      </c>
      <c r="I687" s="60">
        <v>12000</v>
      </c>
      <c r="J687" s="58" t="s">
        <v>107</v>
      </c>
      <c r="K687" s="61" t="s">
        <v>108</v>
      </c>
      <c r="L687" s="64">
        <v>45610.729907407404</v>
      </c>
      <c r="M687" s="64">
        <v>45616.765138888899</v>
      </c>
      <c r="N687" s="38" t="s">
        <v>127</v>
      </c>
      <c r="O687" s="64">
        <v>45653.618136574099</v>
      </c>
      <c r="P687" s="64">
        <v>45656.681203703702</v>
      </c>
    </row>
    <row r="688" spans="1:19" s="38" customFormat="1" x14ac:dyDescent="0.25">
      <c r="A688" s="44">
        <v>687</v>
      </c>
      <c r="B688" s="45" t="s">
        <v>85</v>
      </c>
      <c r="C688" s="66" t="s">
        <v>269</v>
      </c>
      <c r="D688" s="66" t="s">
        <v>131</v>
      </c>
      <c r="E688" s="67" t="s">
        <v>146</v>
      </c>
      <c r="F688" s="68">
        <v>46225.833657407398</v>
      </c>
      <c r="G688" s="68">
        <v>46224.833888888897</v>
      </c>
      <c r="H688" s="59" t="s">
        <v>90</v>
      </c>
      <c r="I688" s="60">
        <v>12000</v>
      </c>
      <c r="J688" s="58" t="s">
        <v>107</v>
      </c>
      <c r="K688" s="61" t="s">
        <v>108</v>
      </c>
      <c r="L688" s="64">
        <v>45610.729907407404</v>
      </c>
      <c r="M688" s="64">
        <v>45616.765138888899</v>
      </c>
      <c r="N688" s="38" t="s">
        <v>127</v>
      </c>
      <c r="O688" s="64">
        <v>45653.618136574099</v>
      </c>
      <c r="P688" s="64">
        <v>45656.681203703702</v>
      </c>
      <c r="Q688" s="75" t="s">
        <v>265</v>
      </c>
      <c r="R688" s="76">
        <v>46221.736481481501</v>
      </c>
      <c r="S688" s="76">
        <v>46221.886076388902</v>
      </c>
    </row>
    <row r="689" spans="1:19" s="38" customFormat="1" x14ac:dyDescent="0.25">
      <c r="A689" s="44">
        <v>688</v>
      </c>
      <c r="B689" s="45" t="s">
        <v>85</v>
      </c>
      <c r="C689" s="66" t="s">
        <v>269</v>
      </c>
      <c r="D689" s="66" t="s">
        <v>132</v>
      </c>
      <c r="E689" s="67" t="s">
        <v>146</v>
      </c>
      <c r="F689" s="68">
        <v>46225.833657407398</v>
      </c>
      <c r="G689" s="68">
        <v>46224.833888888897</v>
      </c>
      <c r="H689" s="59" t="s">
        <v>90</v>
      </c>
      <c r="I689" s="60">
        <v>12000</v>
      </c>
      <c r="J689" s="58" t="s">
        <v>107</v>
      </c>
      <c r="K689" s="61" t="s">
        <v>108</v>
      </c>
      <c r="L689" s="64">
        <v>45561.675312500003</v>
      </c>
      <c r="M689" s="64">
        <v>45610.796307870398</v>
      </c>
      <c r="N689" s="38" t="s">
        <v>127</v>
      </c>
      <c r="O689" s="64">
        <v>45646.618148148104</v>
      </c>
      <c r="P689" s="64">
        <v>45652.696296296301</v>
      </c>
      <c r="Q689" s="75" t="s">
        <v>265</v>
      </c>
      <c r="R689" s="76">
        <v>46221.736481481501</v>
      </c>
      <c r="S689" s="76">
        <v>46221.886689814797</v>
      </c>
    </row>
    <row r="690" spans="1:19" s="38" customFormat="1" ht="14.4" customHeight="1" x14ac:dyDescent="0.25">
      <c r="A690" s="44">
        <v>689</v>
      </c>
      <c r="B690" s="45" t="s">
        <v>85</v>
      </c>
      <c r="C690" s="66" t="s">
        <v>269</v>
      </c>
      <c r="D690" s="66" t="s">
        <v>133</v>
      </c>
      <c r="E690" s="67" t="s">
        <v>108</v>
      </c>
      <c r="F690" s="68">
        <v>46227.896979166697</v>
      </c>
      <c r="G690" s="68">
        <v>46237.661597222199</v>
      </c>
      <c r="H690" s="59" t="s">
        <v>90</v>
      </c>
      <c r="I690" s="60">
        <v>12000</v>
      </c>
      <c r="J690" s="58" t="s">
        <v>107</v>
      </c>
      <c r="K690" s="61" t="s">
        <v>108</v>
      </c>
      <c r="L690" s="64">
        <v>45561.675312500003</v>
      </c>
      <c r="M690" s="64">
        <v>45610.796307870398</v>
      </c>
      <c r="N690" s="38" t="s">
        <v>127</v>
      </c>
      <c r="O690" s="64">
        <v>45646.618148148104</v>
      </c>
      <c r="P690" s="64">
        <v>45652.696296296301</v>
      </c>
    </row>
    <row r="691" spans="1:19" s="38" customFormat="1" x14ac:dyDescent="0.25">
      <c r="A691" s="44">
        <v>690</v>
      </c>
      <c r="B691" s="45" t="s">
        <v>85</v>
      </c>
      <c r="C691" s="66" t="s">
        <v>269</v>
      </c>
      <c r="D691" s="66" t="s">
        <v>134</v>
      </c>
      <c r="E691" s="67" t="s">
        <v>146</v>
      </c>
      <c r="F691" s="68">
        <v>46225.833657407398</v>
      </c>
      <c r="G691" s="68">
        <v>46224.833888888897</v>
      </c>
      <c r="H691" s="59" t="s">
        <v>90</v>
      </c>
      <c r="I691" s="60">
        <v>12000</v>
      </c>
      <c r="J691" s="58" t="s">
        <v>107</v>
      </c>
      <c r="K691" s="61" t="s">
        <v>108</v>
      </c>
      <c r="L691" s="64">
        <v>45561.675312500003</v>
      </c>
      <c r="M691" s="64">
        <v>45610.796307870398</v>
      </c>
      <c r="N691" s="38" t="s">
        <v>127</v>
      </c>
      <c r="O691" s="64">
        <v>45646.618148148104</v>
      </c>
      <c r="P691" s="64">
        <v>45652.696296296301</v>
      </c>
      <c r="Q691" s="75" t="s">
        <v>265</v>
      </c>
      <c r="R691" s="76">
        <v>46221.736469907402</v>
      </c>
      <c r="S691" s="76">
        <v>46221.886770833298</v>
      </c>
    </row>
    <row r="692" spans="1:19" s="38" customFormat="1" x14ac:dyDescent="0.25">
      <c r="A692" s="44">
        <v>691</v>
      </c>
      <c r="B692" s="45" t="s">
        <v>85</v>
      </c>
      <c r="C692" s="66" t="s">
        <v>269</v>
      </c>
      <c r="D692" s="66" t="s">
        <v>135</v>
      </c>
      <c r="E692" s="67" t="s">
        <v>146</v>
      </c>
      <c r="F692" s="68">
        <v>46225.833657407398</v>
      </c>
      <c r="G692" s="68">
        <v>46224.833888888897</v>
      </c>
      <c r="H692" s="59" t="s">
        <v>90</v>
      </c>
      <c r="I692" s="60">
        <v>12000</v>
      </c>
      <c r="J692" s="58" t="s">
        <v>107</v>
      </c>
      <c r="K692" s="61" t="s">
        <v>108</v>
      </c>
      <c r="L692" s="64">
        <v>45561.675312500003</v>
      </c>
      <c r="M692" s="64">
        <v>45610.796307870398</v>
      </c>
      <c r="N692" s="38" t="s">
        <v>127</v>
      </c>
      <c r="O692" s="64">
        <v>45646.618148148104</v>
      </c>
      <c r="P692" s="64">
        <v>45652.696296296301</v>
      </c>
      <c r="Q692" s="75" t="s">
        <v>265</v>
      </c>
      <c r="R692" s="76">
        <v>46221.736481481501</v>
      </c>
      <c r="S692" s="76">
        <v>46221.886979166702</v>
      </c>
    </row>
    <row r="693" spans="1:19" s="38" customFormat="1" ht="14.4" customHeight="1" x14ac:dyDescent="0.25">
      <c r="A693" s="44">
        <v>692</v>
      </c>
      <c r="B693" s="45" t="s">
        <v>85</v>
      </c>
      <c r="C693" s="66" t="s">
        <v>269</v>
      </c>
      <c r="D693" s="66" t="s">
        <v>136</v>
      </c>
      <c r="E693" s="67" t="s">
        <v>108</v>
      </c>
      <c r="F693" s="68">
        <v>46227.896990740701</v>
      </c>
      <c r="G693" s="68">
        <v>46237.661643518499</v>
      </c>
      <c r="H693" s="59" t="s">
        <v>90</v>
      </c>
      <c r="I693" s="60">
        <v>12000</v>
      </c>
      <c r="J693" s="58" t="s">
        <v>107</v>
      </c>
      <c r="K693" s="61" t="s">
        <v>108</v>
      </c>
      <c r="L693" s="64">
        <v>45561.675312500003</v>
      </c>
      <c r="M693" s="64">
        <v>45610.796307870398</v>
      </c>
      <c r="N693" s="38" t="s">
        <v>127</v>
      </c>
      <c r="O693" s="64">
        <v>45646.618148148104</v>
      </c>
      <c r="P693" s="64">
        <v>45652.696296296301</v>
      </c>
    </row>
    <row r="694" spans="1:19" s="38" customFormat="1" x14ac:dyDescent="0.25">
      <c r="A694" s="44">
        <v>693</v>
      </c>
      <c r="B694" s="45" t="s">
        <v>85</v>
      </c>
      <c r="C694" s="66" t="s">
        <v>269</v>
      </c>
      <c r="D694" s="66" t="s">
        <v>137</v>
      </c>
      <c r="E694" s="67" t="s">
        <v>146</v>
      </c>
      <c r="F694" s="68">
        <v>46225.833657407398</v>
      </c>
      <c r="G694" s="68">
        <v>46224.833888888897</v>
      </c>
      <c r="H694" s="59" t="s">
        <v>90</v>
      </c>
      <c r="I694" s="60">
        <v>12000</v>
      </c>
      <c r="J694" s="58" t="s">
        <v>107</v>
      </c>
      <c r="K694" s="75" t="s">
        <v>265</v>
      </c>
      <c r="L694" s="76">
        <v>46221.7364930556</v>
      </c>
      <c r="M694" s="76">
        <v>46221.887025463002</v>
      </c>
    </row>
    <row r="695" spans="1:19" s="38" customFormat="1" x14ac:dyDescent="0.25">
      <c r="A695" s="44">
        <v>694</v>
      </c>
      <c r="B695" s="45" t="s">
        <v>85</v>
      </c>
      <c r="C695" s="66" t="s">
        <v>269</v>
      </c>
      <c r="D695" s="66" t="s">
        <v>138</v>
      </c>
      <c r="E695" s="67" t="s">
        <v>146</v>
      </c>
      <c r="F695" s="68">
        <v>46225.833657407398</v>
      </c>
      <c r="G695" s="68">
        <v>46224.833888888897</v>
      </c>
      <c r="H695" s="59" t="s">
        <v>90</v>
      </c>
      <c r="I695" s="60">
        <v>12000</v>
      </c>
      <c r="J695" s="58" t="s">
        <v>107</v>
      </c>
      <c r="K695" s="75" t="s">
        <v>265</v>
      </c>
      <c r="L695" s="76">
        <v>46221.736481481501</v>
      </c>
      <c r="M695" s="76">
        <v>46221.887118055602</v>
      </c>
    </row>
    <row r="696" spans="1:19" s="38" customFormat="1" ht="14.4" customHeight="1" x14ac:dyDescent="0.25">
      <c r="A696" s="44">
        <v>695</v>
      </c>
      <c r="B696" s="45" t="s">
        <v>85</v>
      </c>
      <c r="C696" s="66" t="s">
        <v>269</v>
      </c>
      <c r="D696" s="66" t="s">
        <v>139</v>
      </c>
      <c r="E696" s="67" t="s">
        <v>108</v>
      </c>
      <c r="F696" s="68">
        <v>46227.896990740701</v>
      </c>
      <c r="G696" s="68">
        <v>46237.662060185197</v>
      </c>
      <c r="H696" s="59" t="s">
        <v>90</v>
      </c>
      <c r="I696" s="60">
        <v>12000</v>
      </c>
      <c r="J696" s="58" t="s">
        <v>107</v>
      </c>
      <c r="K696" s="62"/>
      <c r="L696" s="63"/>
      <c r="M696" s="57"/>
    </row>
    <row r="697" spans="1:19" s="38" customFormat="1" x14ac:dyDescent="0.25">
      <c r="A697" s="44">
        <v>696</v>
      </c>
      <c r="B697" s="45" t="s">
        <v>85</v>
      </c>
      <c r="C697" s="66" t="s">
        <v>269</v>
      </c>
      <c r="D697" s="66" t="s">
        <v>140</v>
      </c>
      <c r="E697" s="67" t="s">
        <v>146</v>
      </c>
      <c r="F697" s="68">
        <v>46225.833657407398</v>
      </c>
      <c r="G697" s="68">
        <v>46224.833888888897</v>
      </c>
      <c r="H697" s="59" t="s">
        <v>90</v>
      </c>
      <c r="I697" s="60">
        <v>12000</v>
      </c>
      <c r="J697" s="58" t="s">
        <v>107</v>
      </c>
      <c r="K697" s="75" t="s">
        <v>265</v>
      </c>
      <c r="L697" s="76">
        <v>46221.736469907402</v>
      </c>
      <c r="M697" s="76">
        <v>46221.889027777797</v>
      </c>
    </row>
    <row r="698" spans="1:19" s="38" customFormat="1" x14ac:dyDescent="0.25">
      <c r="A698" s="44">
        <v>697</v>
      </c>
      <c r="B698" s="45" t="s">
        <v>85</v>
      </c>
      <c r="C698" s="66" t="s">
        <v>269</v>
      </c>
      <c r="D698" s="66" t="s">
        <v>141</v>
      </c>
      <c r="E698" s="67" t="s">
        <v>146</v>
      </c>
      <c r="F698" s="68">
        <v>46225.833657407398</v>
      </c>
      <c r="G698" s="68">
        <v>46224.833888888897</v>
      </c>
      <c r="H698" s="59" t="s">
        <v>90</v>
      </c>
      <c r="I698" s="60">
        <v>12000</v>
      </c>
      <c r="J698" s="58" t="s">
        <v>107</v>
      </c>
      <c r="K698" s="75" t="s">
        <v>265</v>
      </c>
      <c r="L698" s="76">
        <v>46221.7364930556</v>
      </c>
      <c r="M698" s="76">
        <v>46221.891354166699</v>
      </c>
    </row>
    <row r="699" spans="1:19" s="38" customFormat="1" x14ac:dyDescent="0.25">
      <c r="A699" s="44">
        <v>698</v>
      </c>
      <c r="B699" s="45" t="s">
        <v>85</v>
      </c>
      <c r="C699" s="66" t="s">
        <v>269</v>
      </c>
      <c r="D699" s="66" t="s">
        <v>142</v>
      </c>
      <c r="E699" s="67" t="s">
        <v>146</v>
      </c>
      <c r="F699" s="68">
        <v>46225.833657407398</v>
      </c>
      <c r="G699" s="68">
        <v>46224.833888888897</v>
      </c>
      <c r="H699" s="59" t="s">
        <v>90</v>
      </c>
      <c r="I699" s="60">
        <v>12000</v>
      </c>
      <c r="J699" s="58" t="s">
        <v>107</v>
      </c>
      <c r="K699" s="75" t="s">
        <v>265</v>
      </c>
      <c r="L699" s="76">
        <v>46221.7364930556</v>
      </c>
      <c r="M699" s="76">
        <v>46221.8914351852</v>
      </c>
    </row>
    <row r="700" spans="1:19" s="38" customFormat="1" ht="14.4" customHeight="1" x14ac:dyDescent="0.25">
      <c r="A700" s="44">
        <v>699</v>
      </c>
      <c r="B700" s="45" t="s">
        <v>85</v>
      </c>
      <c r="C700" s="66" t="s">
        <v>269</v>
      </c>
      <c r="D700" s="66" t="s">
        <v>143</v>
      </c>
      <c r="E700" s="67" t="s">
        <v>265</v>
      </c>
      <c r="F700" s="68">
        <v>46152.725462962997</v>
      </c>
      <c r="G700" s="68">
        <v>46153.632152777798</v>
      </c>
      <c r="H700" s="54" t="s">
        <v>88</v>
      </c>
      <c r="I700" s="55">
        <v>16000</v>
      </c>
      <c r="J700" s="58" t="s">
        <v>107</v>
      </c>
      <c r="K700" s="62"/>
      <c r="L700" s="63"/>
      <c r="M700" s="57"/>
    </row>
    <row r="701" spans="1:19" s="38" customFormat="1" ht="14.4" customHeight="1" x14ac:dyDescent="0.25">
      <c r="A701" s="44">
        <v>700</v>
      </c>
      <c r="B701" s="45" t="s">
        <v>85</v>
      </c>
      <c r="C701" s="46" t="s">
        <v>269</v>
      </c>
      <c r="D701" s="38" t="s">
        <v>144</v>
      </c>
      <c r="E701" s="38" t="s">
        <v>127</v>
      </c>
      <c r="F701" s="64">
        <v>45646.618148148104</v>
      </c>
      <c r="G701" s="64">
        <v>45652.696296296301</v>
      </c>
      <c r="H701" s="59" t="s">
        <v>90</v>
      </c>
      <c r="I701" s="60">
        <v>12000</v>
      </c>
      <c r="J701" s="58" t="s">
        <v>107</v>
      </c>
      <c r="K701" s="61" t="s">
        <v>108</v>
      </c>
      <c r="L701" s="64">
        <v>45561.675312500003</v>
      </c>
      <c r="M701" s="64">
        <v>45610.796307870398</v>
      </c>
    </row>
    <row r="702" spans="1:19" s="38" customFormat="1" ht="14.4" customHeight="1" x14ac:dyDescent="0.25">
      <c r="A702" s="44">
        <v>701</v>
      </c>
      <c r="B702" s="45" t="s">
        <v>85</v>
      </c>
      <c r="C702" s="46" t="s">
        <v>269</v>
      </c>
      <c r="D702" s="38" t="s">
        <v>145</v>
      </c>
      <c r="E702" s="38" t="s">
        <v>127</v>
      </c>
      <c r="F702" s="64">
        <v>45646.618148148104</v>
      </c>
      <c r="G702" s="64">
        <v>45652.696296296301</v>
      </c>
      <c r="H702" s="59" t="s">
        <v>90</v>
      </c>
      <c r="I702" s="60">
        <v>12000</v>
      </c>
      <c r="J702" s="58" t="s">
        <v>107</v>
      </c>
      <c r="K702" s="61" t="s">
        <v>108</v>
      </c>
      <c r="L702" s="64">
        <v>45561.675312500003</v>
      </c>
      <c r="M702" s="64">
        <v>45610.796307870398</v>
      </c>
    </row>
    <row r="703" spans="1:19" s="38" customFormat="1" ht="14.4" customHeight="1" x14ac:dyDescent="0.25">
      <c r="A703" s="44">
        <v>702</v>
      </c>
      <c r="B703" s="45" t="s">
        <v>85</v>
      </c>
      <c r="C703" s="46" t="s">
        <v>269</v>
      </c>
      <c r="D703" s="38" t="s">
        <v>147</v>
      </c>
      <c r="E703" s="38" t="s">
        <v>127</v>
      </c>
      <c r="F703" s="64">
        <v>45646.618148148104</v>
      </c>
      <c r="G703" s="64">
        <v>45652.696296296301</v>
      </c>
      <c r="H703" s="59" t="s">
        <v>90</v>
      </c>
      <c r="I703" s="60">
        <v>12000</v>
      </c>
      <c r="J703" s="58" t="s">
        <v>107</v>
      </c>
      <c r="K703" s="61" t="s">
        <v>108</v>
      </c>
      <c r="L703" s="64">
        <v>45561.675312500003</v>
      </c>
      <c r="M703" s="64">
        <v>45610.796307870398</v>
      </c>
    </row>
    <row r="704" spans="1:19" s="38" customFormat="1" ht="14.4" customHeight="1" x14ac:dyDescent="0.25">
      <c r="A704" s="44">
        <v>703</v>
      </c>
      <c r="B704" s="45" t="s">
        <v>85</v>
      </c>
      <c r="C704" s="46" t="s">
        <v>269</v>
      </c>
      <c r="D704" s="38" t="s">
        <v>148</v>
      </c>
      <c r="E704" s="38" t="s">
        <v>127</v>
      </c>
      <c r="F704" s="64">
        <v>45646.618148148104</v>
      </c>
      <c r="G704" s="64">
        <v>45652.696296296301</v>
      </c>
      <c r="H704" s="59" t="s">
        <v>90</v>
      </c>
      <c r="I704" s="60">
        <v>12000</v>
      </c>
      <c r="J704" s="58" t="s">
        <v>107</v>
      </c>
      <c r="K704" s="61" t="s">
        <v>108</v>
      </c>
      <c r="L704" s="64">
        <v>45561.675312500003</v>
      </c>
      <c r="M704" s="64">
        <v>45610.796307870398</v>
      </c>
    </row>
    <row r="705" spans="1:13" s="38" customFormat="1" ht="14.4" customHeight="1" x14ac:dyDescent="0.25">
      <c r="A705" s="44">
        <v>704</v>
      </c>
      <c r="B705" s="45" t="s">
        <v>85</v>
      </c>
      <c r="C705" s="46" t="s">
        <v>269</v>
      </c>
      <c r="D705" s="38" t="s">
        <v>149</v>
      </c>
      <c r="E705" s="38" t="s">
        <v>127</v>
      </c>
      <c r="F705" s="64">
        <v>45646.618148148104</v>
      </c>
      <c r="G705" s="64">
        <v>45652.696296296301</v>
      </c>
      <c r="H705" s="59" t="s">
        <v>90</v>
      </c>
      <c r="I705" s="60">
        <v>12000</v>
      </c>
      <c r="J705" s="58" t="s">
        <v>107</v>
      </c>
      <c r="K705" s="61" t="s">
        <v>108</v>
      </c>
      <c r="L705" s="64">
        <v>45561.675312500003</v>
      </c>
      <c r="M705" s="64">
        <v>45610.796307870398</v>
      </c>
    </row>
    <row r="706" spans="1:13" s="38" customFormat="1" ht="14.4" customHeight="1" x14ac:dyDescent="0.25">
      <c r="A706" s="44">
        <v>705</v>
      </c>
      <c r="B706" s="45" t="s">
        <v>85</v>
      </c>
      <c r="C706" s="46" t="s">
        <v>269</v>
      </c>
      <c r="D706" s="38" t="s">
        <v>150</v>
      </c>
      <c r="E706" s="38" t="s">
        <v>127</v>
      </c>
      <c r="F706" s="64">
        <v>45646.618148148104</v>
      </c>
      <c r="G706" s="64">
        <v>45652.696296296301</v>
      </c>
      <c r="H706" s="59" t="s">
        <v>90</v>
      </c>
      <c r="I706" s="60">
        <v>12000</v>
      </c>
      <c r="J706" s="58" t="s">
        <v>107</v>
      </c>
      <c r="K706" s="61" t="s">
        <v>108</v>
      </c>
      <c r="L706" s="64">
        <v>45561.675312500003</v>
      </c>
      <c r="M706" s="64">
        <v>45610.796307870398</v>
      </c>
    </row>
    <row r="707" spans="1:13" s="38" customFormat="1" ht="14.4" customHeight="1" x14ac:dyDescent="0.25">
      <c r="A707" s="44">
        <v>706</v>
      </c>
      <c r="B707" s="45" t="s">
        <v>85</v>
      </c>
      <c r="C707" s="46" t="s">
        <v>269</v>
      </c>
      <c r="D707" s="38" t="s">
        <v>151</v>
      </c>
      <c r="E707" s="38" t="s">
        <v>127</v>
      </c>
      <c r="F707" s="64">
        <v>45646.618148148104</v>
      </c>
      <c r="G707" s="64">
        <v>45652.696296296301</v>
      </c>
      <c r="H707" s="59" t="s">
        <v>90</v>
      </c>
      <c r="I707" s="60">
        <v>12000</v>
      </c>
      <c r="J707" s="58" t="s">
        <v>107</v>
      </c>
      <c r="K707" s="61" t="s">
        <v>108</v>
      </c>
      <c r="L707" s="64">
        <v>45561.675312500003</v>
      </c>
      <c r="M707" s="64">
        <v>45610.796307870398</v>
      </c>
    </row>
    <row r="708" spans="1:13" s="38" customFormat="1" ht="14.4" customHeight="1" x14ac:dyDescent="0.25">
      <c r="A708" s="44">
        <v>707</v>
      </c>
      <c r="B708" s="45" t="s">
        <v>85</v>
      </c>
      <c r="C708" s="46" t="s">
        <v>269</v>
      </c>
      <c r="D708" s="38" t="s">
        <v>152</v>
      </c>
      <c r="E708" s="38" t="s">
        <v>127</v>
      </c>
      <c r="F708" s="64">
        <v>45646.618148148104</v>
      </c>
      <c r="G708" s="64">
        <v>45652.696296296301</v>
      </c>
      <c r="H708" s="59" t="s">
        <v>90</v>
      </c>
      <c r="I708" s="60">
        <v>12000</v>
      </c>
      <c r="J708" s="58" t="s">
        <v>107</v>
      </c>
      <c r="K708" s="61" t="s">
        <v>108</v>
      </c>
      <c r="L708" s="64">
        <v>45561.675312500003</v>
      </c>
      <c r="M708" s="64">
        <v>45610.796307870398</v>
      </c>
    </row>
    <row r="709" spans="1:13" s="38" customFormat="1" ht="14.4" customHeight="1" x14ac:dyDescent="0.25">
      <c r="A709" s="44">
        <v>708</v>
      </c>
      <c r="B709" s="45" t="s">
        <v>85</v>
      </c>
      <c r="C709" s="46" t="s">
        <v>269</v>
      </c>
      <c r="D709" s="38" t="s">
        <v>153</v>
      </c>
      <c r="E709" s="38" t="s">
        <v>127</v>
      </c>
      <c r="F709" s="64">
        <v>45646.618148148104</v>
      </c>
      <c r="G709" s="64">
        <v>45652.696296296301</v>
      </c>
      <c r="H709" s="59" t="s">
        <v>90</v>
      </c>
      <c r="I709" s="60">
        <v>12000</v>
      </c>
      <c r="J709" s="58" t="s">
        <v>107</v>
      </c>
      <c r="K709" s="61" t="s">
        <v>108</v>
      </c>
      <c r="L709" s="64">
        <v>45561.675312500003</v>
      </c>
      <c r="M709" s="64">
        <v>45610.796307870398</v>
      </c>
    </row>
    <row r="710" spans="1:13" s="38" customFormat="1" ht="14.4" customHeight="1" x14ac:dyDescent="0.25">
      <c r="A710" s="44">
        <v>709</v>
      </c>
      <c r="B710" s="45" t="s">
        <v>85</v>
      </c>
      <c r="C710" s="46" t="s">
        <v>269</v>
      </c>
      <c r="D710" s="38" t="s">
        <v>154</v>
      </c>
      <c r="E710" s="61"/>
      <c r="H710" s="59" t="s">
        <v>90</v>
      </c>
      <c r="I710" s="60">
        <v>12000</v>
      </c>
      <c r="K710" s="62"/>
      <c r="L710" s="63"/>
      <c r="M710" s="57"/>
    </row>
    <row r="711" spans="1:13" s="38" customFormat="1" ht="14.4" customHeight="1" x14ac:dyDescent="0.25">
      <c r="A711" s="44">
        <v>710</v>
      </c>
      <c r="B711" s="45" t="s">
        <v>85</v>
      </c>
      <c r="C711" s="46" t="s">
        <v>269</v>
      </c>
      <c r="D711" s="38" t="s">
        <v>155</v>
      </c>
      <c r="E711" s="61"/>
      <c r="H711" s="59" t="s">
        <v>90</v>
      </c>
      <c r="I711" s="60">
        <v>12000</v>
      </c>
      <c r="K711" s="62"/>
      <c r="L711" s="63"/>
      <c r="M711" s="57"/>
    </row>
    <row r="712" spans="1:13" s="38" customFormat="1" ht="14.4" customHeight="1" x14ac:dyDescent="0.25">
      <c r="A712" s="44">
        <v>711</v>
      </c>
      <c r="B712" s="45" t="s">
        <v>85</v>
      </c>
      <c r="C712" s="46" t="s">
        <v>269</v>
      </c>
      <c r="D712" s="38" t="s">
        <v>156</v>
      </c>
      <c r="E712" s="61"/>
      <c r="H712" s="59" t="s">
        <v>90</v>
      </c>
      <c r="I712" s="60">
        <v>12000</v>
      </c>
      <c r="K712" s="62"/>
      <c r="L712" s="63"/>
      <c r="M712" s="57"/>
    </row>
    <row r="713" spans="1:13" s="38" customFormat="1" ht="14.4" customHeight="1" x14ac:dyDescent="0.25">
      <c r="A713" s="44">
        <v>712</v>
      </c>
      <c r="B713" s="45" t="s">
        <v>85</v>
      </c>
      <c r="C713" s="46" t="s">
        <v>269</v>
      </c>
      <c r="D713" s="38" t="s">
        <v>157</v>
      </c>
      <c r="E713" s="61"/>
      <c r="H713" s="59" t="s">
        <v>90</v>
      </c>
      <c r="I713" s="60">
        <v>12000</v>
      </c>
      <c r="K713" s="62"/>
      <c r="L713" s="63"/>
      <c r="M713" s="57"/>
    </row>
    <row r="714" spans="1:13" s="38" customFormat="1" ht="14.4" customHeight="1" x14ac:dyDescent="0.25">
      <c r="A714" s="44">
        <v>713</v>
      </c>
      <c r="B714" s="45" t="s">
        <v>85</v>
      </c>
      <c r="C714" s="46" t="s">
        <v>269</v>
      </c>
      <c r="D714" s="38" t="s">
        <v>158</v>
      </c>
      <c r="E714" s="61"/>
      <c r="H714" s="59" t="s">
        <v>90</v>
      </c>
      <c r="I714" s="60">
        <v>12000</v>
      </c>
      <c r="K714" s="62"/>
      <c r="L714" s="63"/>
      <c r="M714" s="57"/>
    </row>
    <row r="715" spans="1:13" s="38" customFormat="1" ht="14.4" customHeight="1" x14ac:dyDescent="0.25">
      <c r="A715" s="44">
        <v>714</v>
      </c>
      <c r="B715" s="45" t="s">
        <v>85</v>
      </c>
      <c r="C715" s="46" t="s">
        <v>269</v>
      </c>
      <c r="D715" s="38" t="s">
        <v>159</v>
      </c>
      <c r="E715" s="61"/>
      <c r="H715" s="59" t="s">
        <v>90</v>
      </c>
      <c r="I715" s="60">
        <v>12000</v>
      </c>
      <c r="K715" s="62"/>
      <c r="L715" s="63"/>
      <c r="M715" s="57"/>
    </row>
    <row r="716" spans="1:13" s="38" customFormat="1" ht="14.4" customHeight="1" x14ac:dyDescent="0.25">
      <c r="A716" s="44">
        <v>715</v>
      </c>
      <c r="B716" s="45" t="s">
        <v>85</v>
      </c>
      <c r="C716" s="46" t="s">
        <v>269</v>
      </c>
      <c r="D716" s="38" t="s">
        <v>160</v>
      </c>
      <c r="E716" s="61"/>
      <c r="H716" s="59" t="s">
        <v>90</v>
      </c>
      <c r="I716" s="60">
        <v>12000</v>
      </c>
      <c r="K716" s="62"/>
      <c r="L716" s="63"/>
      <c r="M716" s="57"/>
    </row>
    <row r="717" spans="1:13" s="38" customFormat="1" ht="14.4" customHeight="1" x14ac:dyDescent="0.25">
      <c r="A717" s="44">
        <v>716</v>
      </c>
      <c r="B717" s="45" t="s">
        <v>85</v>
      </c>
      <c r="C717" s="46" t="s">
        <v>269</v>
      </c>
      <c r="D717" s="38" t="s">
        <v>161</v>
      </c>
      <c r="E717" s="61"/>
      <c r="H717" s="59" t="s">
        <v>90</v>
      </c>
      <c r="I717" s="60">
        <v>12000</v>
      </c>
      <c r="K717" s="62"/>
      <c r="L717" s="63"/>
      <c r="M717" s="57"/>
    </row>
    <row r="718" spans="1:13" s="38" customFormat="1" ht="14.4" customHeight="1" x14ac:dyDescent="0.25">
      <c r="A718" s="44">
        <v>717</v>
      </c>
      <c r="B718" s="45" t="s">
        <v>85</v>
      </c>
      <c r="C718" s="46" t="s">
        <v>269</v>
      </c>
      <c r="D718" s="38" t="s">
        <v>162</v>
      </c>
      <c r="E718" s="61"/>
      <c r="H718" s="54" t="s">
        <v>88</v>
      </c>
      <c r="I718" s="55">
        <v>16000</v>
      </c>
      <c r="K718" s="62"/>
      <c r="L718" s="63"/>
      <c r="M718" s="57"/>
    </row>
    <row r="719" spans="1:13" s="38" customFormat="1" ht="14.4" customHeight="1" x14ac:dyDescent="0.25">
      <c r="A719" s="44">
        <v>718</v>
      </c>
      <c r="B719" s="45" t="s">
        <v>85</v>
      </c>
      <c r="C719" s="46" t="s">
        <v>269</v>
      </c>
      <c r="D719" s="38" t="s">
        <v>163</v>
      </c>
      <c r="E719" s="38" t="s">
        <v>127</v>
      </c>
      <c r="F719" s="64">
        <v>45646.618148148104</v>
      </c>
      <c r="G719" s="64">
        <v>45652.696296296301</v>
      </c>
      <c r="H719" s="59" t="s">
        <v>90</v>
      </c>
      <c r="I719" s="60">
        <v>12000</v>
      </c>
      <c r="J719" s="58" t="s">
        <v>107</v>
      </c>
      <c r="K719" s="61" t="s">
        <v>108</v>
      </c>
      <c r="L719" s="64">
        <v>45561.675312500003</v>
      </c>
      <c r="M719" s="64">
        <v>45610.796307870398</v>
      </c>
    </row>
    <row r="720" spans="1:13" s="38" customFormat="1" ht="14.4" customHeight="1" x14ac:dyDescent="0.25">
      <c r="A720" s="44">
        <v>719</v>
      </c>
      <c r="B720" s="45" t="s">
        <v>85</v>
      </c>
      <c r="C720" s="46" t="s">
        <v>269</v>
      </c>
      <c r="D720" s="38" t="s">
        <v>164</v>
      </c>
      <c r="E720" s="38" t="s">
        <v>127</v>
      </c>
      <c r="F720" s="64">
        <v>45646.618148148104</v>
      </c>
      <c r="G720" s="64">
        <v>45652.696296296301</v>
      </c>
      <c r="H720" s="59" t="s">
        <v>90</v>
      </c>
      <c r="I720" s="60">
        <v>12000</v>
      </c>
      <c r="J720" s="58" t="s">
        <v>107</v>
      </c>
      <c r="K720" s="61" t="s">
        <v>108</v>
      </c>
      <c r="L720" s="64">
        <v>45561.675312500003</v>
      </c>
      <c r="M720" s="64">
        <v>45610.796307870398</v>
      </c>
    </row>
    <row r="721" spans="1:16" s="38" customFormat="1" ht="14.4" customHeight="1" x14ac:dyDescent="0.25">
      <c r="A721" s="44">
        <v>720</v>
      </c>
      <c r="B721" s="45" t="s">
        <v>85</v>
      </c>
      <c r="C721" s="46" t="s">
        <v>269</v>
      </c>
      <c r="D721" s="38" t="s">
        <v>165</v>
      </c>
      <c r="E721" s="38" t="s">
        <v>127</v>
      </c>
      <c r="F721" s="64">
        <v>45646.618148148104</v>
      </c>
      <c r="G721" s="64">
        <v>45652.696296296301</v>
      </c>
      <c r="H721" s="59" t="s">
        <v>90</v>
      </c>
      <c r="I721" s="60">
        <v>12000</v>
      </c>
      <c r="J721" s="58" t="s">
        <v>107</v>
      </c>
      <c r="K721" s="61" t="s">
        <v>108</v>
      </c>
      <c r="L721" s="64">
        <v>45561.675312500003</v>
      </c>
      <c r="M721" s="64">
        <v>45610.796307870398</v>
      </c>
    </row>
    <row r="722" spans="1:16" s="38" customFormat="1" ht="14.4" customHeight="1" x14ac:dyDescent="0.25">
      <c r="A722" s="44">
        <v>721</v>
      </c>
      <c r="B722" s="45" t="s">
        <v>85</v>
      </c>
      <c r="C722" s="46" t="s">
        <v>269</v>
      </c>
      <c r="D722" s="38" t="s">
        <v>166</v>
      </c>
      <c r="E722" s="38" t="s">
        <v>127</v>
      </c>
      <c r="F722" s="64">
        <v>45646.618148148104</v>
      </c>
      <c r="G722" s="64">
        <v>45652.696296296301</v>
      </c>
      <c r="H722" s="59" t="s">
        <v>90</v>
      </c>
      <c r="I722" s="60">
        <v>12000</v>
      </c>
      <c r="J722" s="58" t="s">
        <v>107</v>
      </c>
      <c r="K722" s="61" t="s">
        <v>108</v>
      </c>
      <c r="L722" s="64">
        <v>45561.675312500003</v>
      </c>
      <c r="M722" s="64">
        <v>45610.796307870398</v>
      </c>
    </row>
    <row r="723" spans="1:16" s="38" customFormat="1" ht="14.4" customHeight="1" x14ac:dyDescent="0.25">
      <c r="A723" s="44">
        <v>722</v>
      </c>
      <c r="B723" s="45" t="s">
        <v>85</v>
      </c>
      <c r="C723" s="46" t="s">
        <v>269</v>
      </c>
      <c r="D723" s="38" t="s">
        <v>167</v>
      </c>
      <c r="E723" s="38" t="s">
        <v>127</v>
      </c>
      <c r="F723" s="64">
        <v>45653.618136574099</v>
      </c>
      <c r="G723" s="64">
        <v>45656.681203703702</v>
      </c>
      <c r="H723" s="59" t="s">
        <v>90</v>
      </c>
      <c r="I723" s="60">
        <v>12000</v>
      </c>
      <c r="J723" s="58" t="s">
        <v>107</v>
      </c>
      <c r="K723" s="61" t="s">
        <v>108</v>
      </c>
      <c r="L723" s="64">
        <v>45610.729907407404</v>
      </c>
      <c r="M723" s="64">
        <v>45616.765138888899</v>
      </c>
    </row>
    <row r="724" spans="1:16" s="38" customFormat="1" ht="14.4" customHeight="1" x14ac:dyDescent="0.25">
      <c r="A724" s="44">
        <v>723</v>
      </c>
      <c r="B724" s="45" t="s">
        <v>85</v>
      </c>
      <c r="C724" s="46" t="s">
        <v>269</v>
      </c>
      <c r="D724" s="38" t="s">
        <v>168</v>
      </c>
      <c r="E724" s="38" t="s">
        <v>127</v>
      </c>
      <c r="F724" s="64">
        <v>45653.618136574099</v>
      </c>
      <c r="G724" s="64">
        <v>45656.681203703702</v>
      </c>
      <c r="H724" s="59" t="s">
        <v>90</v>
      </c>
      <c r="I724" s="60">
        <v>12000</v>
      </c>
      <c r="J724" s="58" t="s">
        <v>107</v>
      </c>
      <c r="K724" s="61" t="s">
        <v>108</v>
      </c>
      <c r="L724" s="64">
        <v>45610.729907407404</v>
      </c>
      <c r="M724" s="64">
        <v>45616.765138888899</v>
      </c>
    </row>
    <row r="725" spans="1:16" s="38" customFormat="1" ht="14.4" customHeight="1" x14ac:dyDescent="0.25">
      <c r="A725" s="44">
        <v>724</v>
      </c>
      <c r="B725" s="45" t="s">
        <v>85</v>
      </c>
      <c r="C725" s="46" t="s">
        <v>269</v>
      </c>
      <c r="D725" s="38" t="s">
        <v>169</v>
      </c>
      <c r="E725" s="38" t="s">
        <v>127</v>
      </c>
      <c r="F725" s="64">
        <v>45653.618136574099</v>
      </c>
      <c r="G725" s="64">
        <v>45656.681203703702</v>
      </c>
      <c r="H725" s="59" t="s">
        <v>90</v>
      </c>
      <c r="I725" s="60">
        <v>12000</v>
      </c>
      <c r="J725" s="58" t="s">
        <v>107</v>
      </c>
      <c r="K725" s="61" t="s">
        <v>108</v>
      </c>
      <c r="L725" s="64">
        <v>45610.729907407404</v>
      </c>
      <c r="M725" s="64">
        <v>45616.765138888899</v>
      </c>
    </row>
    <row r="726" spans="1:16" s="38" customFormat="1" ht="14.4" customHeight="1" x14ac:dyDescent="0.25">
      <c r="A726" s="44">
        <v>725</v>
      </c>
      <c r="B726" s="45" t="s">
        <v>85</v>
      </c>
      <c r="C726" s="46" t="s">
        <v>269</v>
      </c>
      <c r="D726" s="38" t="s">
        <v>170</v>
      </c>
      <c r="E726" s="38" t="s">
        <v>127</v>
      </c>
      <c r="F726" s="64">
        <v>45653.618136574099</v>
      </c>
      <c r="G726" s="64">
        <v>45656.681203703702</v>
      </c>
      <c r="H726" s="59" t="s">
        <v>90</v>
      </c>
      <c r="I726" s="60">
        <v>12000</v>
      </c>
      <c r="J726" s="58" t="s">
        <v>107</v>
      </c>
      <c r="K726" s="61" t="s">
        <v>108</v>
      </c>
      <c r="L726" s="64">
        <v>45610.729907407404</v>
      </c>
      <c r="M726" s="64">
        <v>45616.765138888899</v>
      </c>
    </row>
    <row r="727" spans="1:16" s="38" customFormat="1" ht="14.4" customHeight="1" x14ac:dyDescent="0.25">
      <c r="A727" s="44">
        <v>726</v>
      </c>
      <c r="B727" s="45" t="s">
        <v>85</v>
      </c>
      <c r="C727" s="46" t="s">
        <v>269</v>
      </c>
      <c r="D727" s="38" t="s">
        <v>171</v>
      </c>
      <c r="E727" s="38" t="s">
        <v>127</v>
      </c>
      <c r="F727" s="64">
        <v>45653.618136574099</v>
      </c>
      <c r="G727" s="64">
        <v>45656.681203703702</v>
      </c>
      <c r="H727" s="59" t="s">
        <v>90</v>
      </c>
      <c r="I727" s="60">
        <v>12000</v>
      </c>
      <c r="J727" s="58" t="s">
        <v>107</v>
      </c>
      <c r="K727" s="61" t="s">
        <v>108</v>
      </c>
      <c r="L727" s="64">
        <v>45610.729907407404</v>
      </c>
      <c r="M727" s="64">
        <v>45616.765138888899</v>
      </c>
    </row>
    <row r="728" spans="1:16" s="38" customFormat="1" ht="14.4" customHeight="1" x14ac:dyDescent="0.25">
      <c r="A728" s="44">
        <v>727</v>
      </c>
      <c r="B728" s="45" t="s">
        <v>85</v>
      </c>
      <c r="C728" s="46" t="s">
        <v>269</v>
      </c>
      <c r="D728" s="38" t="s">
        <v>172</v>
      </c>
      <c r="E728" s="61"/>
      <c r="H728" s="59" t="s">
        <v>90</v>
      </c>
      <c r="I728" s="60">
        <v>12000</v>
      </c>
      <c r="K728" s="62"/>
      <c r="L728" s="63"/>
      <c r="M728" s="57"/>
    </row>
    <row r="729" spans="1:16" s="38" customFormat="1" ht="14.4" customHeight="1" x14ac:dyDescent="0.25">
      <c r="A729" s="44">
        <v>728</v>
      </c>
      <c r="B729" s="45" t="s">
        <v>85</v>
      </c>
      <c r="C729" s="46" t="s">
        <v>269</v>
      </c>
      <c r="D729" s="38" t="s">
        <v>173</v>
      </c>
      <c r="E729" s="61"/>
      <c r="H729" s="59" t="s">
        <v>90</v>
      </c>
      <c r="I729" s="60">
        <v>12000</v>
      </c>
      <c r="K729" s="62"/>
      <c r="L729" s="63"/>
      <c r="M729" s="57"/>
    </row>
    <row r="730" spans="1:16" s="38" customFormat="1" ht="14.4" customHeight="1" x14ac:dyDescent="0.25">
      <c r="A730" s="44">
        <v>729</v>
      </c>
      <c r="B730" s="45" t="s">
        <v>85</v>
      </c>
      <c r="C730" s="46" t="s">
        <v>269</v>
      </c>
      <c r="D730" s="38" t="s">
        <v>174</v>
      </c>
      <c r="E730" s="61"/>
      <c r="H730" s="59" t="s">
        <v>90</v>
      </c>
      <c r="I730" s="60">
        <v>12000</v>
      </c>
      <c r="K730" s="62"/>
      <c r="L730" s="63"/>
      <c r="M730" s="57"/>
    </row>
    <row r="731" spans="1:16" s="38" customFormat="1" ht="14.4" customHeight="1" x14ac:dyDescent="0.25">
      <c r="A731" s="44">
        <v>730</v>
      </c>
      <c r="B731" s="45" t="s">
        <v>85</v>
      </c>
      <c r="C731" s="46" t="s">
        <v>269</v>
      </c>
      <c r="D731" s="38" t="s">
        <v>175</v>
      </c>
      <c r="E731" s="61"/>
      <c r="H731" s="59" t="s">
        <v>90</v>
      </c>
      <c r="I731" s="60">
        <v>12000</v>
      </c>
      <c r="K731" s="62"/>
      <c r="L731" s="63"/>
      <c r="M731" s="57"/>
    </row>
    <row r="732" spans="1:16" s="38" customFormat="1" ht="14.4" customHeight="1" x14ac:dyDescent="0.25">
      <c r="A732" s="44">
        <v>731</v>
      </c>
      <c r="B732" s="45" t="s">
        <v>85</v>
      </c>
      <c r="C732" s="46" t="s">
        <v>269</v>
      </c>
      <c r="D732" s="38" t="s">
        <v>176</v>
      </c>
      <c r="E732" s="61"/>
      <c r="H732" s="59" t="s">
        <v>90</v>
      </c>
      <c r="I732" s="60">
        <v>12000</v>
      </c>
      <c r="K732" s="62"/>
      <c r="L732" s="63"/>
      <c r="M732" s="57"/>
    </row>
    <row r="733" spans="1:16" s="38" customFormat="1" ht="14.4" customHeight="1" x14ac:dyDescent="0.25">
      <c r="A733" s="44">
        <v>732</v>
      </c>
      <c r="B733" s="45" t="s">
        <v>85</v>
      </c>
      <c r="C733" s="46" t="s">
        <v>269</v>
      </c>
      <c r="D733" s="38" t="s">
        <v>177</v>
      </c>
      <c r="E733" s="61"/>
      <c r="H733" s="59" t="s">
        <v>90</v>
      </c>
      <c r="I733" s="60">
        <v>12000</v>
      </c>
      <c r="K733" s="62"/>
      <c r="L733" s="63"/>
      <c r="M733" s="57"/>
    </row>
    <row r="734" spans="1:16" s="38" customFormat="1" ht="14.4" customHeight="1" x14ac:dyDescent="0.25">
      <c r="A734" s="44">
        <v>733</v>
      </c>
      <c r="B734" s="45" t="s">
        <v>85</v>
      </c>
      <c r="C734" s="66" t="s">
        <v>269</v>
      </c>
      <c r="D734" s="66" t="s">
        <v>178</v>
      </c>
      <c r="E734" s="127" t="s">
        <v>106</v>
      </c>
      <c r="F734" s="68">
        <v>46161.882187499999</v>
      </c>
      <c r="G734" s="68">
        <v>46160.8824074074</v>
      </c>
      <c r="H734" s="54" t="s">
        <v>88</v>
      </c>
      <c r="I734" s="55">
        <v>16000</v>
      </c>
      <c r="J734" s="58" t="s">
        <v>107</v>
      </c>
      <c r="K734" s="67" t="s">
        <v>265</v>
      </c>
      <c r="L734" s="68">
        <v>46152.725601851896</v>
      </c>
      <c r="M734" s="68">
        <v>46153.632083333301</v>
      </c>
      <c r="N734" s="127" t="s">
        <v>146</v>
      </c>
      <c r="O734" s="68">
        <v>46158.916736111103</v>
      </c>
      <c r="P734" s="68">
        <v>46157.916944444398</v>
      </c>
    </row>
    <row r="735" spans="1:16" s="38" customFormat="1" ht="14.4" customHeight="1" x14ac:dyDescent="0.25">
      <c r="A735" s="44">
        <v>734</v>
      </c>
      <c r="B735" s="45" t="s">
        <v>85</v>
      </c>
      <c r="C735" s="46" t="s">
        <v>269</v>
      </c>
      <c r="D735" s="38" t="s">
        <v>179</v>
      </c>
      <c r="E735" s="38" t="s">
        <v>127</v>
      </c>
      <c r="F735" s="64">
        <v>45653.618136574099</v>
      </c>
      <c r="G735" s="64">
        <v>45656.681203703702</v>
      </c>
      <c r="H735" s="59" t="s">
        <v>90</v>
      </c>
      <c r="I735" s="60">
        <v>12000</v>
      </c>
      <c r="J735" s="58" t="s">
        <v>107</v>
      </c>
      <c r="K735" s="61" t="s">
        <v>108</v>
      </c>
      <c r="L735" s="64">
        <v>45610.729907407404</v>
      </c>
      <c r="M735" s="64">
        <v>45616.765138888899</v>
      </c>
    </row>
    <row r="736" spans="1:16" s="38" customFormat="1" ht="14.4" customHeight="1" x14ac:dyDescent="0.25">
      <c r="A736" s="44">
        <v>735</v>
      </c>
      <c r="B736" s="45" t="s">
        <v>85</v>
      </c>
      <c r="C736" s="46" t="s">
        <v>269</v>
      </c>
      <c r="D736" s="38" t="s">
        <v>180</v>
      </c>
      <c r="E736" s="38" t="s">
        <v>127</v>
      </c>
      <c r="F736" s="64">
        <v>45653.618136574099</v>
      </c>
      <c r="G736" s="64">
        <v>45656.681203703702</v>
      </c>
      <c r="H736" s="59" t="s">
        <v>90</v>
      </c>
      <c r="I736" s="60">
        <v>12000</v>
      </c>
      <c r="J736" s="58" t="s">
        <v>107</v>
      </c>
      <c r="K736" s="61" t="s">
        <v>108</v>
      </c>
      <c r="L736" s="64">
        <v>45610.729907407404</v>
      </c>
      <c r="M736" s="64">
        <v>45616.765138888899</v>
      </c>
    </row>
    <row r="737" spans="1:13" s="38" customFormat="1" ht="14.4" customHeight="1" x14ac:dyDescent="0.25">
      <c r="A737" s="44">
        <v>736</v>
      </c>
      <c r="B737" s="45" t="s">
        <v>85</v>
      </c>
      <c r="C737" s="46" t="s">
        <v>269</v>
      </c>
      <c r="D737" s="38" t="s">
        <v>181</v>
      </c>
      <c r="E737" s="38" t="s">
        <v>127</v>
      </c>
      <c r="F737" s="64">
        <v>45646.618148148104</v>
      </c>
      <c r="G737" s="64">
        <v>45652.696296296301</v>
      </c>
      <c r="H737" s="59" t="s">
        <v>90</v>
      </c>
      <c r="I737" s="60">
        <v>12000</v>
      </c>
      <c r="J737" s="58" t="s">
        <v>107</v>
      </c>
      <c r="K737" s="61" t="s">
        <v>108</v>
      </c>
      <c r="L737" s="64">
        <v>45561.675312500003</v>
      </c>
      <c r="M737" s="64">
        <v>45610.796307870398</v>
      </c>
    </row>
    <row r="738" spans="1:13" s="38" customFormat="1" ht="14.4" customHeight="1" x14ac:dyDescent="0.25">
      <c r="A738" s="44">
        <v>737</v>
      </c>
      <c r="B738" s="45" t="s">
        <v>85</v>
      </c>
      <c r="C738" s="46" t="s">
        <v>269</v>
      </c>
      <c r="D738" s="38" t="s">
        <v>182</v>
      </c>
      <c r="E738" s="38" t="s">
        <v>127</v>
      </c>
      <c r="F738" s="64">
        <v>45646.618148148104</v>
      </c>
      <c r="G738" s="64">
        <v>45652.696296296301</v>
      </c>
      <c r="H738" s="59" t="s">
        <v>90</v>
      </c>
      <c r="I738" s="60">
        <v>12000</v>
      </c>
      <c r="J738" s="58" t="s">
        <v>107</v>
      </c>
      <c r="K738" s="61" t="s">
        <v>108</v>
      </c>
      <c r="L738" s="64">
        <v>45561.675312500003</v>
      </c>
      <c r="M738" s="64">
        <v>45610.796307870398</v>
      </c>
    </row>
    <row r="739" spans="1:13" s="38" customFormat="1" ht="14.4" customHeight="1" x14ac:dyDescent="0.25">
      <c r="A739" s="44">
        <v>738</v>
      </c>
      <c r="B739" s="45" t="s">
        <v>85</v>
      </c>
      <c r="C739" s="46" t="s">
        <v>269</v>
      </c>
      <c r="D739" s="38" t="s">
        <v>183</v>
      </c>
      <c r="E739" s="38" t="s">
        <v>127</v>
      </c>
      <c r="F739" s="64">
        <v>45646.618148148104</v>
      </c>
      <c r="G739" s="64">
        <v>45652.696296296301</v>
      </c>
      <c r="H739" s="59" t="s">
        <v>90</v>
      </c>
      <c r="I739" s="60">
        <v>12000</v>
      </c>
      <c r="J739" s="58" t="s">
        <v>107</v>
      </c>
      <c r="K739" s="61" t="s">
        <v>108</v>
      </c>
      <c r="L739" s="64">
        <v>45561.675312500003</v>
      </c>
      <c r="M739" s="64">
        <v>45610.796307870398</v>
      </c>
    </row>
    <row r="740" spans="1:13" s="38" customFormat="1" ht="14.4" customHeight="1" x14ac:dyDescent="0.25">
      <c r="A740" s="44">
        <v>739</v>
      </c>
      <c r="B740" s="45" t="s">
        <v>85</v>
      </c>
      <c r="C740" s="46" t="s">
        <v>269</v>
      </c>
      <c r="D740" s="38" t="s">
        <v>184</v>
      </c>
      <c r="E740" s="38" t="s">
        <v>127</v>
      </c>
      <c r="F740" s="64">
        <v>45646.618148148104</v>
      </c>
      <c r="G740" s="64">
        <v>45652.696296296301</v>
      </c>
      <c r="H740" s="59" t="s">
        <v>90</v>
      </c>
      <c r="I740" s="60">
        <v>12000</v>
      </c>
      <c r="J740" s="58" t="s">
        <v>107</v>
      </c>
      <c r="K740" s="61" t="s">
        <v>108</v>
      </c>
      <c r="L740" s="64">
        <v>45561.675312500003</v>
      </c>
      <c r="M740" s="64">
        <v>45610.796307870398</v>
      </c>
    </row>
    <row r="741" spans="1:13" s="38" customFormat="1" ht="14.4" customHeight="1" x14ac:dyDescent="0.25">
      <c r="A741" s="44">
        <v>740</v>
      </c>
      <c r="B741" s="45" t="s">
        <v>85</v>
      </c>
      <c r="C741" s="46" t="s">
        <v>269</v>
      </c>
      <c r="D741" s="38" t="s">
        <v>185</v>
      </c>
      <c r="E741" s="38" t="s">
        <v>127</v>
      </c>
      <c r="F741" s="64">
        <v>45646.618148148104</v>
      </c>
      <c r="G741" s="64">
        <v>45652.696296296301</v>
      </c>
      <c r="H741" s="59" t="s">
        <v>90</v>
      </c>
      <c r="I741" s="60">
        <v>12000</v>
      </c>
      <c r="J741" s="58" t="s">
        <v>107</v>
      </c>
      <c r="K741" s="61" t="s">
        <v>108</v>
      </c>
      <c r="L741" s="64">
        <v>45561.675312500003</v>
      </c>
      <c r="M741" s="64">
        <v>45610.796307870398</v>
      </c>
    </row>
    <row r="742" spans="1:13" s="38" customFormat="1" ht="14.4" customHeight="1" x14ac:dyDescent="0.25">
      <c r="A742" s="44">
        <v>741</v>
      </c>
      <c r="B742" s="45" t="s">
        <v>85</v>
      </c>
      <c r="C742" s="46" t="s">
        <v>269</v>
      </c>
      <c r="D742" s="38" t="s">
        <v>186</v>
      </c>
      <c r="E742" s="38" t="s">
        <v>127</v>
      </c>
      <c r="F742" s="64">
        <v>45646.618148148104</v>
      </c>
      <c r="G742" s="64">
        <v>45652.696296296301</v>
      </c>
      <c r="H742" s="59" t="s">
        <v>90</v>
      </c>
      <c r="I742" s="60">
        <v>12000</v>
      </c>
      <c r="J742" s="58" t="s">
        <v>107</v>
      </c>
      <c r="K742" s="61" t="s">
        <v>108</v>
      </c>
      <c r="L742" s="64">
        <v>45561.675312500003</v>
      </c>
      <c r="M742" s="64">
        <v>45610.796307870398</v>
      </c>
    </row>
    <row r="743" spans="1:13" s="38" customFormat="1" ht="14.4" customHeight="1" x14ac:dyDescent="0.25">
      <c r="A743" s="44">
        <v>742</v>
      </c>
      <c r="B743" s="45" t="s">
        <v>85</v>
      </c>
      <c r="C743" s="46" t="s">
        <v>269</v>
      </c>
      <c r="D743" s="38" t="s">
        <v>187</v>
      </c>
      <c r="E743" s="38" t="s">
        <v>127</v>
      </c>
      <c r="F743" s="64">
        <v>45646.618148148104</v>
      </c>
      <c r="G743" s="64">
        <v>45652.696296296301</v>
      </c>
      <c r="H743" s="59" t="s">
        <v>90</v>
      </c>
      <c r="I743" s="60">
        <v>12000</v>
      </c>
      <c r="J743" s="58" t="s">
        <v>107</v>
      </c>
      <c r="K743" s="61" t="s">
        <v>108</v>
      </c>
      <c r="L743" s="64">
        <v>45561.675312500003</v>
      </c>
      <c r="M743" s="64">
        <v>45610.796307870398</v>
      </c>
    </row>
    <row r="744" spans="1:13" s="38" customFormat="1" ht="14.4" customHeight="1" x14ac:dyDescent="0.25">
      <c r="A744" s="44">
        <v>743</v>
      </c>
      <c r="B744" s="45" t="s">
        <v>85</v>
      </c>
      <c r="C744" s="46" t="s">
        <v>269</v>
      </c>
      <c r="D744" s="38" t="s">
        <v>188</v>
      </c>
      <c r="E744" s="61"/>
      <c r="H744" s="59" t="s">
        <v>90</v>
      </c>
      <c r="I744" s="60">
        <v>12000</v>
      </c>
      <c r="K744" s="62"/>
      <c r="L744" s="63"/>
      <c r="M744" s="57"/>
    </row>
    <row r="745" spans="1:13" s="38" customFormat="1" ht="14.4" customHeight="1" x14ac:dyDescent="0.25">
      <c r="A745" s="44">
        <v>744</v>
      </c>
      <c r="B745" s="45" t="s">
        <v>85</v>
      </c>
      <c r="C745" s="46" t="s">
        <v>269</v>
      </c>
      <c r="D745" s="38" t="s">
        <v>189</v>
      </c>
      <c r="E745" s="61"/>
      <c r="H745" s="59" t="s">
        <v>90</v>
      </c>
      <c r="I745" s="60">
        <v>12000</v>
      </c>
      <c r="K745" s="62"/>
      <c r="L745" s="63"/>
      <c r="M745" s="57"/>
    </row>
    <row r="746" spans="1:13" s="38" customFormat="1" ht="14.4" customHeight="1" x14ac:dyDescent="0.25">
      <c r="A746" s="44">
        <v>745</v>
      </c>
      <c r="B746" s="45" t="s">
        <v>85</v>
      </c>
      <c r="C746" s="46" t="s">
        <v>269</v>
      </c>
      <c r="D746" s="38" t="s">
        <v>190</v>
      </c>
      <c r="E746" s="61"/>
      <c r="H746" s="59" t="s">
        <v>90</v>
      </c>
      <c r="I746" s="60">
        <v>12000</v>
      </c>
      <c r="K746" s="62"/>
      <c r="L746" s="63"/>
      <c r="M746" s="57"/>
    </row>
    <row r="747" spans="1:13" s="38" customFormat="1" ht="14.4" customHeight="1" x14ac:dyDescent="0.25">
      <c r="A747" s="44">
        <v>746</v>
      </c>
      <c r="B747" s="45" t="s">
        <v>85</v>
      </c>
      <c r="C747" s="46" t="s">
        <v>269</v>
      </c>
      <c r="D747" s="38" t="s">
        <v>191</v>
      </c>
      <c r="E747" s="61"/>
      <c r="H747" s="59" t="s">
        <v>90</v>
      </c>
      <c r="I747" s="60">
        <v>12000</v>
      </c>
      <c r="K747" s="62"/>
      <c r="L747" s="63"/>
      <c r="M747" s="57"/>
    </row>
    <row r="748" spans="1:13" s="38" customFormat="1" ht="14.4" customHeight="1" x14ac:dyDescent="0.25">
      <c r="A748" s="44">
        <v>747</v>
      </c>
      <c r="B748" s="45" t="s">
        <v>85</v>
      </c>
      <c r="C748" s="46" t="s">
        <v>269</v>
      </c>
      <c r="D748" s="38" t="s">
        <v>192</v>
      </c>
      <c r="E748" s="61"/>
      <c r="H748" s="59" t="s">
        <v>90</v>
      </c>
      <c r="I748" s="60">
        <v>12000</v>
      </c>
      <c r="K748" s="62"/>
      <c r="L748" s="63"/>
      <c r="M748" s="57"/>
    </row>
    <row r="749" spans="1:13" s="38" customFormat="1" ht="14.4" customHeight="1" x14ac:dyDescent="0.25">
      <c r="A749" s="44">
        <v>748</v>
      </c>
      <c r="B749" s="45" t="s">
        <v>85</v>
      </c>
      <c r="C749" s="46" t="s">
        <v>269</v>
      </c>
      <c r="D749" s="38" t="s">
        <v>193</v>
      </c>
      <c r="E749" s="61"/>
      <c r="H749" s="59" t="s">
        <v>90</v>
      </c>
      <c r="I749" s="60">
        <v>12000</v>
      </c>
      <c r="K749" s="62"/>
      <c r="L749" s="63"/>
      <c r="M749" s="57"/>
    </row>
    <row r="750" spans="1:13" s="38" customFormat="1" ht="14.4" customHeight="1" x14ac:dyDescent="0.25">
      <c r="A750" s="44">
        <v>749</v>
      </c>
      <c r="B750" s="45" t="s">
        <v>85</v>
      </c>
      <c r="C750" s="46" t="s">
        <v>269</v>
      </c>
      <c r="D750" s="38" t="s">
        <v>194</v>
      </c>
      <c r="E750" s="61"/>
      <c r="H750" s="59" t="s">
        <v>90</v>
      </c>
      <c r="I750" s="60">
        <v>12000</v>
      </c>
      <c r="K750" s="62"/>
      <c r="L750" s="63"/>
      <c r="M750" s="57"/>
    </row>
    <row r="751" spans="1:13" s="38" customFormat="1" ht="14.4" customHeight="1" x14ac:dyDescent="0.25">
      <c r="A751" s="44">
        <v>750</v>
      </c>
      <c r="B751" s="45" t="s">
        <v>85</v>
      </c>
      <c r="C751" s="46" t="s">
        <v>269</v>
      </c>
      <c r="D751" s="38" t="s">
        <v>195</v>
      </c>
      <c r="E751" s="61"/>
      <c r="H751" s="59" t="s">
        <v>90</v>
      </c>
      <c r="I751" s="60">
        <v>12000</v>
      </c>
      <c r="K751" s="62"/>
      <c r="L751" s="63"/>
      <c r="M751" s="57"/>
    </row>
    <row r="752" spans="1:13" s="38" customFormat="1" ht="14.4" customHeight="1" x14ac:dyDescent="0.25">
      <c r="A752" s="44">
        <v>751</v>
      </c>
      <c r="B752" s="45" t="s">
        <v>85</v>
      </c>
      <c r="C752" s="46" t="s">
        <v>269</v>
      </c>
      <c r="D752" s="38" t="s">
        <v>196</v>
      </c>
      <c r="E752" s="61"/>
      <c r="H752" s="54" t="s">
        <v>88</v>
      </c>
      <c r="I752" s="55">
        <v>16000</v>
      </c>
      <c r="K752" s="62"/>
      <c r="L752" s="63"/>
      <c r="M752" s="57"/>
    </row>
    <row r="753" spans="1:16" s="38" customFormat="1" ht="14.4" customHeight="1" x14ac:dyDescent="0.25">
      <c r="A753" s="44">
        <v>752</v>
      </c>
      <c r="B753" s="45" t="s">
        <v>85</v>
      </c>
      <c r="C753" s="46" t="s">
        <v>269</v>
      </c>
      <c r="D753" s="38" t="s">
        <v>197</v>
      </c>
      <c r="E753" s="38" t="s">
        <v>127</v>
      </c>
      <c r="F753" s="64">
        <v>45646.618148148104</v>
      </c>
      <c r="G753" s="64">
        <v>45652.696296296301</v>
      </c>
      <c r="H753" s="59" t="s">
        <v>90</v>
      </c>
      <c r="I753" s="60">
        <v>12000</v>
      </c>
      <c r="J753" s="58" t="s">
        <v>107</v>
      </c>
      <c r="K753" s="61" t="s">
        <v>108</v>
      </c>
      <c r="L753" s="64">
        <v>45561.675312500003</v>
      </c>
      <c r="M753" s="64">
        <v>45610.796307870398</v>
      </c>
    </row>
    <row r="754" spans="1:16" s="38" customFormat="1" ht="14.4" customHeight="1" x14ac:dyDescent="0.25">
      <c r="A754" s="44">
        <v>753</v>
      </c>
      <c r="B754" s="45" t="s">
        <v>85</v>
      </c>
      <c r="C754" s="46" t="s">
        <v>269</v>
      </c>
      <c r="D754" s="38" t="s">
        <v>198</v>
      </c>
      <c r="E754" s="38" t="s">
        <v>127</v>
      </c>
      <c r="F754" s="64">
        <v>45646.618148148104</v>
      </c>
      <c r="G754" s="64">
        <v>45652.696296296301</v>
      </c>
      <c r="H754" s="59" t="s">
        <v>90</v>
      </c>
      <c r="I754" s="60">
        <v>12000</v>
      </c>
      <c r="J754" s="58" t="s">
        <v>107</v>
      </c>
      <c r="K754" s="61" t="s">
        <v>108</v>
      </c>
      <c r="L754" s="64">
        <v>45561.675312500003</v>
      </c>
      <c r="M754" s="64">
        <v>45610.796307870398</v>
      </c>
    </row>
    <row r="755" spans="1:16" s="38" customFormat="1" ht="14.4" customHeight="1" x14ac:dyDescent="0.25">
      <c r="A755" s="44">
        <v>754</v>
      </c>
      <c r="B755" s="45" t="s">
        <v>85</v>
      </c>
      <c r="C755" s="46" t="s">
        <v>269</v>
      </c>
      <c r="D755" s="38" t="s">
        <v>199</v>
      </c>
      <c r="E755" s="38" t="s">
        <v>127</v>
      </c>
      <c r="F755" s="64">
        <v>45646.618148148104</v>
      </c>
      <c r="G755" s="64">
        <v>45652.696296296301</v>
      </c>
      <c r="H755" s="59" t="s">
        <v>90</v>
      </c>
      <c r="I755" s="60">
        <v>12000</v>
      </c>
      <c r="J755" s="58" t="s">
        <v>107</v>
      </c>
      <c r="K755" s="61" t="s">
        <v>108</v>
      </c>
      <c r="L755" s="64">
        <v>45561.675312500003</v>
      </c>
      <c r="M755" s="64">
        <v>45610.796307870398</v>
      </c>
    </row>
    <row r="756" spans="1:16" s="38" customFormat="1" ht="14.4" customHeight="1" x14ac:dyDescent="0.25">
      <c r="A756" s="44">
        <v>755</v>
      </c>
      <c r="B756" s="45" t="s">
        <v>85</v>
      </c>
      <c r="C756" s="46" t="s">
        <v>269</v>
      </c>
      <c r="D756" s="38" t="s">
        <v>200</v>
      </c>
      <c r="E756" s="38" t="s">
        <v>127</v>
      </c>
      <c r="F756" s="64">
        <v>45646.618148148104</v>
      </c>
      <c r="G756" s="64">
        <v>45652.696296296301</v>
      </c>
      <c r="H756" s="59" t="s">
        <v>90</v>
      </c>
      <c r="I756" s="60">
        <v>12000</v>
      </c>
      <c r="J756" s="58" t="s">
        <v>107</v>
      </c>
      <c r="K756" s="61" t="s">
        <v>108</v>
      </c>
      <c r="L756" s="64">
        <v>45561.675312500003</v>
      </c>
      <c r="M756" s="64">
        <v>45610.796307870398</v>
      </c>
    </row>
    <row r="757" spans="1:16" s="38" customFormat="1" ht="14.4" customHeight="1" x14ac:dyDescent="0.25">
      <c r="A757" s="44">
        <v>756</v>
      </c>
      <c r="B757" s="45" t="s">
        <v>85</v>
      </c>
      <c r="C757" s="46" t="s">
        <v>269</v>
      </c>
      <c r="D757" s="38" t="s">
        <v>201</v>
      </c>
      <c r="E757" s="38" t="s">
        <v>127</v>
      </c>
      <c r="F757" s="64">
        <v>45646.618148148104</v>
      </c>
      <c r="G757" s="64">
        <v>45652.696296296301</v>
      </c>
      <c r="H757" s="59" t="s">
        <v>90</v>
      </c>
      <c r="I757" s="60">
        <v>12000</v>
      </c>
      <c r="J757" s="58" t="s">
        <v>107</v>
      </c>
      <c r="K757" s="61" t="s">
        <v>108</v>
      </c>
      <c r="L757" s="64">
        <v>45561.675312500003</v>
      </c>
      <c r="M757" s="64">
        <v>45610.796307870398</v>
      </c>
    </row>
    <row r="758" spans="1:16" s="38" customFormat="1" ht="14.4" customHeight="1" x14ac:dyDescent="0.25">
      <c r="A758" s="44">
        <v>757</v>
      </c>
      <c r="B758" s="45" t="s">
        <v>85</v>
      </c>
      <c r="C758" s="46" t="s">
        <v>269</v>
      </c>
      <c r="D758" s="38" t="s">
        <v>202</v>
      </c>
      <c r="E758" s="38" t="s">
        <v>127</v>
      </c>
      <c r="F758" s="64">
        <v>45646.618148148104</v>
      </c>
      <c r="G758" s="64">
        <v>45652.696296296301</v>
      </c>
      <c r="H758" s="59" t="s">
        <v>90</v>
      </c>
      <c r="I758" s="60">
        <v>12000</v>
      </c>
      <c r="J758" s="58" t="s">
        <v>107</v>
      </c>
      <c r="K758" s="61" t="s">
        <v>108</v>
      </c>
      <c r="L758" s="64">
        <v>45561.675312500003</v>
      </c>
      <c r="M758" s="64">
        <v>45610.796307870398</v>
      </c>
    </row>
    <row r="759" spans="1:16" s="38" customFormat="1" ht="14.4" customHeight="1" x14ac:dyDescent="0.25">
      <c r="A759" s="44">
        <v>758</v>
      </c>
      <c r="B759" s="45" t="s">
        <v>85</v>
      </c>
      <c r="C759" s="46" t="s">
        <v>269</v>
      </c>
      <c r="D759" s="38" t="s">
        <v>203</v>
      </c>
      <c r="E759" s="38" t="s">
        <v>127</v>
      </c>
      <c r="F759" s="64">
        <v>45646.618148148104</v>
      </c>
      <c r="G759" s="64">
        <v>45652.696296296301</v>
      </c>
      <c r="H759" s="59" t="s">
        <v>90</v>
      </c>
      <c r="I759" s="60">
        <v>12000</v>
      </c>
      <c r="J759" s="58" t="s">
        <v>107</v>
      </c>
      <c r="K759" s="61" t="s">
        <v>108</v>
      </c>
      <c r="L759" s="64">
        <v>45561.675312500003</v>
      </c>
      <c r="M759" s="64">
        <v>45610.796307870398</v>
      </c>
    </row>
    <row r="760" spans="1:16" s="38" customFormat="1" ht="14.4" customHeight="1" x14ac:dyDescent="0.25">
      <c r="A760" s="44">
        <v>759</v>
      </c>
      <c r="B760" s="45" t="s">
        <v>85</v>
      </c>
      <c r="C760" s="46" t="s">
        <v>269</v>
      </c>
      <c r="D760" s="38" t="s">
        <v>204</v>
      </c>
      <c r="E760" s="38" t="s">
        <v>127</v>
      </c>
      <c r="F760" s="64">
        <v>45646.618148148104</v>
      </c>
      <c r="G760" s="64">
        <v>45652.696296296301</v>
      </c>
      <c r="H760" s="59" t="s">
        <v>90</v>
      </c>
      <c r="I760" s="60">
        <v>12000</v>
      </c>
      <c r="J760" s="58" t="s">
        <v>107</v>
      </c>
      <c r="K760" s="61" t="s">
        <v>108</v>
      </c>
      <c r="L760" s="64">
        <v>45561.675312500003</v>
      </c>
      <c r="M760" s="64">
        <v>45610.796307870398</v>
      </c>
    </row>
    <row r="761" spans="1:16" s="38" customFormat="1" ht="14.4" customHeight="1" x14ac:dyDescent="0.25">
      <c r="A761" s="44">
        <v>760</v>
      </c>
      <c r="B761" s="45" t="s">
        <v>85</v>
      </c>
      <c r="C761" s="46" t="s">
        <v>269</v>
      </c>
      <c r="D761" s="38" t="s">
        <v>205</v>
      </c>
      <c r="E761" s="38" t="s">
        <v>127</v>
      </c>
      <c r="F761" s="64">
        <v>45646.618148148104</v>
      </c>
      <c r="G761" s="64">
        <v>45652.696296296301</v>
      </c>
      <c r="H761" s="59" t="s">
        <v>90</v>
      </c>
      <c r="I761" s="60">
        <v>12000</v>
      </c>
      <c r="J761" s="58" t="s">
        <v>107</v>
      </c>
      <c r="K761" s="61" t="s">
        <v>108</v>
      </c>
      <c r="L761" s="64">
        <v>45561.675312500003</v>
      </c>
      <c r="M761" s="64">
        <v>45610.796307870398</v>
      </c>
    </row>
    <row r="762" spans="1:16" s="38" customFormat="1" ht="14.4" customHeight="1" x14ac:dyDescent="0.25">
      <c r="A762" s="44">
        <v>761</v>
      </c>
      <c r="B762" s="45" t="s">
        <v>85</v>
      </c>
      <c r="C762" s="46" t="s">
        <v>269</v>
      </c>
      <c r="D762" s="38" t="s">
        <v>206</v>
      </c>
      <c r="E762" s="61"/>
      <c r="H762" s="59" t="s">
        <v>90</v>
      </c>
      <c r="I762" s="60">
        <v>12000</v>
      </c>
      <c r="K762" s="62"/>
      <c r="L762" s="63"/>
      <c r="M762" s="57"/>
    </row>
    <row r="763" spans="1:16" s="38" customFormat="1" ht="14.4" customHeight="1" x14ac:dyDescent="0.25">
      <c r="A763" s="44">
        <v>762</v>
      </c>
      <c r="B763" s="45" t="s">
        <v>85</v>
      </c>
      <c r="C763" s="46" t="s">
        <v>269</v>
      </c>
      <c r="D763" s="38" t="s">
        <v>207</v>
      </c>
      <c r="E763" s="61"/>
      <c r="H763" s="59" t="s">
        <v>90</v>
      </c>
      <c r="I763" s="60">
        <v>12000</v>
      </c>
      <c r="K763" s="62"/>
      <c r="L763" s="63"/>
      <c r="M763" s="57"/>
    </row>
    <row r="764" spans="1:16" s="38" customFormat="1" ht="14.4" customHeight="1" x14ac:dyDescent="0.25">
      <c r="A764" s="44">
        <v>763</v>
      </c>
      <c r="B764" s="45" t="s">
        <v>85</v>
      </c>
      <c r="C764" s="46" t="s">
        <v>269</v>
      </c>
      <c r="D764" s="38" t="s">
        <v>208</v>
      </c>
      <c r="E764" s="61"/>
      <c r="H764" s="59" t="s">
        <v>90</v>
      </c>
      <c r="I764" s="60">
        <v>12000</v>
      </c>
      <c r="K764" s="62"/>
      <c r="L764" s="63"/>
      <c r="M764" s="57"/>
    </row>
    <row r="765" spans="1:16" s="38" customFormat="1" ht="14.4" customHeight="1" x14ac:dyDescent="0.25">
      <c r="A765" s="44">
        <v>764</v>
      </c>
      <c r="B765" s="45" t="s">
        <v>85</v>
      </c>
      <c r="C765" s="46" t="s">
        <v>269</v>
      </c>
      <c r="D765" s="38" t="s">
        <v>209</v>
      </c>
      <c r="E765" s="61"/>
      <c r="H765" s="59" t="s">
        <v>90</v>
      </c>
      <c r="I765" s="60">
        <v>12000</v>
      </c>
      <c r="K765" s="62"/>
      <c r="L765" s="63"/>
      <c r="M765" s="57"/>
    </row>
    <row r="766" spans="1:16" s="38" customFormat="1" ht="14.4" customHeight="1" x14ac:dyDescent="0.25">
      <c r="A766" s="44">
        <v>765</v>
      </c>
      <c r="B766" s="45" t="s">
        <v>85</v>
      </c>
      <c r="C766" s="46" t="s">
        <v>269</v>
      </c>
      <c r="D766" s="38" t="s">
        <v>210</v>
      </c>
      <c r="E766" s="61"/>
      <c r="H766" s="59" t="s">
        <v>90</v>
      </c>
      <c r="I766" s="60">
        <v>12000</v>
      </c>
      <c r="K766" s="62"/>
      <c r="L766" s="63"/>
      <c r="M766" s="57"/>
    </row>
    <row r="767" spans="1:16" s="38" customFormat="1" ht="14.4" customHeight="1" x14ac:dyDescent="0.25">
      <c r="A767" s="44">
        <v>766</v>
      </c>
      <c r="B767" s="45" t="s">
        <v>85</v>
      </c>
      <c r="C767" s="46" t="s">
        <v>269</v>
      </c>
      <c r="D767" s="38" t="s">
        <v>211</v>
      </c>
      <c r="E767" s="61"/>
      <c r="H767" s="59" t="s">
        <v>90</v>
      </c>
      <c r="I767" s="60">
        <v>12000</v>
      </c>
      <c r="K767" s="62"/>
      <c r="L767" s="63"/>
      <c r="M767" s="57"/>
    </row>
    <row r="768" spans="1:16" s="38" customFormat="1" ht="14.4" customHeight="1" x14ac:dyDescent="0.25">
      <c r="A768" s="44">
        <v>767</v>
      </c>
      <c r="B768" s="45" t="s">
        <v>85</v>
      </c>
      <c r="C768" s="66" t="s">
        <v>269</v>
      </c>
      <c r="D768" s="66" t="s">
        <v>212</v>
      </c>
      <c r="E768" s="127" t="s">
        <v>106</v>
      </c>
      <c r="F768" s="68">
        <v>46161.882187499999</v>
      </c>
      <c r="G768" s="68">
        <v>46160.8824074074</v>
      </c>
      <c r="H768" s="54" t="s">
        <v>88</v>
      </c>
      <c r="I768" s="55">
        <v>16000</v>
      </c>
      <c r="J768" s="58" t="s">
        <v>107</v>
      </c>
      <c r="K768" s="67" t="s">
        <v>265</v>
      </c>
      <c r="L768" s="68">
        <v>46152.725462962997</v>
      </c>
      <c r="M768" s="68">
        <v>46153.631990740701</v>
      </c>
      <c r="N768" s="127" t="s">
        <v>146</v>
      </c>
      <c r="O768" s="68">
        <v>46156.916689814803</v>
      </c>
      <c r="P768" s="68">
        <v>46155.916909722197</v>
      </c>
    </row>
    <row r="769" spans="1:13" s="38" customFormat="1" ht="14.4" customHeight="1" x14ac:dyDescent="0.25">
      <c r="A769" s="44">
        <v>768</v>
      </c>
      <c r="B769" s="45" t="s">
        <v>85</v>
      </c>
      <c r="C769" s="46" t="s">
        <v>269</v>
      </c>
      <c r="D769" s="38" t="s">
        <v>213</v>
      </c>
      <c r="E769" s="38" t="s">
        <v>127</v>
      </c>
      <c r="F769" s="64">
        <v>45646.618148148104</v>
      </c>
      <c r="G769" s="64">
        <v>45652.696296296301</v>
      </c>
      <c r="H769" s="59" t="s">
        <v>90</v>
      </c>
      <c r="I769" s="60">
        <v>12000</v>
      </c>
      <c r="J769" s="58" t="s">
        <v>107</v>
      </c>
      <c r="K769" s="61" t="s">
        <v>108</v>
      </c>
      <c r="L769" s="64">
        <v>45561.675312500003</v>
      </c>
      <c r="M769" s="64">
        <v>45610.796307870398</v>
      </c>
    </row>
    <row r="770" spans="1:13" s="38" customFormat="1" ht="14.4" customHeight="1" x14ac:dyDescent="0.25">
      <c r="A770" s="44">
        <v>769</v>
      </c>
      <c r="B770" s="45" t="s">
        <v>85</v>
      </c>
      <c r="C770" s="46" t="s">
        <v>269</v>
      </c>
      <c r="D770" s="38" t="s">
        <v>214</v>
      </c>
      <c r="E770" s="38" t="s">
        <v>127</v>
      </c>
      <c r="F770" s="64">
        <v>45646.618148148104</v>
      </c>
      <c r="G770" s="64">
        <v>45652.696296296301</v>
      </c>
      <c r="H770" s="59" t="s">
        <v>90</v>
      </c>
      <c r="I770" s="60">
        <v>12000</v>
      </c>
      <c r="J770" s="58" t="s">
        <v>107</v>
      </c>
      <c r="K770" s="61" t="s">
        <v>108</v>
      </c>
      <c r="L770" s="64">
        <v>45561.675312500003</v>
      </c>
      <c r="M770" s="64">
        <v>45610.796307870398</v>
      </c>
    </row>
    <row r="771" spans="1:13" s="38" customFormat="1" ht="14.4" customHeight="1" x14ac:dyDescent="0.25">
      <c r="A771" s="44">
        <v>770</v>
      </c>
      <c r="B771" s="45" t="s">
        <v>85</v>
      </c>
      <c r="C771" s="46" t="s">
        <v>269</v>
      </c>
      <c r="D771" s="38" t="s">
        <v>215</v>
      </c>
      <c r="E771" s="38" t="s">
        <v>127</v>
      </c>
      <c r="F771" s="64">
        <v>45646.618148148104</v>
      </c>
      <c r="G771" s="64">
        <v>45652.696296296301</v>
      </c>
      <c r="H771" s="59" t="s">
        <v>90</v>
      </c>
      <c r="I771" s="60">
        <v>12000</v>
      </c>
      <c r="J771" s="58" t="s">
        <v>107</v>
      </c>
      <c r="K771" s="61" t="s">
        <v>108</v>
      </c>
      <c r="L771" s="64">
        <v>45561.675312500003</v>
      </c>
      <c r="M771" s="64">
        <v>45610.796307870398</v>
      </c>
    </row>
    <row r="772" spans="1:13" s="38" customFormat="1" ht="14.4" customHeight="1" x14ac:dyDescent="0.25">
      <c r="A772" s="44">
        <v>771</v>
      </c>
      <c r="B772" s="45" t="s">
        <v>85</v>
      </c>
      <c r="C772" s="46" t="s">
        <v>269</v>
      </c>
      <c r="D772" s="38" t="s">
        <v>216</v>
      </c>
      <c r="E772" s="38" t="s">
        <v>127</v>
      </c>
      <c r="F772" s="64">
        <v>45646.618148148104</v>
      </c>
      <c r="G772" s="64">
        <v>45652.696296296301</v>
      </c>
      <c r="H772" s="59" t="s">
        <v>90</v>
      </c>
      <c r="I772" s="60">
        <v>12000</v>
      </c>
      <c r="J772" s="58" t="s">
        <v>107</v>
      </c>
      <c r="K772" s="61" t="s">
        <v>108</v>
      </c>
      <c r="L772" s="64">
        <v>45561.675312500003</v>
      </c>
      <c r="M772" s="64">
        <v>45610.796307870398</v>
      </c>
    </row>
    <row r="773" spans="1:13" s="38" customFormat="1" ht="14.4" customHeight="1" x14ac:dyDescent="0.25">
      <c r="A773" s="44">
        <v>772</v>
      </c>
      <c r="B773" s="45" t="s">
        <v>85</v>
      </c>
      <c r="C773" s="46" t="s">
        <v>269</v>
      </c>
      <c r="D773" s="38" t="s">
        <v>217</v>
      </c>
      <c r="E773" s="38" t="s">
        <v>127</v>
      </c>
      <c r="F773" s="64">
        <v>45646.618148148104</v>
      </c>
      <c r="G773" s="64">
        <v>45652.696296296301</v>
      </c>
      <c r="H773" s="59" t="s">
        <v>90</v>
      </c>
      <c r="I773" s="60">
        <v>12000</v>
      </c>
      <c r="J773" s="58" t="s">
        <v>107</v>
      </c>
      <c r="K773" s="61" t="s">
        <v>108</v>
      </c>
      <c r="L773" s="64">
        <v>45561.675312500003</v>
      </c>
      <c r="M773" s="64">
        <v>45610.796307870398</v>
      </c>
    </row>
    <row r="774" spans="1:13" s="38" customFormat="1" ht="14.4" customHeight="1" x14ac:dyDescent="0.25">
      <c r="A774" s="44">
        <v>773</v>
      </c>
      <c r="B774" s="45" t="s">
        <v>85</v>
      </c>
      <c r="C774" s="46" t="s">
        <v>269</v>
      </c>
      <c r="D774" s="38" t="s">
        <v>218</v>
      </c>
      <c r="E774" s="38" t="s">
        <v>127</v>
      </c>
      <c r="F774" s="64">
        <v>45646.618148148104</v>
      </c>
      <c r="G774" s="64">
        <v>45652.696296296301</v>
      </c>
      <c r="H774" s="59" t="s">
        <v>90</v>
      </c>
      <c r="I774" s="60">
        <v>12000</v>
      </c>
      <c r="J774" s="58" t="s">
        <v>107</v>
      </c>
      <c r="K774" s="61" t="s">
        <v>108</v>
      </c>
      <c r="L774" s="64">
        <v>45561.675312500003</v>
      </c>
      <c r="M774" s="64">
        <v>45610.796307870398</v>
      </c>
    </row>
    <row r="775" spans="1:13" s="38" customFormat="1" ht="14.4" customHeight="1" x14ac:dyDescent="0.25">
      <c r="A775" s="44">
        <v>774</v>
      </c>
      <c r="B775" s="45" t="s">
        <v>85</v>
      </c>
      <c r="C775" s="46" t="s">
        <v>269</v>
      </c>
      <c r="D775" s="38" t="s">
        <v>219</v>
      </c>
      <c r="E775" s="38" t="s">
        <v>127</v>
      </c>
      <c r="F775" s="64">
        <v>45646.618148148104</v>
      </c>
      <c r="G775" s="64">
        <v>45652.696296296301</v>
      </c>
      <c r="H775" s="59" t="s">
        <v>90</v>
      </c>
      <c r="I775" s="60">
        <v>12000</v>
      </c>
      <c r="J775" s="58" t="s">
        <v>107</v>
      </c>
      <c r="K775" s="61" t="s">
        <v>108</v>
      </c>
      <c r="L775" s="64">
        <v>45561.675312500003</v>
      </c>
      <c r="M775" s="64">
        <v>45610.796307870398</v>
      </c>
    </row>
    <row r="776" spans="1:13" s="38" customFormat="1" ht="14.4" customHeight="1" x14ac:dyDescent="0.25">
      <c r="A776" s="44">
        <v>775</v>
      </c>
      <c r="B776" s="45" t="s">
        <v>85</v>
      </c>
      <c r="C776" s="46" t="s">
        <v>269</v>
      </c>
      <c r="D776" s="38" t="s">
        <v>220</v>
      </c>
      <c r="E776" s="38" t="s">
        <v>127</v>
      </c>
      <c r="F776" s="64">
        <v>45646.618148148104</v>
      </c>
      <c r="G776" s="64">
        <v>45652.696296296301</v>
      </c>
      <c r="H776" s="59" t="s">
        <v>90</v>
      </c>
      <c r="I776" s="60">
        <v>12000</v>
      </c>
      <c r="J776" s="58" t="s">
        <v>107</v>
      </c>
      <c r="K776" s="61" t="s">
        <v>108</v>
      </c>
      <c r="L776" s="64">
        <v>45561.675312500003</v>
      </c>
      <c r="M776" s="64">
        <v>45610.796307870398</v>
      </c>
    </row>
    <row r="777" spans="1:13" s="38" customFormat="1" ht="14.4" customHeight="1" x14ac:dyDescent="0.25">
      <c r="A777" s="44">
        <v>776</v>
      </c>
      <c r="B777" s="45" t="s">
        <v>85</v>
      </c>
      <c r="C777" s="46" t="s">
        <v>269</v>
      </c>
      <c r="D777" s="38" t="s">
        <v>221</v>
      </c>
      <c r="E777" s="38" t="s">
        <v>127</v>
      </c>
      <c r="F777" s="64">
        <v>45646.618148148104</v>
      </c>
      <c r="G777" s="64">
        <v>45652.696296296301</v>
      </c>
      <c r="H777" s="59" t="s">
        <v>90</v>
      </c>
      <c r="I777" s="60">
        <v>12000</v>
      </c>
      <c r="J777" s="58" t="s">
        <v>107</v>
      </c>
      <c r="K777" s="61" t="s">
        <v>108</v>
      </c>
      <c r="L777" s="64">
        <v>45561.675312500003</v>
      </c>
      <c r="M777" s="64">
        <v>45610.796307870398</v>
      </c>
    </row>
    <row r="778" spans="1:13" s="38" customFormat="1" ht="14.4" customHeight="1" x14ac:dyDescent="0.25">
      <c r="A778" s="44">
        <v>777</v>
      </c>
      <c r="B778" s="45" t="s">
        <v>85</v>
      </c>
      <c r="C778" s="46" t="s">
        <v>269</v>
      </c>
      <c r="D778" s="38" t="s">
        <v>222</v>
      </c>
      <c r="E778" s="61"/>
      <c r="H778" s="59" t="s">
        <v>90</v>
      </c>
      <c r="I778" s="60">
        <v>12000</v>
      </c>
      <c r="K778" s="62"/>
      <c r="L778" s="63"/>
      <c r="M778" s="57"/>
    </row>
    <row r="779" spans="1:13" s="38" customFormat="1" ht="14.4" customHeight="1" x14ac:dyDescent="0.25">
      <c r="A779" s="44">
        <v>778</v>
      </c>
      <c r="B779" s="45" t="s">
        <v>85</v>
      </c>
      <c r="C779" s="46" t="s">
        <v>269</v>
      </c>
      <c r="D779" s="38" t="s">
        <v>223</v>
      </c>
      <c r="E779" s="61"/>
      <c r="H779" s="59" t="s">
        <v>90</v>
      </c>
      <c r="I779" s="60">
        <v>12000</v>
      </c>
      <c r="K779" s="62"/>
      <c r="L779" s="63"/>
      <c r="M779" s="57"/>
    </row>
    <row r="780" spans="1:13" s="38" customFormat="1" ht="14.4" customHeight="1" x14ac:dyDescent="0.25">
      <c r="A780" s="44">
        <v>779</v>
      </c>
      <c r="B780" s="45" t="s">
        <v>85</v>
      </c>
      <c r="C780" s="46" t="s">
        <v>269</v>
      </c>
      <c r="D780" s="38" t="s">
        <v>224</v>
      </c>
      <c r="E780" s="61"/>
      <c r="H780" s="59" t="s">
        <v>90</v>
      </c>
      <c r="I780" s="60">
        <v>12000</v>
      </c>
      <c r="K780" s="62"/>
      <c r="L780" s="63"/>
      <c r="M780" s="57"/>
    </row>
    <row r="781" spans="1:13" s="38" customFormat="1" ht="14.4" customHeight="1" x14ac:dyDescent="0.25">
      <c r="A781" s="44">
        <v>780</v>
      </c>
      <c r="B781" s="45" t="s">
        <v>85</v>
      </c>
      <c r="C781" s="46" t="s">
        <v>269</v>
      </c>
      <c r="D781" s="38" t="s">
        <v>225</v>
      </c>
      <c r="E781" s="61"/>
      <c r="H781" s="59" t="s">
        <v>90</v>
      </c>
      <c r="I781" s="60">
        <v>12000</v>
      </c>
      <c r="K781" s="62"/>
      <c r="L781" s="63"/>
      <c r="M781" s="57"/>
    </row>
    <row r="782" spans="1:13" s="38" customFormat="1" ht="14.4" customHeight="1" x14ac:dyDescent="0.25">
      <c r="A782" s="44">
        <v>781</v>
      </c>
      <c r="B782" s="45" t="s">
        <v>85</v>
      </c>
      <c r="C782" s="46" t="s">
        <v>269</v>
      </c>
      <c r="D782" s="38" t="s">
        <v>226</v>
      </c>
      <c r="E782" s="61"/>
      <c r="H782" s="59" t="s">
        <v>90</v>
      </c>
      <c r="I782" s="60">
        <v>12000</v>
      </c>
      <c r="K782" s="62"/>
      <c r="L782" s="63"/>
      <c r="M782" s="57"/>
    </row>
    <row r="783" spans="1:13" s="38" customFormat="1" ht="14.4" customHeight="1" x14ac:dyDescent="0.25">
      <c r="A783" s="44">
        <v>782</v>
      </c>
      <c r="B783" s="45" t="s">
        <v>85</v>
      </c>
      <c r="C783" s="46" t="s">
        <v>269</v>
      </c>
      <c r="D783" s="38" t="s">
        <v>227</v>
      </c>
      <c r="E783" s="61"/>
      <c r="H783" s="59" t="s">
        <v>90</v>
      </c>
      <c r="I783" s="60">
        <v>12000</v>
      </c>
      <c r="K783" s="62"/>
      <c r="L783" s="63"/>
      <c r="M783" s="57"/>
    </row>
    <row r="784" spans="1:13" s="38" customFormat="1" ht="14.4" customHeight="1" x14ac:dyDescent="0.25">
      <c r="A784" s="44">
        <v>783</v>
      </c>
      <c r="B784" s="45" t="s">
        <v>85</v>
      </c>
      <c r="C784" s="46" t="s">
        <v>269</v>
      </c>
      <c r="D784" s="38" t="s">
        <v>228</v>
      </c>
      <c r="E784" s="61"/>
      <c r="H784" s="59" t="s">
        <v>90</v>
      </c>
      <c r="I784" s="60">
        <v>12000</v>
      </c>
      <c r="K784" s="62"/>
      <c r="L784" s="63"/>
      <c r="M784" s="57"/>
    </row>
    <row r="785" spans="1:13" s="38" customFormat="1" ht="14.4" customHeight="1" x14ac:dyDescent="0.25">
      <c r="A785" s="44">
        <v>784</v>
      </c>
      <c r="B785" s="45" t="s">
        <v>85</v>
      </c>
      <c r="C785" s="46" t="s">
        <v>269</v>
      </c>
      <c r="D785" s="38" t="s">
        <v>229</v>
      </c>
      <c r="E785" s="61"/>
      <c r="H785" s="59" t="s">
        <v>90</v>
      </c>
      <c r="I785" s="60">
        <v>12000</v>
      </c>
      <c r="K785" s="62"/>
      <c r="L785" s="63"/>
      <c r="M785" s="57"/>
    </row>
    <row r="786" spans="1:13" s="38" customFormat="1" ht="14.4" customHeight="1" x14ac:dyDescent="0.25">
      <c r="A786" s="44">
        <v>785</v>
      </c>
      <c r="B786" s="45" t="s">
        <v>85</v>
      </c>
      <c r="C786" s="46" t="s">
        <v>269</v>
      </c>
      <c r="D786" s="38" t="s">
        <v>230</v>
      </c>
      <c r="E786" s="61"/>
      <c r="H786" s="54" t="s">
        <v>88</v>
      </c>
      <c r="I786" s="55">
        <v>16000</v>
      </c>
      <c r="K786" s="62"/>
      <c r="L786" s="63"/>
      <c r="M786" s="57"/>
    </row>
    <row r="787" spans="1:13" s="38" customFormat="1" ht="14.4" customHeight="1" x14ac:dyDescent="0.25">
      <c r="A787" s="44">
        <v>786</v>
      </c>
      <c r="B787" s="45" t="s">
        <v>85</v>
      </c>
      <c r="C787" s="46" t="s">
        <v>269</v>
      </c>
      <c r="D787" s="38" t="s">
        <v>231</v>
      </c>
      <c r="E787" s="38" t="s">
        <v>127</v>
      </c>
      <c r="F787" s="64">
        <v>45646.618148148104</v>
      </c>
      <c r="G787" s="64">
        <v>45652.696296296301</v>
      </c>
      <c r="H787" s="59" t="s">
        <v>90</v>
      </c>
      <c r="I787" s="60">
        <v>12000</v>
      </c>
      <c r="J787" s="58" t="s">
        <v>107</v>
      </c>
      <c r="K787" s="61" t="s">
        <v>108</v>
      </c>
      <c r="L787" s="64">
        <v>45561.675312500003</v>
      </c>
      <c r="M787" s="64">
        <v>45610.796307870398</v>
      </c>
    </row>
    <row r="788" spans="1:13" s="38" customFormat="1" ht="14.4" customHeight="1" x14ac:dyDescent="0.25">
      <c r="A788" s="44">
        <v>787</v>
      </c>
      <c r="B788" s="45" t="s">
        <v>85</v>
      </c>
      <c r="C788" s="46" t="s">
        <v>269</v>
      </c>
      <c r="D788" s="38" t="s">
        <v>232</v>
      </c>
      <c r="E788" s="38" t="s">
        <v>127</v>
      </c>
      <c r="F788" s="64">
        <v>45646.618148148104</v>
      </c>
      <c r="G788" s="64">
        <v>45652.696296296301</v>
      </c>
      <c r="H788" s="59" t="s">
        <v>90</v>
      </c>
      <c r="I788" s="60">
        <v>12000</v>
      </c>
      <c r="J788" s="58" t="s">
        <v>107</v>
      </c>
      <c r="K788" s="61" t="s">
        <v>108</v>
      </c>
      <c r="L788" s="64">
        <v>45561.675312500003</v>
      </c>
      <c r="M788" s="64">
        <v>45610.796307870398</v>
      </c>
    </row>
    <row r="789" spans="1:13" s="38" customFormat="1" ht="14.4" customHeight="1" x14ac:dyDescent="0.25">
      <c r="A789" s="44">
        <v>788</v>
      </c>
      <c r="B789" s="45" t="s">
        <v>85</v>
      </c>
      <c r="C789" s="46" t="s">
        <v>269</v>
      </c>
      <c r="D789" s="38" t="s">
        <v>233</v>
      </c>
      <c r="E789" s="38" t="s">
        <v>127</v>
      </c>
      <c r="F789" s="64">
        <v>45646.618148148104</v>
      </c>
      <c r="G789" s="64">
        <v>45652.696296296301</v>
      </c>
      <c r="H789" s="59" t="s">
        <v>90</v>
      </c>
      <c r="I789" s="60">
        <v>12000</v>
      </c>
      <c r="J789" s="58" t="s">
        <v>107</v>
      </c>
      <c r="K789" s="61" t="s">
        <v>108</v>
      </c>
      <c r="L789" s="64">
        <v>45561.675312500003</v>
      </c>
      <c r="M789" s="64">
        <v>45610.796307870398</v>
      </c>
    </row>
    <row r="790" spans="1:13" s="38" customFormat="1" ht="14.4" customHeight="1" x14ac:dyDescent="0.25">
      <c r="A790" s="44">
        <v>789</v>
      </c>
      <c r="B790" s="45" t="s">
        <v>85</v>
      </c>
      <c r="C790" s="46" t="s">
        <v>269</v>
      </c>
      <c r="D790" s="38" t="s">
        <v>234</v>
      </c>
      <c r="E790" s="38" t="s">
        <v>127</v>
      </c>
      <c r="F790" s="64">
        <v>45646.618148148104</v>
      </c>
      <c r="G790" s="64">
        <v>45652.696296296301</v>
      </c>
      <c r="H790" s="59" t="s">
        <v>90</v>
      </c>
      <c r="I790" s="60">
        <v>12000</v>
      </c>
      <c r="J790" s="58" t="s">
        <v>107</v>
      </c>
      <c r="K790" s="61" t="s">
        <v>108</v>
      </c>
      <c r="L790" s="64">
        <v>45561.675312500003</v>
      </c>
      <c r="M790" s="64">
        <v>45610.796307870398</v>
      </c>
    </row>
    <row r="791" spans="1:13" s="38" customFormat="1" ht="14.4" customHeight="1" x14ac:dyDescent="0.25">
      <c r="A791" s="44">
        <v>790</v>
      </c>
      <c r="B791" s="45" t="s">
        <v>85</v>
      </c>
      <c r="C791" s="46" t="s">
        <v>269</v>
      </c>
      <c r="D791" s="38" t="s">
        <v>235</v>
      </c>
      <c r="E791" s="38" t="s">
        <v>127</v>
      </c>
      <c r="F791" s="64">
        <v>45646.618148148104</v>
      </c>
      <c r="G791" s="64">
        <v>45652.696296296301</v>
      </c>
      <c r="H791" s="59" t="s">
        <v>90</v>
      </c>
      <c r="I791" s="60">
        <v>12000</v>
      </c>
      <c r="J791" s="58" t="s">
        <v>107</v>
      </c>
      <c r="K791" s="61" t="s">
        <v>108</v>
      </c>
      <c r="L791" s="64">
        <v>45561.675312500003</v>
      </c>
      <c r="M791" s="64">
        <v>45610.796307870398</v>
      </c>
    </row>
    <row r="792" spans="1:13" s="38" customFormat="1" ht="14.4" customHeight="1" x14ac:dyDescent="0.25">
      <c r="A792" s="44">
        <v>791</v>
      </c>
      <c r="B792" s="45" t="s">
        <v>85</v>
      </c>
      <c r="C792" s="46" t="s">
        <v>269</v>
      </c>
      <c r="D792" s="38" t="s">
        <v>236</v>
      </c>
      <c r="E792" s="38" t="s">
        <v>127</v>
      </c>
      <c r="F792" s="64">
        <v>45646.618148148104</v>
      </c>
      <c r="G792" s="64">
        <v>45652.696296296301</v>
      </c>
      <c r="H792" s="59" t="s">
        <v>90</v>
      </c>
      <c r="I792" s="60">
        <v>12000</v>
      </c>
      <c r="J792" s="58" t="s">
        <v>107</v>
      </c>
      <c r="K792" s="61" t="s">
        <v>108</v>
      </c>
      <c r="L792" s="64">
        <v>45561.675312500003</v>
      </c>
      <c r="M792" s="64">
        <v>45610.796307870398</v>
      </c>
    </row>
    <row r="793" spans="1:13" s="38" customFormat="1" ht="14.4" customHeight="1" x14ac:dyDescent="0.25">
      <c r="A793" s="44">
        <v>792</v>
      </c>
      <c r="B793" s="45" t="s">
        <v>85</v>
      </c>
      <c r="C793" s="46" t="s">
        <v>269</v>
      </c>
      <c r="D793" s="38" t="s">
        <v>237</v>
      </c>
      <c r="E793" s="38" t="s">
        <v>127</v>
      </c>
      <c r="F793" s="64">
        <v>45646.618148148104</v>
      </c>
      <c r="G793" s="64">
        <v>45652.696296296301</v>
      </c>
      <c r="H793" s="59" t="s">
        <v>90</v>
      </c>
      <c r="I793" s="60">
        <v>12000</v>
      </c>
      <c r="J793" s="58" t="s">
        <v>107</v>
      </c>
      <c r="K793" s="61" t="s">
        <v>108</v>
      </c>
      <c r="L793" s="64">
        <v>45561.675312500003</v>
      </c>
      <c r="M793" s="64">
        <v>45610.796307870398</v>
      </c>
    </row>
    <row r="794" spans="1:13" s="38" customFormat="1" ht="14.4" customHeight="1" x14ac:dyDescent="0.25">
      <c r="A794" s="44">
        <v>793</v>
      </c>
      <c r="B794" s="45" t="s">
        <v>85</v>
      </c>
      <c r="C794" s="46" t="s">
        <v>269</v>
      </c>
      <c r="D794" s="38" t="s">
        <v>238</v>
      </c>
      <c r="E794" s="38" t="s">
        <v>127</v>
      </c>
      <c r="F794" s="64">
        <v>45646.618148148104</v>
      </c>
      <c r="G794" s="64">
        <v>45652.696296296301</v>
      </c>
      <c r="H794" s="59" t="s">
        <v>90</v>
      </c>
      <c r="I794" s="60">
        <v>12000</v>
      </c>
      <c r="J794" s="58" t="s">
        <v>107</v>
      </c>
      <c r="K794" s="61" t="s">
        <v>108</v>
      </c>
      <c r="L794" s="64">
        <v>45561.675312500003</v>
      </c>
      <c r="M794" s="64">
        <v>45610.796307870398</v>
      </c>
    </row>
    <row r="795" spans="1:13" s="38" customFormat="1" ht="14.4" customHeight="1" x14ac:dyDescent="0.25">
      <c r="A795" s="44">
        <v>794</v>
      </c>
      <c r="B795" s="45" t="s">
        <v>85</v>
      </c>
      <c r="C795" s="46" t="s">
        <v>269</v>
      </c>
      <c r="D795" s="38" t="s">
        <v>239</v>
      </c>
      <c r="E795" s="38" t="s">
        <v>127</v>
      </c>
      <c r="F795" s="64">
        <v>45646.618148148104</v>
      </c>
      <c r="G795" s="64">
        <v>45652.696296296301</v>
      </c>
      <c r="H795" s="59" t="s">
        <v>90</v>
      </c>
      <c r="I795" s="60">
        <v>12000</v>
      </c>
      <c r="J795" s="58" t="s">
        <v>107</v>
      </c>
      <c r="K795" s="61" t="s">
        <v>108</v>
      </c>
      <c r="L795" s="64">
        <v>45561.675312500003</v>
      </c>
      <c r="M795" s="64">
        <v>45610.796307870398</v>
      </c>
    </row>
    <row r="796" spans="1:13" s="38" customFormat="1" ht="14.4" customHeight="1" x14ac:dyDescent="0.25">
      <c r="A796" s="44">
        <v>795</v>
      </c>
      <c r="B796" s="45" t="s">
        <v>85</v>
      </c>
      <c r="C796" s="46" t="s">
        <v>269</v>
      </c>
      <c r="D796" s="38" t="s">
        <v>240</v>
      </c>
      <c r="E796" s="61"/>
      <c r="H796" s="59" t="s">
        <v>90</v>
      </c>
      <c r="I796" s="60">
        <v>12000</v>
      </c>
      <c r="K796" s="62"/>
      <c r="L796" s="63"/>
      <c r="M796" s="57"/>
    </row>
    <row r="797" spans="1:13" s="38" customFormat="1" ht="14.4" customHeight="1" x14ac:dyDescent="0.25">
      <c r="A797" s="44">
        <v>796</v>
      </c>
      <c r="B797" s="45" t="s">
        <v>85</v>
      </c>
      <c r="C797" s="46" t="s">
        <v>269</v>
      </c>
      <c r="D797" s="38" t="s">
        <v>241</v>
      </c>
      <c r="E797" s="61"/>
      <c r="H797" s="59" t="s">
        <v>90</v>
      </c>
      <c r="I797" s="60">
        <v>12000</v>
      </c>
      <c r="K797" s="62"/>
      <c r="L797" s="63"/>
      <c r="M797" s="57"/>
    </row>
    <row r="798" spans="1:13" s="38" customFormat="1" ht="14.4" customHeight="1" x14ac:dyDescent="0.25">
      <c r="A798" s="44">
        <v>797</v>
      </c>
      <c r="B798" s="45" t="s">
        <v>85</v>
      </c>
      <c r="C798" s="46" t="s">
        <v>269</v>
      </c>
      <c r="D798" s="38" t="s">
        <v>242</v>
      </c>
      <c r="E798" s="61"/>
      <c r="H798" s="59" t="s">
        <v>90</v>
      </c>
      <c r="I798" s="60">
        <v>12000</v>
      </c>
      <c r="K798" s="62"/>
      <c r="L798" s="63"/>
      <c r="M798" s="57"/>
    </row>
    <row r="799" spans="1:13" s="38" customFormat="1" ht="14.4" customHeight="1" x14ac:dyDescent="0.25">
      <c r="A799" s="44">
        <v>798</v>
      </c>
      <c r="B799" s="45" t="s">
        <v>85</v>
      </c>
      <c r="C799" s="46" t="s">
        <v>269</v>
      </c>
      <c r="D799" s="38" t="s">
        <v>243</v>
      </c>
      <c r="E799" s="61"/>
      <c r="H799" s="59" t="s">
        <v>90</v>
      </c>
      <c r="I799" s="60">
        <v>12000</v>
      </c>
      <c r="K799" s="62"/>
      <c r="L799" s="63"/>
      <c r="M799" s="57"/>
    </row>
    <row r="800" spans="1:13" s="38" customFormat="1" ht="14.4" customHeight="1" x14ac:dyDescent="0.25">
      <c r="A800" s="44">
        <v>799</v>
      </c>
      <c r="B800" s="45" t="s">
        <v>85</v>
      </c>
      <c r="C800" s="46" t="s">
        <v>269</v>
      </c>
      <c r="D800" s="38" t="s">
        <v>244</v>
      </c>
      <c r="E800" s="61"/>
      <c r="H800" s="59" t="s">
        <v>90</v>
      </c>
      <c r="I800" s="60">
        <v>12000</v>
      </c>
      <c r="K800" s="62"/>
      <c r="L800" s="63"/>
      <c r="M800" s="57"/>
    </row>
    <row r="801" spans="1:13" s="38" customFormat="1" ht="14.4" customHeight="1" x14ac:dyDescent="0.25">
      <c r="A801" s="44">
        <v>800</v>
      </c>
      <c r="B801" s="45" t="s">
        <v>85</v>
      </c>
      <c r="C801" s="46" t="s">
        <v>269</v>
      </c>
      <c r="D801" s="38" t="s">
        <v>245</v>
      </c>
      <c r="E801" s="61"/>
      <c r="H801" s="59" t="s">
        <v>90</v>
      </c>
      <c r="I801" s="60">
        <v>12000</v>
      </c>
      <c r="K801" s="62"/>
      <c r="L801" s="63"/>
      <c r="M801" s="57"/>
    </row>
    <row r="802" spans="1:13" s="38" customFormat="1" ht="14.4" customHeight="1" x14ac:dyDescent="0.25">
      <c r="A802" s="44">
        <v>801</v>
      </c>
      <c r="B802" s="45" t="s">
        <v>85</v>
      </c>
      <c r="C802" s="46" t="s">
        <v>269</v>
      </c>
      <c r="D802" s="38" t="s">
        <v>246</v>
      </c>
      <c r="E802" s="61"/>
      <c r="H802" s="54" t="s">
        <v>88</v>
      </c>
      <c r="I802" s="55">
        <v>16000</v>
      </c>
      <c r="K802" s="62"/>
      <c r="L802" s="63"/>
      <c r="M802" s="57"/>
    </row>
    <row r="803" spans="1:13" s="38" customFormat="1" ht="14.4" customHeight="1" x14ac:dyDescent="0.25">
      <c r="A803" s="44">
        <v>802</v>
      </c>
      <c r="B803" s="45" t="s">
        <v>85</v>
      </c>
      <c r="C803" s="46" t="s">
        <v>269</v>
      </c>
      <c r="D803" s="38" t="s">
        <v>247</v>
      </c>
      <c r="E803" s="38" t="s">
        <v>127</v>
      </c>
      <c r="F803" s="64">
        <v>45646.618148148104</v>
      </c>
      <c r="G803" s="64">
        <v>45652.696296296301</v>
      </c>
      <c r="H803" s="59" t="s">
        <v>90</v>
      </c>
      <c r="I803" s="60">
        <v>12000</v>
      </c>
      <c r="J803" s="58" t="s">
        <v>107</v>
      </c>
      <c r="K803" s="61" t="s">
        <v>108</v>
      </c>
      <c r="L803" s="64">
        <v>45561.675312500003</v>
      </c>
      <c r="M803" s="64">
        <v>45610.796307870398</v>
      </c>
    </row>
    <row r="804" spans="1:13" s="38" customFormat="1" ht="14.4" customHeight="1" x14ac:dyDescent="0.25">
      <c r="A804" s="44">
        <v>803</v>
      </c>
      <c r="B804" s="45" t="s">
        <v>85</v>
      </c>
      <c r="C804" s="46" t="s">
        <v>269</v>
      </c>
      <c r="D804" s="38" t="s">
        <v>248</v>
      </c>
      <c r="E804" s="38" t="s">
        <v>127</v>
      </c>
      <c r="F804" s="64">
        <v>45646.618148148104</v>
      </c>
      <c r="G804" s="64">
        <v>45652.696296296301</v>
      </c>
      <c r="H804" s="59" t="s">
        <v>90</v>
      </c>
      <c r="I804" s="60">
        <v>12000</v>
      </c>
      <c r="J804" s="58" t="s">
        <v>107</v>
      </c>
      <c r="K804" s="61" t="s">
        <v>108</v>
      </c>
      <c r="L804" s="64">
        <v>45561.675312500003</v>
      </c>
      <c r="M804" s="64">
        <v>45610.796307870398</v>
      </c>
    </row>
    <row r="805" spans="1:13" s="38" customFormat="1" ht="14.4" customHeight="1" x14ac:dyDescent="0.25">
      <c r="A805" s="44">
        <v>804</v>
      </c>
      <c r="B805" s="45" t="s">
        <v>85</v>
      </c>
      <c r="C805" s="46" t="s">
        <v>269</v>
      </c>
      <c r="D805" s="38" t="s">
        <v>249</v>
      </c>
      <c r="E805" s="38" t="s">
        <v>127</v>
      </c>
      <c r="F805" s="64">
        <v>45646.618148148104</v>
      </c>
      <c r="G805" s="64">
        <v>45652.696296296301</v>
      </c>
      <c r="H805" s="59" t="s">
        <v>90</v>
      </c>
      <c r="I805" s="60">
        <v>12000</v>
      </c>
      <c r="J805" s="58" t="s">
        <v>107</v>
      </c>
      <c r="K805" s="61" t="s">
        <v>108</v>
      </c>
      <c r="L805" s="64">
        <v>45561.675312500003</v>
      </c>
      <c r="M805" s="64">
        <v>45610.796307870398</v>
      </c>
    </row>
    <row r="806" spans="1:13" s="38" customFormat="1" ht="14.4" customHeight="1" x14ac:dyDescent="0.25">
      <c r="A806" s="44">
        <v>805</v>
      </c>
      <c r="B806" s="45" t="s">
        <v>85</v>
      </c>
      <c r="C806" s="46" t="s">
        <v>269</v>
      </c>
      <c r="D806" s="38" t="s">
        <v>250</v>
      </c>
      <c r="E806" s="38" t="s">
        <v>127</v>
      </c>
      <c r="F806" s="64">
        <v>45646.618148148104</v>
      </c>
      <c r="G806" s="64">
        <v>45652.696296296301</v>
      </c>
      <c r="H806" s="59" t="s">
        <v>90</v>
      </c>
      <c r="I806" s="60">
        <v>12000</v>
      </c>
      <c r="J806" s="58" t="s">
        <v>107</v>
      </c>
      <c r="K806" s="61" t="s">
        <v>108</v>
      </c>
      <c r="L806" s="64">
        <v>45561.675312500003</v>
      </c>
      <c r="M806" s="64">
        <v>45610.796307870398</v>
      </c>
    </row>
    <row r="807" spans="1:13" s="38" customFormat="1" ht="14.4" customHeight="1" x14ac:dyDescent="0.25">
      <c r="A807" s="44">
        <v>806</v>
      </c>
      <c r="B807" s="45" t="s">
        <v>85</v>
      </c>
      <c r="C807" s="46" t="s">
        <v>269</v>
      </c>
      <c r="D807" s="38" t="s">
        <v>251</v>
      </c>
      <c r="E807" s="38" t="s">
        <v>127</v>
      </c>
      <c r="F807" s="64">
        <v>45646.618148148104</v>
      </c>
      <c r="G807" s="64">
        <v>45652.696296296301</v>
      </c>
      <c r="H807" s="59" t="s">
        <v>90</v>
      </c>
      <c r="I807" s="60">
        <v>12000</v>
      </c>
      <c r="J807" s="58" t="s">
        <v>107</v>
      </c>
      <c r="K807" s="61" t="s">
        <v>108</v>
      </c>
      <c r="L807" s="64">
        <v>45561.675312500003</v>
      </c>
      <c r="M807" s="64">
        <v>45610.796307870398</v>
      </c>
    </row>
    <row r="808" spans="1:13" s="38" customFormat="1" ht="14.4" customHeight="1" x14ac:dyDescent="0.25">
      <c r="A808" s="44">
        <v>807</v>
      </c>
      <c r="B808" s="45" t="s">
        <v>85</v>
      </c>
      <c r="C808" s="46" t="s">
        <v>269</v>
      </c>
      <c r="D808" s="38" t="s">
        <v>252</v>
      </c>
      <c r="E808" s="38" t="s">
        <v>127</v>
      </c>
      <c r="F808" s="64">
        <v>45646.618148148104</v>
      </c>
      <c r="G808" s="64">
        <v>45652.696296296301</v>
      </c>
      <c r="H808" s="59" t="s">
        <v>90</v>
      </c>
      <c r="I808" s="60">
        <v>12000</v>
      </c>
      <c r="J808" s="58" t="s">
        <v>107</v>
      </c>
      <c r="K808" s="61" t="s">
        <v>108</v>
      </c>
      <c r="L808" s="64">
        <v>45561.675312500003</v>
      </c>
      <c r="M808" s="64">
        <v>45610.796307870398</v>
      </c>
    </row>
    <row r="809" spans="1:13" s="38" customFormat="1" ht="14.4" customHeight="1" x14ac:dyDescent="0.25">
      <c r="A809" s="44">
        <v>808</v>
      </c>
      <c r="B809" s="45" t="s">
        <v>85</v>
      </c>
      <c r="C809" s="46" t="s">
        <v>269</v>
      </c>
      <c r="D809" s="38" t="s">
        <v>253</v>
      </c>
      <c r="E809" s="38" t="s">
        <v>127</v>
      </c>
      <c r="F809" s="64">
        <v>45646.618148148104</v>
      </c>
      <c r="G809" s="64">
        <v>45652.696296296301</v>
      </c>
      <c r="H809" s="59" t="s">
        <v>90</v>
      </c>
      <c r="I809" s="60">
        <v>12000</v>
      </c>
      <c r="J809" s="58" t="s">
        <v>107</v>
      </c>
      <c r="K809" s="61" t="s">
        <v>108</v>
      </c>
      <c r="L809" s="64">
        <v>45561.675312500003</v>
      </c>
      <c r="M809" s="64">
        <v>45610.796307870398</v>
      </c>
    </row>
    <row r="810" spans="1:13" s="38" customFormat="1" ht="14.4" customHeight="1" x14ac:dyDescent="0.25">
      <c r="A810" s="44">
        <v>809</v>
      </c>
      <c r="B810" s="45" t="s">
        <v>85</v>
      </c>
      <c r="C810" s="46" t="s">
        <v>269</v>
      </c>
      <c r="D810" s="38" t="s">
        <v>254</v>
      </c>
      <c r="E810" s="38" t="s">
        <v>127</v>
      </c>
      <c r="F810" s="64">
        <v>45646.618148148104</v>
      </c>
      <c r="G810" s="64">
        <v>45652.696296296301</v>
      </c>
      <c r="H810" s="59" t="s">
        <v>90</v>
      </c>
      <c r="I810" s="60">
        <v>12000</v>
      </c>
      <c r="J810" s="58" t="s">
        <v>107</v>
      </c>
      <c r="K810" s="61" t="s">
        <v>108</v>
      </c>
      <c r="L810" s="64">
        <v>45561.675312500003</v>
      </c>
      <c r="M810" s="64">
        <v>45610.796307870398</v>
      </c>
    </row>
    <row r="811" spans="1:13" s="38" customFormat="1" ht="14.4" customHeight="1" x14ac:dyDescent="0.25">
      <c r="A811" s="44">
        <v>810</v>
      </c>
      <c r="B811" s="45" t="s">
        <v>85</v>
      </c>
      <c r="C811" s="46" t="s">
        <v>269</v>
      </c>
      <c r="D811" s="38" t="s">
        <v>255</v>
      </c>
      <c r="E811" s="38" t="s">
        <v>127</v>
      </c>
      <c r="F811" s="64">
        <v>45646.618148148104</v>
      </c>
      <c r="G811" s="64">
        <v>45652.696296296301</v>
      </c>
      <c r="H811" s="59" t="s">
        <v>90</v>
      </c>
      <c r="I811" s="60">
        <v>12000</v>
      </c>
      <c r="J811" s="58" t="s">
        <v>107</v>
      </c>
      <c r="K811" s="61" t="s">
        <v>108</v>
      </c>
      <c r="L811" s="64">
        <v>45561.675312500003</v>
      </c>
      <c r="M811" s="64">
        <v>45610.796307870398</v>
      </c>
    </row>
    <row r="812" spans="1:13" s="38" customFormat="1" ht="14.4" customHeight="1" x14ac:dyDescent="0.25">
      <c r="A812" s="44">
        <v>811</v>
      </c>
      <c r="B812" s="45" t="s">
        <v>85</v>
      </c>
      <c r="C812" s="46" t="s">
        <v>269</v>
      </c>
      <c r="D812" s="38" t="s">
        <v>256</v>
      </c>
      <c r="E812" s="61"/>
      <c r="H812" s="59" t="s">
        <v>90</v>
      </c>
      <c r="I812" s="60">
        <v>12000</v>
      </c>
      <c r="K812" s="62"/>
      <c r="L812" s="63"/>
      <c r="M812" s="57"/>
    </row>
    <row r="813" spans="1:13" s="38" customFormat="1" ht="14.4" customHeight="1" x14ac:dyDescent="0.25">
      <c r="A813" s="44">
        <v>812</v>
      </c>
      <c r="B813" s="45" t="s">
        <v>85</v>
      </c>
      <c r="C813" s="46" t="s">
        <v>269</v>
      </c>
      <c r="D813" s="38" t="s">
        <v>257</v>
      </c>
      <c r="E813" s="61"/>
      <c r="H813" s="59" t="s">
        <v>90</v>
      </c>
      <c r="I813" s="60">
        <v>12000</v>
      </c>
      <c r="K813" s="62"/>
      <c r="L813" s="63"/>
      <c r="M813" s="57"/>
    </row>
    <row r="814" spans="1:13" s="38" customFormat="1" ht="14.4" customHeight="1" x14ac:dyDescent="0.25">
      <c r="A814" s="44">
        <v>813</v>
      </c>
      <c r="B814" s="45" t="s">
        <v>85</v>
      </c>
      <c r="C814" s="46" t="s">
        <v>269</v>
      </c>
      <c r="D814" s="38" t="s">
        <v>258</v>
      </c>
      <c r="E814" s="61"/>
      <c r="H814" s="59" t="s">
        <v>90</v>
      </c>
      <c r="I814" s="60">
        <v>12000</v>
      </c>
      <c r="K814" s="62"/>
      <c r="L814" s="63"/>
      <c r="M814" s="57"/>
    </row>
    <row r="815" spans="1:13" s="38" customFormat="1" ht="14.4" customHeight="1" x14ac:dyDescent="0.25">
      <c r="A815" s="44">
        <v>814</v>
      </c>
      <c r="B815" s="45" t="s">
        <v>85</v>
      </c>
      <c r="C815" s="46" t="s">
        <v>269</v>
      </c>
      <c r="D815" s="38" t="s">
        <v>259</v>
      </c>
      <c r="E815" s="61"/>
      <c r="H815" s="59" t="s">
        <v>90</v>
      </c>
      <c r="I815" s="60">
        <v>12000</v>
      </c>
      <c r="K815" s="62"/>
      <c r="L815" s="63"/>
      <c r="M815" s="57"/>
    </row>
    <row r="816" spans="1:13" s="38" customFormat="1" ht="14.4" customHeight="1" x14ac:dyDescent="0.25">
      <c r="A816" s="44">
        <v>815</v>
      </c>
      <c r="B816" s="45" t="s">
        <v>85</v>
      </c>
      <c r="C816" s="46" t="s">
        <v>269</v>
      </c>
      <c r="D816" s="38" t="s">
        <v>260</v>
      </c>
      <c r="E816" s="61"/>
      <c r="H816" s="59" t="s">
        <v>90</v>
      </c>
      <c r="I816" s="60">
        <v>12000</v>
      </c>
      <c r="K816" s="62"/>
      <c r="L816" s="63"/>
      <c r="M816" s="57"/>
    </row>
    <row r="817" spans="1:22" s="38" customFormat="1" ht="14.4" customHeight="1" x14ac:dyDescent="0.25">
      <c r="A817" s="44">
        <v>816</v>
      </c>
      <c r="B817" s="45" t="s">
        <v>85</v>
      </c>
      <c r="C817" s="46" t="s">
        <v>269</v>
      </c>
      <c r="D817" s="38" t="s">
        <v>261</v>
      </c>
      <c r="E817" s="61"/>
      <c r="H817" s="59" t="s">
        <v>90</v>
      </c>
      <c r="I817" s="60">
        <v>12000</v>
      </c>
      <c r="K817" s="62"/>
      <c r="L817" s="63"/>
      <c r="M817" s="57"/>
    </row>
    <row r="818" spans="1:22" s="38" customFormat="1" ht="14.4" customHeight="1" x14ac:dyDescent="0.25">
      <c r="A818" s="44">
        <v>817</v>
      </c>
      <c r="B818" s="45" t="s">
        <v>85</v>
      </c>
      <c r="C818" s="46" t="s">
        <v>269</v>
      </c>
      <c r="D818" s="38" t="s">
        <v>262</v>
      </c>
      <c r="E818" s="61"/>
      <c r="H818" s="59" t="s">
        <v>90</v>
      </c>
      <c r="I818" s="60">
        <v>12000</v>
      </c>
      <c r="K818" s="62"/>
      <c r="L818" s="63"/>
      <c r="M818" s="57"/>
    </row>
    <row r="819" spans="1:22" s="38" customFormat="1" ht="14.4" customHeight="1" x14ac:dyDescent="0.25">
      <c r="A819" s="44">
        <v>818</v>
      </c>
      <c r="B819" s="45" t="s">
        <v>85</v>
      </c>
      <c r="C819" s="46" t="s">
        <v>269</v>
      </c>
      <c r="D819" s="38" t="s">
        <v>263</v>
      </c>
      <c r="E819" s="61"/>
      <c r="H819" s="59" t="s">
        <v>90</v>
      </c>
      <c r="I819" s="60">
        <v>12000</v>
      </c>
      <c r="K819" s="62"/>
      <c r="L819" s="63"/>
      <c r="M819" s="57"/>
    </row>
    <row r="820" spans="1:22" s="38" customFormat="1" ht="14.4" customHeight="1" x14ac:dyDescent="0.25">
      <c r="A820" s="44">
        <v>819</v>
      </c>
      <c r="B820" s="45" t="s">
        <v>85</v>
      </c>
      <c r="C820" s="72" t="s">
        <v>270</v>
      </c>
      <c r="D820" s="72" t="s">
        <v>87</v>
      </c>
      <c r="E820" s="75" t="s">
        <v>265</v>
      </c>
      <c r="F820" s="76">
        <v>46093.675509259301</v>
      </c>
      <c r="G820" s="76">
        <v>46094.695486111101</v>
      </c>
      <c r="H820" s="54" t="s">
        <v>88</v>
      </c>
      <c r="I820" s="55">
        <v>16000</v>
      </c>
      <c r="J820" s="58" t="s">
        <v>107</v>
      </c>
      <c r="K820" s="62"/>
      <c r="L820" s="63"/>
      <c r="M820" s="57"/>
    </row>
    <row r="821" spans="1:22" s="38" customFormat="1" ht="14.4" customHeight="1" x14ac:dyDescent="0.25">
      <c r="A821" s="44">
        <v>820</v>
      </c>
      <c r="B821" s="45" t="s">
        <v>85</v>
      </c>
      <c r="C821" s="72" t="s">
        <v>270</v>
      </c>
      <c r="D821" s="72" t="s">
        <v>89</v>
      </c>
      <c r="E821" s="75" t="s">
        <v>265</v>
      </c>
      <c r="F821" s="76">
        <v>46093.675486111097</v>
      </c>
      <c r="G821" s="76">
        <v>46094.695752314801</v>
      </c>
      <c r="H821" s="59" t="s">
        <v>90</v>
      </c>
      <c r="I821" s="60">
        <v>12000</v>
      </c>
      <c r="J821" s="58" t="s">
        <v>107</v>
      </c>
      <c r="K821" s="61" t="s">
        <v>108</v>
      </c>
      <c r="L821" s="64">
        <v>45561.675312500003</v>
      </c>
      <c r="M821" s="64">
        <v>45610.796307870398</v>
      </c>
      <c r="N821" s="38" t="s">
        <v>127</v>
      </c>
      <c r="O821" s="64">
        <v>45646.618148148104</v>
      </c>
      <c r="P821" s="64">
        <v>45652.696296296301</v>
      </c>
    </row>
    <row r="822" spans="1:22" s="38" customFormat="1" ht="14.4" customHeight="1" x14ac:dyDescent="0.25">
      <c r="A822" s="44">
        <v>821</v>
      </c>
      <c r="B822" s="45" t="s">
        <v>85</v>
      </c>
      <c r="C822" s="72" t="s">
        <v>270</v>
      </c>
      <c r="D822" s="72" t="s">
        <v>91</v>
      </c>
      <c r="E822" s="38" t="s">
        <v>106</v>
      </c>
      <c r="F822" s="64">
        <v>46106.478032407402</v>
      </c>
      <c r="G822" s="64">
        <v>46104.478252314802</v>
      </c>
      <c r="H822" s="59" t="s">
        <v>90</v>
      </c>
      <c r="I822" s="60">
        <v>12000</v>
      </c>
      <c r="J822" s="58" t="s">
        <v>107</v>
      </c>
      <c r="K822" s="61" t="s">
        <v>108</v>
      </c>
      <c r="L822" s="64">
        <v>45561.675312500003</v>
      </c>
      <c r="M822" s="64">
        <v>45610.796307870398</v>
      </c>
      <c r="N822" s="38" t="s">
        <v>127</v>
      </c>
      <c r="O822" s="64">
        <v>45646.618148148104</v>
      </c>
      <c r="P822" s="64">
        <v>45652.696296296301</v>
      </c>
      <c r="Q822" s="38" t="s">
        <v>265</v>
      </c>
      <c r="R822" s="64">
        <v>46099.7344212963</v>
      </c>
      <c r="S822" s="64">
        <v>46100.6425115741</v>
      </c>
      <c r="T822" s="75" t="s">
        <v>146</v>
      </c>
      <c r="U822" s="76">
        <v>46102.833622685197</v>
      </c>
      <c r="V822" s="76">
        <v>46101.833842592598</v>
      </c>
    </row>
    <row r="823" spans="1:22" s="38" customFormat="1" ht="14.4" customHeight="1" x14ac:dyDescent="0.25">
      <c r="A823" s="44">
        <v>822</v>
      </c>
      <c r="B823" s="45" t="s">
        <v>85</v>
      </c>
      <c r="C823" s="72" t="s">
        <v>270</v>
      </c>
      <c r="D823" s="72" t="s">
        <v>92</v>
      </c>
      <c r="E823" s="75" t="s">
        <v>265</v>
      </c>
      <c r="F823" s="76">
        <v>46093.675497685203</v>
      </c>
      <c r="G823" s="76">
        <v>46094.697731481501</v>
      </c>
      <c r="H823" s="59" t="s">
        <v>90</v>
      </c>
      <c r="I823" s="60">
        <v>12000</v>
      </c>
      <c r="J823" s="58" t="s">
        <v>107</v>
      </c>
      <c r="K823" s="61" t="s">
        <v>108</v>
      </c>
      <c r="L823" s="64">
        <v>45561.675312500003</v>
      </c>
      <c r="M823" s="64">
        <v>45610.796307870398</v>
      </c>
      <c r="N823" s="38" t="s">
        <v>127</v>
      </c>
      <c r="O823" s="64">
        <v>45646.618148148104</v>
      </c>
      <c r="P823" s="64">
        <v>45652.696296296301</v>
      </c>
    </row>
    <row r="824" spans="1:22" s="38" customFormat="1" ht="14.4" customHeight="1" x14ac:dyDescent="0.25">
      <c r="A824" s="44">
        <v>823</v>
      </c>
      <c r="B824" s="45" t="s">
        <v>85</v>
      </c>
      <c r="C824" s="72" t="s">
        <v>270</v>
      </c>
      <c r="D824" s="72" t="s">
        <v>93</v>
      </c>
      <c r="E824" s="75" t="s">
        <v>265</v>
      </c>
      <c r="F824" s="76">
        <v>46093.675486111097</v>
      </c>
      <c r="G824" s="76">
        <v>46094.698923611097</v>
      </c>
      <c r="H824" s="59" t="s">
        <v>90</v>
      </c>
      <c r="I824" s="60">
        <v>12000</v>
      </c>
      <c r="J824" s="58" t="s">
        <v>107</v>
      </c>
      <c r="K824" s="61" t="s">
        <v>108</v>
      </c>
      <c r="L824" s="64">
        <v>45561.675312500003</v>
      </c>
      <c r="M824" s="64">
        <v>45610.796307870398</v>
      </c>
      <c r="N824" s="38" t="s">
        <v>127</v>
      </c>
      <c r="O824" s="64">
        <v>45646.618148148104</v>
      </c>
      <c r="P824" s="64">
        <v>45652.696296296301</v>
      </c>
    </row>
    <row r="825" spans="1:22" s="38" customFormat="1" ht="14.4" customHeight="1" x14ac:dyDescent="0.25">
      <c r="A825" s="44">
        <v>824</v>
      </c>
      <c r="B825" s="45" t="s">
        <v>85</v>
      </c>
      <c r="C825" s="72" t="s">
        <v>270</v>
      </c>
      <c r="D825" s="72" t="s">
        <v>94</v>
      </c>
      <c r="E825" s="38" t="s">
        <v>106</v>
      </c>
      <c r="F825" s="64">
        <v>46106.481574074103</v>
      </c>
      <c r="G825" s="64">
        <v>46104.481782407398</v>
      </c>
      <c r="H825" s="59" t="s">
        <v>90</v>
      </c>
      <c r="I825" s="60">
        <v>12000</v>
      </c>
      <c r="J825" s="58" t="s">
        <v>107</v>
      </c>
      <c r="K825" s="61" t="s">
        <v>108</v>
      </c>
      <c r="L825" s="64">
        <v>45561.675312500003</v>
      </c>
      <c r="M825" s="64">
        <v>45610.796307870398</v>
      </c>
      <c r="N825" s="38" t="s">
        <v>127</v>
      </c>
      <c r="O825" s="64">
        <v>45646.618148148104</v>
      </c>
      <c r="P825" s="64">
        <v>45652.696296296301</v>
      </c>
      <c r="Q825" s="38" t="s">
        <v>265</v>
      </c>
      <c r="R825" s="64">
        <v>46099.7344212963</v>
      </c>
      <c r="S825" s="64">
        <v>46100.642627314803</v>
      </c>
      <c r="T825" s="75" t="s">
        <v>146</v>
      </c>
      <c r="U825" s="76">
        <v>46102.833622685197</v>
      </c>
      <c r="V825" s="76">
        <v>46101.833842592598</v>
      </c>
    </row>
    <row r="826" spans="1:22" s="38" customFormat="1" ht="14.4" customHeight="1" x14ac:dyDescent="0.25">
      <c r="A826" s="44">
        <v>825</v>
      </c>
      <c r="B826" s="45" t="s">
        <v>85</v>
      </c>
      <c r="C826" s="72" t="s">
        <v>270</v>
      </c>
      <c r="D826" s="72" t="s">
        <v>95</v>
      </c>
      <c r="E826" s="75" t="s">
        <v>265</v>
      </c>
      <c r="F826" s="76">
        <v>46093.675509259301</v>
      </c>
      <c r="G826" s="76">
        <v>46094.7008333333</v>
      </c>
      <c r="H826" s="59" t="s">
        <v>90</v>
      </c>
      <c r="I826" s="60">
        <v>12000</v>
      </c>
      <c r="J826" s="58" t="s">
        <v>107</v>
      </c>
      <c r="K826" s="61" t="s">
        <v>108</v>
      </c>
      <c r="L826" s="64">
        <v>45561.675312500003</v>
      </c>
      <c r="M826" s="64">
        <v>45610.796307870398</v>
      </c>
      <c r="N826" s="38" t="s">
        <v>127</v>
      </c>
      <c r="O826" s="64">
        <v>45646.618148148104</v>
      </c>
      <c r="P826" s="64">
        <v>45652.696296296301</v>
      </c>
    </row>
    <row r="827" spans="1:22" s="38" customFormat="1" ht="14.4" customHeight="1" x14ac:dyDescent="0.25">
      <c r="A827" s="44">
        <v>826</v>
      </c>
      <c r="B827" s="45" t="s">
        <v>85</v>
      </c>
      <c r="C827" s="72" t="s">
        <v>270</v>
      </c>
      <c r="D827" s="72" t="s">
        <v>96</v>
      </c>
      <c r="E827" s="75" t="s">
        <v>265</v>
      </c>
      <c r="F827" s="76">
        <v>46093.675497685203</v>
      </c>
      <c r="G827" s="76">
        <v>46094.702708333301</v>
      </c>
      <c r="H827" s="59" t="s">
        <v>90</v>
      </c>
      <c r="I827" s="60">
        <v>12000</v>
      </c>
      <c r="J827" s="58" t="s">
        <v>107</v>
      </c>
      <c r="K827" s="61" t="s">
        <v>108</v>
      </c>
      <c r="L827" s="64">
        <v>45561.675312500003</v>
      </c>
      <c r="M827" s="64">
        <v>45610.796307870398</v>
      </c>
      <c r="N827" s="38" t="s">
        <v>127</v>
      </c>
      <c r="O827" s="64">
        <v>45646.618148148104</v>
      </c>
      <c r="P827" s="64">
        <v>45652.696296296301</v>
      </c>
    </row>
    <row r="828" spans="1:22" s="38" customFormat="1" ht="14.4" customHeight="1" x14ac:dyDescent="0.25">
      <c r="A828" s="44">
        <v>827</v>
      </c>
      <c r="B828" s="45" t="s">
        <v>85</v>
      </c>
      <c r="C828" s="72" t="s">
        <v>270</v>
      </c>
      <c r="D828" s="72" t="s">
        <v>97</v>
      </c>
      <c r="E828" s="38" t="s">
        <v>106</v>
      </c>
      <c r="F828" s="64">
        <v>46106.589826388903</v>
      </c>
      <c r="G828" s="64">
        <v>46104.590034722198</v>
      </c>
      <c r="H828" s="59" t="s">
        <v>90</v>
      </c>
      <c r="I828" s="60">
        <v>12000</v>
      </c>
      <c r="J828" s="58" t="s">
        <v>107</v>
      </c>
      <c r="K828" s="61" t="s">
        <v>108</v>
      </c>
      <c r="L828" s="64">
        <v>45561.675312500003</v>
      </c>
      <c r="M828" s="64">
        <v>45610.796307870398</v>
      </c>
      <c r="N828" s="38" t="s">
        <v>127</v>
      </c>
      <c r="O828" s="64">
        <v>45646.618148148104</v>
      </c>
      <c r="P828" s="64">
        <v>45652.696296296301</v>
      </c>
      <c r="Q828" s="38" t="s">
        <v>265</v>
      </c>
      <c r="R828" s="64">
        <v>46099.7344212963</v>
      </c>
      <c r="S828" s="64">
        <v>46100.647569444402</v>
      </c>
      <c r="T828" s="75" t="s">
        <v>146</v>
      </c>
      <c r="U828" s="76">
        <v>46102.833622685197</v>
      </c>
      <c r="V828" s="76">
        <v>46101.833842592598</v>
      </c>
    </row>
    <row r="829" spans="1:22" s="38" customFormat="1" ht="14.4" customHeight="1" x14ac:dyDescent="0.25">
      <c r="A829" s="44">
        <v>828</v>
      </c>
      <c r="B829" s="45" t="s">
        <v>85</v>
      </c>
      <c r="C829" s="72" t="s">
        <v>270</v>
      </c>
      <c r="D829" s="72" t="s">
        <v>98</v>
      </c>
      <c r="E829" s="75" t="s">
        <v>265</v>
      </c>
      <c r="F829" s="76">
        <v>46093.675497685203</v>
      </c>
      <c r="G829" s="76">
        <v>46094.704236111102</v>
      </c>
      <c r="H829" s="59" t="s">
        <v>90</v>
      </c>
      <c r="I829" s="60">
        <v>12000</v>
      </c>
      <c r="J829" s="58" t="s">
        <v>107</v>
      </c>
      <c r="K829" s="61" t="s">
        <v>108</v>
      </c>
      <c r="L829" s="64">
        <v>45561.675312500003</v>
      </c>
      <c r="M829" s="64">
        <v>45610.796307870398</v>
      </c>
      <c r="N829" s="38" t="s">
        <v>127</v>
      </c>
      <c r="O829" s="64">
        <v>45646.618148148104</v>
      </c>
      <c r="P829" s="64">
        <v>45652.696296296301</v>
      </c>
    </row>
    <row r="830" spans="1:22" s="38" customFormat="1" ht="14.4" customHeight="1" x14ac:dyDescent="0.25">
      <c r="A830" s="44">
        <v>829</v>
      </c>
      <c r="B830" s="45" t="s">
        <v>85</v>
      </c>
      <c r="C830" s="66" t="s">
        <v>270</v>
      </c>
      <c r="D830" s="66" t="s">
        <v>99</v>
      </c>
      <c r="E830" s="67" t="s">
        <v>106</v>
      </c>
      <c r="F830" s="68">
        <v>46136.488888888904</v>
      </c>
      <c r="G830" s="68">
        <v>46134.489097222198</v>
      </c>
      <c r="H830" s="59" t="s">
        <v>90</v>
      </c>
      <c r="I830" s="60">
        <v>12000</v>
      </c>
      <c r="J830" s="58" t="s">
        <v>107</v>
      </c>
      <c r="K830" s="75" t="s">
        <v>265</v>
      </c>
      <c r="L830" s="76">
        <v>46093.675497685203</v>
      </c>
      <c r="M830" s="76">
        <v>46094.708298611098</v>
      </c>
      <c r="N830" s="75" t="s">
        <v>146</v>
      </c>
      <c r="O830" s="76">
        <v>46102.833622685197</v>
      </c>
      <c r="P830" s="76">
        <v>46101.833842592598</v>
      </c>
    </row>
    <row r="831" spans="1:22" s="38" customFormat="1" ht="14.4" customHeight="1" x14ac:dyDescent="0.25">
      <c r="A831" s="44">
        <v>830</v>
      </c>
      <c r="B831" s="45" t="s">
        <v>85</v>
      </c>
      <c r="C831" s="66" t="s">
        <v>270</v>
      </c>
      <c r="D831" s="66" t="s">
        <v>100</v>
      </c>
      <c r="E831" s="67" t="s">
        <v>106</v>
      </c>
      <c r="F831" s="68">
        <v>46136.488854166702</v>
      </c>
      <c r="G831" s="68">
        <v>46134.489062499997</v>
      </c>
      <c r="H831" s="59" t="s">
        <v>90</v>
      </c>
      <c r="I831" s="60">
        <v>12000</v>
      </c>
      <c r="J831" s="58" t="s">
        <v>107</v>
      </c>
      <c r="K831" s="75" t="s">
        <v>265</v>
      </c>
      <c r="L831" s="64">
        <v>46101.725949074098</v>
      </c>
      <c r="M831" s="64">
        <v>46104.771307870396</v>
      </c>
      <c r="N831" s="67" t="s">
        <v>146</v>
      </c>
      <c r="O831" s="68">
        <v>46108.833564814799</v>
      </c>
      <c r="P831" s="68">
        <v>46107.834374999999</v>
      </c>
    </row>
    <row r="832" spans="1:22" s="38" customFormat="1" ht="14.4" customHeight="1" x14ac:dyDescent="0.25">
      <c r="A832" s="44">
        <v>831</v>
      </c>
      <c r="B832" s="45" t="s">
        <v>85</v>
      </c>
      <c r="C832" s="66" t="s">
        <v>270</v>
      </c>
      <c r="D832" s="66" t="s">
        <v>101</v>
      </c>
      <c r="E832" s="67" t="s">
        <v>106</v>
      </c>
      <c r="F832" s="68">
        <v>46136.492430555598</v>
      </c>
      <c r="G832" s="68">
        <v>46134.4926388889</v>
      </c>
      <c r="H832" s="59" t="s">
        <v>90</v>
      </c>
      <c r="I832" s="60">
        <v>12000</v>
      </c>
      <c r="J832" s="58" t="s">
        <v>107</v>
      </c>
      <c r="K832" s="75" t="s">
        <v>265</v>
      </c>
      <c r="L832" s="76">
        <v>46093.675497685203</v>
      </c>
      <c r="M832" s="76">
        <v>46094.7085532407</v>
      </c>
      <c r="N832" s="82" t="s">
        <v>146</v>
      </c>
      <c r="O832" s="83">
        <v>46100.833622685197</v>
      </c>
      <c r="P832" s="83">
        <v>46099.833854166704</v>
      </c>
    </row>
    <row r="833" spans="1:22" s="38" customFormat="1" ht="14.4" customHeight="1" x14ac:dyDescent="0.25">
      <c r="A833" s="44">
        <v>832</v>
      </c>
      <c r="B833" s="45" t="s">
        <v>85</v>
      </c>
      <c r="C833" s="66" t="s">
        <v>270</v>
      </c>
      <c r="D833" s="66" t="s">
        <v>102</v>
      </c>
      <c r="E833" s="67" t="s">
        <v>106</v>
      </c>
      <c r="F833" s="68">
        <v>46136.731412036999</v>
      </c>
      <c r="G833" s="68">
        <v>46134.7316319444</v>
      </c>
      <c r="H833" s="59" t="s">
        <v>90</v>
      </c>
      <c r="I833" s="60">
        <v>12000</v>
      </c>
      <c r="J833" s="58" t="s">
        <v>107</v>
      </c>
      <c r="K833" s="75" t="s">
        <v>265</v>
      </c>
      <c r="L833" s="76">
        <v>46093.675509259301</v>
      </c>
      <c r="M833" s="76">
        <v>46094.710104166697</v>
      </c>
      <c r="N833" s="82" t="s">
        <v>146</v>
      </c>
      <c r="O833" s="83">
        <v>46100.833622685197</v>
      </c>
      <c r="P833" s="83">
        <v>46099.833854166704</v>
      </c>
    </row>
    <row r="834" spans="1:22" s="38" customFormat="1" ht="14.4" customHeight="1" x14ac:dyDescent="0.25">
      <c r="A834" s="44">
        <v>833</v>
      </c>
      <c r="B834" s="45" t="s">
        <v>85</v>
      </c>
      <c r="C834" s="66" t="s">
        <v>270</v>
      </c>
      <c r="D834" s="66" t="s">
        <v>103</v>
      </c>
      <c r="E834" s="67" t="s">
        <v>106</v>
      </c>
      <c r="F834" s="68">
        <v>46136.731412036999</v>
      </c>
      <c r="G834" s="68">
        <v>46134.7316319444</v>
      </c>
      <c r="H834" s="59" t="s">
        <v>90</v>
      </c>
      <c r="I834" s="60">
        <v>12000</v>
      </c>
      <c r="J834" s="58" t="s">
        <v>107</v>
      </c>
      <c r="K834" s="62"/>
      <c r="L834" s="63"/>
      <c r="M834" s="57"/>
      <c r="N834" s="79" t="s">
        <v>108</v>
      </c>
      <c r="O834" s="64">
        <v>46101.725949074098</v>
      </c>
      <c r="P834" s="64">
        <v>46104.771307870396</v>
      </c>
    </row>
    <row r="835" spans="1:22" s="38" customFormat="1" ht="14.4" customHeight="1" x14ac:dyDescent="0.25">
      <c r="A835" s="44">
        <v>834</v>
      </c>
      <c r="B835" s="45" t="s">
        <v>85</v>
      </c>
      <c r="C835" s="46" t="s">
        <v>270</v>
      </c>
      <c r="D835" s="46" t="s">
        <v>104</v>
      </c>
      <c r="E835" s="61"/>
      <c r="H835" s="59" t="s">
        <v>90</v>
      </c>
      <c r="I835" s="60">
        <v>12000</v>
      </c>
      <c r="K835" s="62"/>
      <c r="L835" s="63"/>
      <c r="M835" s="57"/>
    </row>
    <row r="836" spans="1:22" s="38" customFormat="1" ht="14.4" customHeight="1" x14ac:dyDescent="0.25">
      <c r="A836" s="44">
        <v>835</v>
      </c>
      <c r="B836" s="45" t="s">
        <v>85</v>
      </c>
      <c r="C836" s="66" t="s">
        <v>270</v>
      </c>
      <c r="D836" s="66" t="s">
        <v>105</v>
      </c>
      <c r="E836" s="67" t="s">
        <v>265</v>
      </c>
      <c r="F836" s="68">
        <v>46043.733738425901</v>
      </c>
      <c r="G836" s="68">
        <v>46044.663090277798</v>
      </c>
      <c r="H836" s="54" t="s">
        <v>88</v>
      </c>
      <c r="I836" s="55">
        <v>16000</v>
      </c>
      <c r="J836" s="58" t="s">
        <v>107</v>
      </c>
      <c r="K836" s="62"/>
      <c r="L836" s="63"/>
      <c r="M836" s="57"/>
    </row>
    <row r="837" spans="1:22" s="38" customFormat="1" ht="14.4" customHeight="1" x14ac:dyDescent="0.25">
      <c r="A837" s="44">
        <v>836</v>
      </c>
      <c r="B837" s="45" t="s">
        <v>85</v>
      </c>
      <c r="C837" s="66" t="s">
        <v>270</v>
      </c>
      <c r="D837" s="66" t="s">
        <v>109</v>
      </c>
      <c r="E837" s="67" t="s">
        <v>106</v>
      </c>
      <c r="F837" s="68">
        <v>46136.738414351901</v>
      </c>
      <c r="G837" s="68">
        <v>46134.738622685203</v>
      </c>
      <c r="H837" s="59" t="s">
        <v>90</v>
      </c>
      <c r="I837" s="60">
        <v>12000</v>
      </c>
      <c r="J837" s="58" t="s">
        <v>107</v>
      </c>
      <c r="K837" s="61" t="s">
        <v>108</v>
      </c>
      <c r="L837" s="64">
        <v>45561.675312500003</v>
      </c>
      <c r="M837" s="64">
        <v>45610.796307870398</v>
      </c>
      <c r="N837" s="38" t="s">
        <v>127</v>
      </c>
      <c r="O837" s="64">
        <v>45646.618148148104</v>
      </c>
      <c r="P837" s="64">
        <v>45652.696296296301</v>
      </c>
      <c r="Q837" s="79" t="s">
        <v>108</v>
      </c>
      <c r="R837" s="64">
        <v>46101.725949074098</v>
      </c>
      <c r="S837" s="64">
        <v>46104.771307870396</v>
      </c>
    </row>
    <row r="838" spans="1:22" s="38" customFormat="1" ht="14.4" customHeight="1" x14ac:dyDescent="0.25">
      <c r="A838" s="44">
        <v>837</v>
      </c>
      <c r="B838" s="45" t="s">
        <v>85</v>
      </c>
      <c r="C838" s="66" t="s">
        <v>270</v>
      </c>
      <c r="D838" s="66" t="s">
        <v>110</v>
      </c>
      <c r="E838" s="67" t="s">
        <v>106</v>
      </c>
      <c r="F838" s="68">
        <v>46139.734548611101</v>
      </c>
      <c r="G838" s="68">
        <v>46137.734756944403</v>
      </c>
      <c r="H838" s="59" t="s">
        <v>90</v>
      </c>
      <c r="I838" s="60">
        <v>12000</v>
      </c>
      <c r="J838" s="58" t="s">
        <v>107</v>
      </c>
      <c r="K838" s="61" t="s">
        <v>108</v>
      </c>
      <c r="L838" s="64">
        <v>45561.675312500003</v>
      </c>
      <c r="M838" s="64">
        <v>45610.796307870398</v>
      </c>
      <c r="N838" s="38" t="s">
        <v>127</v>
      </c>
      <c r="O838" s="64">
        <v>45646.618148148104</v>
      </c>
      <c r="P838" s="64">
        <v>45652.696296296301</v>
      </c>
      <c r="Q838" s="75" t="s">
        <v>265</v>
      </c>
      <c r="R838" s="76">
        <v>46093.675486111097</v>
      </c>
      <c r="S838" s="76">
        <v>46094.736689814803</v>
      </c>
      <c r="T838" s="75" t="s">
        <v>146</v>
      </c>
      <c r="U838" s="76">
        <v>46104.833518518499</v>
      </c>
      <c r="V838" s="76">
        <v>46103.833726851903</v>
      </c>
    </row>
    <row r="839" spans="1:22" s="38" customFormat="1" ht="14.4" customHeight="1" x14ac:dyDescent="0.25">
      <c r="A839" s="44">
        <v>838</v>
      </c>
      <c r="B839" s="45" t="s">
        <v>85</v>
      </c>
      <c r="C839" s="66" t="s">
        <v>270</v>
      </c>
      <c r="D839" s="66" t="s">
        <v>111</v>
      </c>
      <c r="E839" s="67" t="s">
        <v>106</v>
      </c>
      <c r="F839" s="68">
        <v>46139.738043981502</v>
      </c>
      <c r="G839" s="68">
        <v>46137.738263888903</v>
      </c>
      <c r="H839" s="59" t="s">
        <v>90</v>
      </c>
      <c r="I839" s="60">
        <v>12000</v>
      </c>
      <c r="J839" s="58" t="s">
        <v>107</v>
      </c>
      <c r="K839" s="61" t="s">
        <v>108</v>
      </c>
      <c r="L839" s="64">
        <v>45561.675312500003</v>
      </c>
      <c r="M839" s="64">
        <v>45610.796307870398</v>
      </c>
      <c r="N839" s="38" t="s">
        <v>127</v>
      </c>
      <c r="O839" s="64">
        <v>45646.618148148104</v>
      </c>
      <c r="P839" s="64">
        <v>45652.696296296301</v>
      </c>
      <c r="Q839" s="75" t="s">
        <v>265</v>
      </c>
      <c r="R839" s="76">
        <v>46093.675486111097</v>
      </c>
      <c r="S839" s="76">
        <v>46094.736770833297</v>
      </c>
      <c r="T839" s="75" t="s">
        <v>146</v>
      </c>
      <c r="U839" s="76">
        <v>46103.834444444401</v>
      </c>
      <c r="V839" s="76">
        <v>46102.834664351903</v>
      </c>
    </row>
    <row r="840" spans="1:22" s="38" customFormat="1" ht="14.4" customHeight="1" x14ac:dyDescent="0.25">
      <c r="A840" s="44">
        <v>839</v>
      </c>
      <c r="B840" s="45" t="s">
        <v>85</v>
      </c>
      <c r="C840" s="66" t="s">
        <v>270</v>
      </c>
      <c r="D840" s="66" t="s">
        <v>112</v>
      </c>
      <c r="E840" s="67" t="s">
        <v>106</v>
      </c>
      <c r="F840" s="68">
        <v>46139.731377314798</v>
      </c>
      <c r="G840" s="68">
        <v>46137.731585648202</v>
      </c>
      <c r="H840" s="59" t="s">
        <v>90</v>
      </c>
      <c r="I840" s="60">
        <v>12000</v>
      </c>
      <c r="J840" s="58" t="s">
        <v>107</v>
      </c>
      <c r="K840" s="61" t="s">
        <v>108</v>
      </c>
      <c r="L840" s="64">
        <v>45561.675312500003</v>
      </c>
      <c r="M840" s="64">
        <v>45610.796307870398</v>
      </c>
      <c r="N840" s="38" t="s">
        <v>127</v>
      </c>
      <c r="O840" s="64">
        <v>45646.618148148104</v>
      </c>
      <c r="P840" s="64">
        <v>45652.696296296301</v>
      </c>
      <c r="T840" s="79" t="s">
        <v>108</v>
      </c>
      <c r="U840" s="64">
        <v>46101.725949074098</v>
      </c>
      <c r="V840" s="64">
        <v>46104.771307870396</v>
      </c>
    </row>
    <row r="841" spans="1:22" s="38" customFormat="1" ht="14.4" customHeight="1" x14ac:dyDescent="0.25">
      <c r="A841" s="44">
        <v>840</v>
      </c>
      <c r="B841" s="45" t="s">
        <v>85</v>
      </c>
      <c r="C841" s="66" t="s">
        <v>270</v>
      </c>
      <c r="D841" s="66" t="s">
        <v>113</v>
      </c>
      <c r="E841" s="67" t="s">
        <v>106</v>
      </c>
      <c r="F841" s="68">
        <v>46139.731365740699</v>
      </c>
      <c r="G841" s="68">
        <v>46137.731574074103</v>
      </c>
      <c r="H841" s="59" t="s">
        <v>90</v>
      </c>
      <c r="I841" s="60">
        <v>12000</v>
      </c>
      <c r="J841" s="58" t="s">
        <v>107</v>
      </c>
      <c r="K841" s="61" t="s">
        <v>108</v>
      </c>
      <c r="L841" s="64">
        <v>45561.675312500003</v>
      </c>
      <c r="M841" s="64">
        <v>45610.796307870398</v>
      </c>
      <c r="N841" s="38" t="s">
        <v>127</v>
      </c>
      <c r="O841" s="64">
        <v>45646.618148148104</v>
      </c>
      <c r="P841" s="64">
        <v>45652.696296296301</v>
      </c>
      <c r="Q841" s="75" t="s">
        <v>265</v>
      </c>
      <c r="R841" s="76">
        <v>46093.675509259301</v>
      </c>
      <c r="S841" s="76">
        <v>46094.736840277801</v>
      </c>
      <c r="T841" s="75" t="s">
        <v>146</v>
      </c>
      <c r="U841" s="76">
        <v>46102.833622685197</v>
      </c>
      <c r="V841" s="76">
        <v>46101.833842592598</v>
      </c>
    </row>
    <row r="842" spans="1:22" s="38" customFormat="1" ht="14.4" customHeight="1" x14ac:dyDescent="0.25">
      <c r="A842" s="44">
        <v>841</v>
      </c>
      <c r="B842" s="45" t="s">
        <v>85</v>
      </c>
      <c r="C842" s="66" t="s">
        <v>270</v>
      </c>
      <c r="D842" s="66" t="s">
        <v>114</v>
      </c>
      <c r="E842" s="67" t="s">
        <v>106</v>
      </c>
      <c r="F842" s="68">
        <v>46125.882187499999</v>
      </c>
      <c r="G842" s="68">
        <v>46124.882395833301</v>
      </c>
      <c r="H842" s="59" t="s">
        <v>90</v>
      </c>
      <c r="I842" s="60">
        <v>12000</v>
      </c>
      <c r="J842" s="58" t="s">
        <v>107</v>
      </c>
      <c r="K842" s="61" t="s">
        <v>108</v>
      </c>
      <c r="L842" s="64">
        <v>45561.675312500003</v>
      </c>
      <c r="M842" s="64">
        <v>45610.796307870398</v>
      </c>
      <c r="N842" s="38" t="s">
        <v>127</v>
      </c>
      <c r="O842" s="64">
        <v>45646.618148148104</v>
      </c>
      <c r="P842" s="64">
        <v>45652.696296296301</v>
      </c>
      <c r="Q842" s="75" t="s">
        <v>265</v>
      </c>
      <c r="R842" s="76">
        <v>46093.675497685203</v>
      </c>
      <c r="S842" s="76">
        <v>46094.736932870401</v>
      </c>
      <c r="T842" s="82" t="s">
        <v>146</v>
      </c>
      <c r="U842" s="83">
        <v>46100.833622685197</v>
      </c>
      <c r="V842" s="83">
        <v>46099.833854166704</v>
      </c>
    </row>
    <row r="843" spans="1:22" s="38" customFormat="1" ht="14.4" customHeight="1" x14ac:dyDescent="0.25">
      <c r="A843" s="44">
        <v>842</v>
      </c>
      <c r="B843" s="45" t="s">
        <v>85</v>
      </c>
      <c r="C843" s="66" t="s">
        <v>270</v>
      </c>
      <c r="D843" s="66" t="s">
        <v>115</v>
      </c>
      <c r="E843" s="67" t="s">
        <v>106</v>
      </c>
      <c r="F843" s="68">
        <v>46124.882245370398</v>
      </c>
      <c r="G843" s="68">
        <v>46123.882465277798</v>
      </c>
      <c r="H843" s="59" t="s">
        <v>90</v>
      </c>
      <c r="I843" s="60">
        <v>12000</v>
      </c>
      <c r="J843" s="58" t="s">
        <v>107</v>
      </c>
      <c r="K843" s="61" t="s">
        <v>108</v>
      </c>
      <c r="L843" s="64">
        <v>45561.675312500003</v>
      </c>
      <c r="M843" s="64">
        <v>45610.796307870398</v>
      </c>
      <c r="N843" s="38" t="s">
        <v>127</v>
      </c>
      <c r="O843" s="64">
        <v>45646.618148148104</v>
      </c>
      <c r="P843" s="64">
        <v>45652.696296296301</v>
      </c>
      <c r="T843" s="79" t="s">
        <v>108</v>
      </c>
      <c r="U843" s="64">
        <v>46101.725949074098</v>
      </c>
      <c r="V843" s="64">
        <v>46104.771307870396</v>
      </c>
    </row>
    <row r="844" spans="1:22" s="38" customFormat="1" ht="14.4" customHeight="1" x14ac:dyDescent="0.25">
      <c r="A844" s="44">
        <v>843</v>
      </c>
      <c r="B844" s="45" t="s">
        <v>85</v>
      </c>
      <c r="C844" s="66" t="s">
        <v>270</v>
      </c>
      <c r="D844" s="66" t="s">
        <v>116</v>
      </c>
      <c r="E844" s="67" t="s">
        <v>106</v>
      </c>
      <c r="F844" s="68">
        <v>46124.882245370398</v>
      </c>
      <c r="G844" s="68">
        <v>46123.882465277798</v>
      </c>
      <c r="H844" s="59" t="s">
        <v>90</v>
      </c>
      <c r="I844" s="60">
        <v>12000</v>
      </c>
      <c r="J844" s="58" t="s">
        <v>107</v>
      </c>
      <c r="K844" s="61" t="s">
        <v>108</v>
      </c>
      <c r="L844" s="64">
        <v>45561.675312500003</v>
      </c>
      <c r="M844" s="64">
        <v>45610.796307870398</v>
      </c>
      <c r="N844" s="38" t="s">
        <v>127</v>
      </c>
      <c r="O844" s="64">
        <v>45646.618148148104</v>
      </c>
      <c r="P844" s="64">
        <v>45652.696296296301</v>
      </c>
      <c r="Q844" s="75" t="s">
        <v>265</v>
      </c>
      <c r="R844" s="76">
        <v>46093.675486111097</v>
      </c>
      <c r="S844" s="76">
        <v>46094.737766203703</v>
      </c>
      <c r="T844" s="75" t="s">
        <v>146</v>
      </c>
      <c r="U844" s="76">
        <v>46103.834444444401</v>
      </c>
      <c r="V844" s="76">
        <v>46102.834664351903</v>
      </c>
    </row>
    <row r="845" spans="1:22" s="38" customFormat="1" ht="14.4" customHeight="1" x14ac:dyDescent="0.25">
      <c r="A845" s="44">
        <v>844</v>
      </c>
      <c r="B845" s="45" t="s">
        <v>85</v>
      </c>
      <c r="C845" s="66" t="s">
        <v>270</v>
      </c>
      <c r="D845" s="66" t="s">
        <v>117</v>
      </c>
      <c r="E845" s="67" t="s">
        <v>106</v>
      </c>
      <c r="F845" s="68">
        <v>46124.882245370398</v>
      </c>
      <c r="G845" s="68">
        <v>46123.882465277798</v>
      </c>
      <c r="H845" s="59" t="s">
        <v>90</v>
      </c>
      <c r="I845" s="60">
        <v>12000</v>
      </c>
      <c r="J845" s="58" t="s">
        <v>107</v>
      </c>
      <c r="K845" s="61" t="s">
        <v>108</v>
      </c>
      <c r="L845" s="64">
        <v>45561.675312500003</v>
      </c>
      <c r="M845" s="64">
        <v>45610.796307870398</v>
      </c>
      <c r="N845" s="38" t="s">
        <v>127</v>
      </c>
      <c r="O845" s="64">
        <v>45646.618148148104</v>
      </c>
      <c r="P845" s="64">
        <v>45652.696296296301</v>
      </c>
      <c r="Q845" s="75" t="s">
        <v>265</v>
      </c>
      <c r="R845" s="76">
        <v>46093.675497685203</v>
      </c>
      <c r="S845" s="76">
        <v>46094.737858796303</v>
      </c>
      <c r="T845" s="75" t="s">
        <v>146</v>
      </c>
      <c r="U845" s="76">
        <v>46102.833622685197</v>
      </c>
      <c r="V845" s="76">
        <v>46101.833842592598</v>
      </c>
    </row>
    <row r="846" spans="1:22" s="38" customFormat="1" ht="14.4" customHeight="1" x14ac:dyDescent="0.25">
      <c r="A846" s="44">
        <v>845</v>
      </c>
      <c r="B846" s="45" t="s">
        <v>85</v>
      </c>
      <c r="C846" s="66" t="s">
        <v>270</v>
      </c>
      <c r="D846" s="66" t="s">
        <v>118</v>
      </c>
      <c r="E846" s="67" t="s">
        <v>106</v>
      </c>
      <c r="F846" s="68">
        <v>46125.882187499999</v>
      </c>
      <c r="G846" s="68">
        <v>46124.882395833301</v>
      </c>
      <c r="H846" s="59" t="s">
        <v>90</v>
      </c>
      <c r="I846" s="60">
        <v>12000</v>
      </c>
      <c r="J846" s="58" t="s">
        <v>107</v>
      </c>
      <c r="K846" s="62"/>
      <c r="L846" s="63"/>
      <c r="M846" s="57"/>
      <c r="T846" s="79" t="s">
        <v>108</v>
      </c>
      <c r="U846" s="64">
        <v>46101.725949074098</v>
      </c>
      <c r="V846" s="64">
        <v>46104.771307870396</v>
      </c>
    </row>
    <row r="847" spans="1:22" s="38" customFormat="1" ht="14.4" customHeight="1" x14ac:dyDescent="0.25">
      <c r="A847" s="44">
        <v>846</v>
      </c>
      <c r="B847" s="45" t="s">
        <v>85</v>
      </c>
      <c r="C847" s="66" t="s">
        <v>270</v>
      </c>
      <c r="D847" s="66" t="s">
        <v>119</v>
      </c>
      <c r="E847" s="67" t="s">
        <v>106</v>
      </c>
      <c r="F847" s="68">
        <v>46124.882245370398</v>
      </c>
      <c r="G847" s="68">
        <v>46123.882465277798</v>
      </c>
      <c r="H847" s="59" t="s">
        <v>90</v>
      </c>
      <c r="I847" s="60">
        <v>12000</v>
      </c>
      <c r="J847" s="58" t="s">
        <v>107</v>
      </c>
      <c r="K847" s="75" t="s">
        <v>265</v>
      </c>
      <c r="L847" s="76">
        <v>46093.675497685203</v>
      </c>
      <c r="M847" s="76">
        <v>46094.737939814797</v>
      </c>
      <c r="T847" s="75" t="s">
        <v>146</v>
      </c>
      <c r="U847" s="76">
        <v>46103.834444444401</v>
      </c>
      <c r="V847" s="76">
        <v>46102.834664351903</v>
      </c>
    </row>
    <row r="848" spans="1:22" s="38" customFormat="1" ht="14.4" customHeight="1" x14ac:dyDescent="0.25">
      <c r="A848" s="44">
        <v>847</v>
      </c>
      <c r="B848" s="45" t="s">
        <v>85</v>
      </c>
      <c r="C848" s="66" t="s">
        <v>270</v>
      </c>
      <c r="D848" s="66" t="s">
        <v>120</v>
      </c>
      <c r="E848" s="67" t="s">
        <v>106</v>
      </c>
      <c r="F848" s="68">
        <v>46125.882187499999</v>
      </c>
      <c r="G848" s="68">
        <v>46124.882395833301</v>
      </c>
      <c r="H848" s="59" t="s">
        <v>90</v>
      </c>
      <c r="I848" s="60">
        <v>12000</v>
      </c>
      <c r="J848" s="58" t="s">
        <v>107</v>
      </c>
      <c r="K848" s="75" t="s">
        <v>265</v>
      </c>
      <c r="L848" s="76">
        <v>46093.675509259301</v>
      </c>
      <c r="M848" s="76">
        <v>46094.738032407397</v>
      </c>
      <c r="T848" s="75" t="s">
        <v>146</v>
      </c>
      <c r="U848" s="76">
        <v>46102.833622685197</v>
      </c>
      <c r="V848" s="76">
        <v>46101.833842592598</v>
      </c>
    </row>
    <row r="849" spans="1:22" s="38" customFormat="1" ht="14.4" customHeight="1" x14ac:dyDescent="0.25">
      <c r="A849" s="44">
        <v>848</v>
      </c>
      <c r="B849" s="45" t="s">
        <v>85</v>
      </c>
      <c r="C849" s="66" t="s">
        <v>270</v>
      </c>
      <c r="D849" s="66" t="s">
        <v>121</v>
      </c>
      <c r="E849" s="67" t="s">
        <v>106</v>
      </c>
      <c r="F849" s="68">
        <v>46124.882245370398</v>
      </c>
      <c r="G849" s="68">
        <v>46123.882465277798</v>
      </c>
      <c r="H849" s="59" t="s">
        <v>90</v>
      </c>
      <c r="I849" s="60">
        <v>12000</v>
      </c>
      <c r="J849" s="58" t="s">
        <v>107</v>
      </c>
      <c r="K849" s="62"/>
      <c r="L849" s="63"/>
      <c r="M849" s="57"/>
      <c r="T849" s="79" t="s">
        <v>108</v>
      </c>
      <c r="U849" s="64">
        <v>46101.725949074098</v>
      </c>
      <c r="V849" s="64">
        <v>46104.771307870396</v>
      </c>
    </row>
    <row r="850" spans="1:22" s="38" customFormat="1" ht="14.4" customHeight="1" x14ac:dyDescent="0.25">
      <c r="A850" s="44">
        <v>849</v>
      </c>
      <c r="B850" s="45" t="s">
        <v>85</v>
      </c>
      <c r="C850" s="66" t="s">
        <v>270</v>
      </c>
      <c r="D850" s="66" t="s">
        <v>122</v>
      </c>
      <c r="E850" s="67" t="s">
        <v>106</v>
      </c>
      <c r="F850" s="68">
        <v>46125.882187499999</v>
      </c>
      <c r="G850" s="68">
        <v>46124.882395833301</v>
      </c>
      <c r="H850" s="59" t="s">
        <v>90</v>
      </c>
      <c r="I850" s="60">
        <v>12000</v>
      </c>
      <c r="J850" s="58" t="s">
        <v>107</v>
      </c>
      <c r="K850" s="75" t="s">
        <v>265</v>
      </c>
      <c r="L850" s="76">
        <v>46093.675497685203</v>
      </c>
      <c r="M850" s="76">
        <v>46094.738136574102</v>
      </c>
      <c r="T850" s="75" t="s">
        <v>146</v>
      </c>
      <c r="U850" s="76">
        <v>46103.834444444401</v>
      </c>
      <c r="V850" s="76">
        <v>46102.834664351903</v>
      </c>
    </row>
    <row r="851" spans="1:22" s="38" customFormat="1" ht="14.4" customHeight="1" x14ac:dyDescent="0.25">
      <c r="A851" s="44">
        <v>850</v>
      </c>
      <c r="B851" s="45" t="s">
        <v>85</v>
      </c>
      <c r="C851" s="66" t="s">
        <v>270</v>
      </c>
      <c r="D851" s="66" t="s">
        <v>123</v>
      </c>
      <c r="E851" s="67" t="s">
        <v>106</v>
      </c>
      <c r="F851" s="68">
        <v>46125.882187499999</v>
      </c>
      <c r="G851" s="68">
        <v>46124.882395833301</v>
      </c>
      <c r="H851" s="59" t="s">
        <v>90</v>
      </c>
      <c r="I851" s="60">
        <v>12000</v>
      </c>
      <c r="J851" s="58" t="s">
        <v>107</v>
      </c>
      <c r="K851" s="75" t="s">
        <v>265</v>
      </c>
      <c r="L851" s="76">
        <v>46093.675520833298</v>
      </c>
      <c r="M851" s="76">
        <v>46094.738217592603</v>
      </c>
      <c r="T851" s="82" t="s">
        <v>146</v>
      </c>
      <c r="U851" s="83">
        <v>46100.833622685197</v>
      </c>
      <c r="V851" s="83">
        <v>46099.833854166704</v>
      </c>
    </row>
    <row r="852" spans="1:22" s="38" customFormat="1" ht="14.4" customHeight="1" x14ac:dyDescent="0.25">
      <c r="A852" s="44">
        <v>851</v>
      </c>
      <c r="B852" s="45" t="s">
        <v>85</v>
      </c>
      <c r="C852" s="46" t="s">
        <v>270</v>
      </c>
      <c r="D852" s="46" t="s">
        <v>124</v>
      </c>
      <c r="E852" s="61"/>
      <c r="H852" s="59" t="s">
        <v>90</v>
      </c>
      <c r="I852" s="60">
        <v>12000</v>
      </c>
      <c r="K852" s="62"/>
      <c r="L852" s="63"/>
      <c r="M852" s="57"/>
    </row>
    <row r="853" spans="1:22" s="38" customFormat="1" ht="14.4" customHeight="1" x14ac:dyDescent="0.25">
      <c r="A853" s="44">
        <v>852</v>
      </c>
      <c r="B853" s="45" t="s">
        <v>85</v>
      </c>
      <c r="C853" s="46" t="s">
        <v>270</v>
      </c>
      <c r="D853" s="46" t="s">
        <v>125</v>
      </c>
      <c r="E853" s="61"/>
      <c r="H853" s="59" t="s">
        <v>90</v>
      </c>
      <c r="I853" s="60">
        <v>12000</v>
      </c>
      <c r="K853" s="62"/>
      <c r="L853" s="63"/>
      <c r="M853" s="57"/>
    </row>
    <row r="854" spans="1:22" s="38" customFormat="1" ht="14.4" customHeight="1" x14ac:dyDescent="0.25">
      <c r="A854" s="44">
        <v>853</v>
      </c>
      <c r="B854" s="45" t="s">
        <v>85</v>
      </c>
      <c r="C854" s="66" t="s">
        <v>270</v>
      </c>
      <c r="D854" s="66" t="s">
        <v>126</v>
      </c>
      <c r="E854" s="67" t="s">
        <v>106</v>
      </c>
      <c r="F854" s="68">
        <v>46125.882187499999</v>
      </c>
      <c r="G854" s="68">
        <v>46124.882395833301</v>
      </c>
      <c r="H854" s="54" t="s">
        <v>88</v>
      </c>
      <c r="I854" s="55">
        <v>16000</v>
      </c>
      <c r="J854" s="58" t="s">
        <v>107</v>
      </c>
      <c r="K854" s="75" t="s">
        <v>265</v>
      </c>
      <c r="L854" s="76">
        <v>46093.674918981502</v>
      </c>
      <c r="M854" s="76">
        <v>46094.738310185203</v>
      </c>
      <c r="T854" s="82" t="s">
        <v>146</v>
      </c>
      <c r="U854" s="83">
        <v>46100.833622685197</v>
      </c>
      <c r="V854" s="83">
        <v>46099.833854166704</v>
      </c>
    </row>
    <row r="855" spans="1:22" s="38" customFormat="1" ht="14.4" customHeight="1" x14ac:dyDescent="0.25">
      <c r="A855" s="44">
        <v>854</v>
      </c>
      <c r="B855" s="45" t="s">
        <v>85</v>
      </c>
      <c r="C855" s="66" t="s">
        <v>270</v>
      </c>
      <c r="D855" s="66" t="s">
        <v>128</v>
      </c>
      <c r="E855" s="67" t="s">
        <v>106</v>
      </c>
      <c r="F855" s="68">
        <v>46125.882187499999</v>
      </c>
      <c r="G855" s="68">
        <v>46124.882395833301</v>
      </c>
      <c r="H855" s="59" t="s">
        <v>90</v>
      </c>
      <c r="I855" s="60">
        <v>12000</v>
      </c>
      <c r="J855" s="58" t="s">
        <v>107</v>
      </c>
      <c r="K855" s="61" t="s">
        <v>108</v>
      </c>
      <c r="L855" s="64">
        <v>45561.675312500003</v>
      </c>
      <c r="M855" s="64">
        <v>45610.796307870398</v>
      </c>
      <c r="N855" s="38" t="s">
        <v>127</v>
      </c>
      <c r="O855" s="64">
        <v>45646.618148148104</v>
      </c>
      <c r="P855" s="64">
        <v>45652.696296296301</v>
      </c>
      <c r="Q855" s="75" t="s">
        <v>265</v>
      </c>
      <c r="R855" s="76">
        <v>46093.674918981502</v>
      </c>
      <c r="S855" s="76">
        <v>46094.738391203697</v>
      </c>
      <c r="T855" s="75" t="s">
        <v>146</v>
      </c>
      <c r="U855" s="76">
        <v>46103.834444444401</v>
      </c>
      <c r="V855" s="76">
        <v>46102.834664351903</v>
      </c>
    </row>
    <row r="856" spans="1:22" s="38" customFormat="1" ht="14.4" customHeight="1" x14ac:dyDescent="0.25">
      <c r="A856" s="44">
        <v>855</v>
      </c>
      <c r="B856" s="45" t="s">
        <v>85</v>
      </c>
      <c r="C856" s="66" t="s">
        <v>270</v>
      </c>
      <c r="D856" s="66" t="s">
        <v>129</v>
      </c>
      <c r="E856" s="67" t="s">
        <v>106</v>
      </c>
      <c r="F856" s="68">
        <v>46124.882245370398</v>
      </c>
      <c r="G856" s="68">
        <v>46123.882465277798</v>
      </c>
      <c r="H856" s="59" t="s">
        <v>90</v>
      </c>
      <c r="I856" s="60">
        <v>12000</v>
      </c>
      <c r="J856" s="58" t="s">
        <v>107</v>
      </c>
      <c r="K856" s="61" t="s">
        <v>108</v>
      </c>
      <c r="L856" s="64">
        <v>45561.675312500003</v>
      </c>
      <c r="M856" s="64">
        <v>45610.796307870398</v>
      </c>
      <c r="N856" s="38" t="s">
        <v>127</v>
      </c>
      <c r="O856" s="64">
        <v>45646.618148148104</v>
      </c>
      <c r="P856" s="64">
        <v>45652.696296296301</v>
      </c>
      <c r="T856" s="79" t="s">
        <v>108</v>
      </c>
      <c r="U856" s="64">
        <v>46101.725949074098</v>
      </c>
      <c r="V856" s="64">
        <v>46104.771307870396</v>
      </c>
    </row>
    <row r="857" spans="1:22" s="38" customFormat="1" ht="14.4" customHeight="1" x14ac:dyDescent="0.25">
      <c r="A857" s="44">
        <v>856</v>
      </c>
      <c r="B857" s="45" t="s">
        <v>85</v>
      </c>
      <c r="C857" s="66" t="s">
        <v>270</v>
      </c>
      <c r="D857" s="66" t="s">
        <v>130</v>
      </c>
      <c r="E857" s="67" t="s">
        <v>106</v>
      </c>
      <c r="F857" s="68">
        <v>46057.882164351897</v>
      </c>
      <c r="G857" s="68">
        <v>46056.8823148148</v>
      </c>
      <c r="H857" s="59" t="s">
        <v>90</v>
      </c>
      <c r="I857" s="60">
        <v>12000</v>
      </c>
      <c r="J857" s="58" t="s">
        <v>107</v>
      </c>
      <c r="K857" s="61" t="s">
        <v>108</v>
      </c>
      <c r="L857" s="64">
        <v>45561.675312500003</v>
      </c>
      <c r="M857" s="64">
        <v>45610.796307870398</v>
      </c>
      <c r="N857" s="38" t="s">
        <v>127</v>
      </c>
      <c r="O857" s="64">
        <v>45646.618148148104</v>
      </c>
      <c r="P857" s="64">
        <v>45652.696296296301</v>
      </c>
      <c r="Q857" s="67" t="s">
        <v>265</v>
      </c>
      <c r="R857" s="68">
        <v>46043.736365740697</v>
      </c>
      <c r="S857" s="68">
        <v>46044.691215277802</v>
      </c>
      <c r="T857" s="67" t="s">
        <v>146</v>
      </c>
      <c r="U857" s="68">
        <v>46051.834108796298</v>
      </c>
      <c r="V857" s="68">
        <v>46050.834259259304</v>
      </c>
    </row>
    <row r="858" spans="1:22" s="38" customFormat="1" ht="14.4" customHeight="1" x14ac:dyDescent="0.25">
      <c r="A858" s="44">
        <v>857</v>
      </c>
      <c r="B858" s="45" t="s">
        <v>85</v>
      </c>
      <c r="C858" s="66" t="s">
        <v>270</v>
      </c>
      <c r="D858" s="66" t="s">
        <v>131</v>
      </c>
      <c r="E858" s="67" t="s">
        <v>106</v>
      </c>
      <c r="F858" s="68">
        <v>46057.882164351897</v>
      </c>
      <c r="G858" s="68">
        <v>46056.8823148148</v>
      </c>
      <c r="H858" s="59" t="s">
        <v>90</v>
      </c>
      <c r="I858" s="60">
        <v>12000</v>
      </c>
      <c r="J858" s="58" t="s">
        <v>107</v>
      </c>
      <c r="K858" s="61" t="s">
        <v>108</v>
      </c>
      <c r="L858" s="64">
        <v>45561.675312500003</v>
      </c>
      <c r="M858" s="64">
        <v>45610.796307870398</v>
      </c>
      <c r="N858" s="38" t="s">
        <v>127</v>
      </c>
      <c r="O858" s="64">
        <v>45646.618148148104</v>
      </c>
      <c r="P858" s="64">
        <v>45652.696296296301</v>
      </c>
      <c r="Q858" s="67" t="s">
        <v>265</v>
      </c>
      <c r="R858" s="68">
        <v>46043.736331018503</v>
      </c>
      <c r="S858" s="68">
        <v>46049.383402777799</v>
      </c>
      <c r="T858" s="67" t="s">
        <v>146</v>
      </c>
      <c r="U858" s="68">
        <v>46051.834108796298</v>
      </c>
      <c r="V858" s="68">
        <v>46050.834259259304</v>
      </c>
    </row>
    <row r="859" spans="1:22" s="38" customFormat="1" ht="14.4" customHeight="1" x14ac:dyDescent="0.25">
      <c r="A859" s="44">
        <v>858</v>
      </c>
      <c r="B859" s="45" t="s">
        <v>85</v>
      </c>
      <c r="C859" s="66" t="s">
        <v>270</v>
      </c>
      <c r="D859" s="66" t="s">
        <v>132</v>
      </c>
      <c r="E859" s="67" t="s">
        <v>106</v>
      </c>
      <c r="F859" s="68">
        <v>46057.882164351897</v>
      </c>
      <c r="G859" s="68">
        <v>46056.8823148148</v>
      </c>
      <c r="H859" s="59" t="s">
        <v>90</v>
      </c>
      <c r="I859" s="60">
        <v>12000</v>
      </c>
      <c r="J859" s="58" t="s">
        <v>107</v>
      </c>
      <c r="K859" s="61" t="s">
        <v>108</v>
      </c>
      <c r="L859" s="64">
        <v>45561.675312500003</v>
      </c>
      <c r="M859" s="64">
        <v>45610.796307870398</v>
      </c>
      <c r="N859" s="38" t="s">
        <v>127</v>
      </c>
      <c r="O859" s="64">
        <v>45646.618148148104</v>
      </c>
      <c r="P859" s="64">
        <v>45652.696296296301</v>
      </c>
      <c r="Q859" s="67" t="s">
        <v>265</v>
      </c>
      <c r="R859" s="68">
        <v>46046.583773148202</v>
      </c>
      <c r="S859" s="68">
        <v>46050.445127314801</v>
      </c>
      <c r="T859" s="84" t="s">
        <v>146</v>
      </c>
      <c r="U859" s="68">
        <v>46054.834236111099</v>
      </c>
      <c r="V859" s="68">
        <v>46053.834398148101</v>
      </c>
    </row>
    <row r="860" spans="1:22" s="38" customFormat="1" ht="14.4" customHeight="1" x14ac:dyDescent="0.25">
      <c r="A860" s="44">
        <v>859</v>
      </c>
      <c r="B860" s="45" t="s">
        <v>85</v>
      </c>
      <c r="C860" s="66" t="s">
        <v>270</v>
      </c>
      <c r="D860" s="66" t="s">
        <v>133</v>
      </c>
      <c r="E860" s="67" t="s">
        <v>106</v>
      </c>
      <c r="F860" s="68">
        <v>46057.882164351897</v>
      </c>
      <c r="G860" s="68">
        <v>46056.8823148148</v>
      </c>
      <c r="H860" s="59" t="s">
        <v>90</v>
      </c>
      <c r="I860" s="60">
        <v>12000</v>
      </c>
      <c r="J860" s="58" t="s">
        <v>107</v>
      </c>
      <c r="K860" s="61" t="s">
        <v>108</v>
      </c>
      <c r="L860" s="64">
        <v>45561.675312500003</v>
      </c>
      <c r="M860" s="64">
        <v>45610.796307870398</v>
      </c>
      <c r="N860" s="38" t="s">
        <v>127</v>
      </c>
      <c r="O860" s="64">
        <v>45646.618148148104</v>
      </c>
      <c r="P860" s="64">
        <v>45652.696296296301</v>
      </c>
      <c r="Q860" s="67" t="s">
        <v>265</v>
      </c>
      <c r="R860" s="68">
        <v>46043.736342592601</v>
      </c>
      <c r="S860" s="68">
        <v>46049.383541666699</v>
      </c>
      <c r="T860" s="67" t="s">
        <v>146</v>
      </c>
      <c r="U860" s="68">
        <v>46051.834108796298</v>
      </c>
      <c r="V860" s="68">
        <v>46050.834259259304</v>
      </c>
    </row>
    <row r="861" spans="1:22" s="38" customFormat="1" ht="14.4" customHeight="1" x14ac:dyDescent="0.25">
      <c r="A861" s="44">
        <v>860</v>
      </c>
      <c r="B861" s="45" t="s">
        <v>85</v>
      </c>
      <c r="C861" s="66" t="s">
        <v>270</v>
      </c>
      <c r="D861" s="66" t="s">
        <v>134</v>
      </c>
      <c r="E861" s="67" t="s">
        <v>106</v>
      </c>
      <c r="F861" s="68">
        <v>46057.882164351897</v>
      </c>
      <c r="G861" s="68">
        <v>46056.8823148148</v>
      </c>
      <c r="H861" s="59" t="s">
        <v>90</v>
      </c>
      <c r="I861" s="60">
        <v>12000</v>
      </c>
      <c r="J861" s="58" t="s">
        <v>107</v>
      </c>
      <c r="K861" s="61" t="s">
        <v>108</v>
      </c>
      <c r="L861" s="64">
        <v>45561.675312500003</v>
      </c>
      <c r="M861" s="64">
        <v>45610.796307870398</v>
      </c>
      <c r="N861" s="38" t="s">
        <v>127</v>
      </c>
      <c r="O861" s="64">
        <v>45646.618148148104</v>
      </c>
      <c r="P861" s="64">
        <v>45652.696296296301</v>
      </c>
      <c r="Q861" s="67" t="s">
        <v>265</v>
      </c>
      <c r="R861" s="68">
        <v>46043.736365740697</v>
      </c>
      <c r="S861" s="68">
        <v>46044.691319444399</v>
      </c>
      <c r="T861" s="67" t="s">
        <v>146</v>
      </c>
      <c r="U861" s="68">
        <v>46051.834108796298</v>
      </c>
      <c r="V861" s="68">
        <v>46050.834259259304</v>
      </c>
    </row>
    <row r="862" spans="1:22" s="38" customFormat="1" ht="14.4" customHeight="1" x14ac:dyDescent="0.25">
      <c r="A862" s="44">
        <v>861</v>
      </c>
      <c r="B862" s="45" t="s">
        <v>85</v>
      </c>
      <c r="C862" s="66" t="s">
        <v>270</v>
      </c>
      <c r="D862" s="66" t="s">
        <v>135</v>
      </c>
      <c r="E862" s="67" t="s">
        <v>106</v>
      </c>
      <c r="F862" s="68">
        <v>46057.882164351897</v>
      </c>
      <c r="G862" s="68">
        <v>46056.8823148148</v>
      </c>
      <c r="H862" s="59" t="s">
        <v>90</v>
      </c>
      <c r="I862" s="60">
        <v>12000</v>
      </c>
      <c r="J862" s="58" t="s">
        <v>107</v>
      </c>
      <c r="K862" s="61" t="s">
        <v>108</v>
      </c>
      <c r="L862" s="64">
        <v>45561.675312500003</v>
      </c>
      <c r="M862" s="64">
        <v>45610.796307870398</v>
      </c>
      <c r="N862" s="38" t="s">
        <v>127</v>
      </c>
      <c r="O862" s="64">
        <v>45646.618148148104</v>
      </c>
      <c r="P862" s="64">
        <v>45652.696296296301</v>
      </c>
      <c r="Q862" s="67" t="s">
        <v>265</v>
      </c>
      <c r="R862" s="68">
        <v>46046.583773148202</v>
      </c>
      <c r="S862" s="68">
        <v>46050.4469791667</v>
      </c>
      <c r="T862" s="84" t="s">
        <v>146</v>
      </c>
      <c r="U862" s="68">
        <v>46054.834236111099</v>
      </c>
      <c r="V862" s="68">
        <v>46053.834398148101</v>
      </c>
    </row>
    <row r="863" spans="1:22" s="38" customFormat="1" ht="14.4" customHeight="1" x14ac:dyDescent="0.25">
      <c r="A863" s="44">
        <v>862</v>
      </c>
      <c r="B863" s="45" t="s">
        <v>85</v>
      </c>
      <c r="C863" s="66" t="s">
        <v>270</v>
      </c>
      <c r="D863" s="66" t="s">
        <v>136</v>
      </c>
      <c r="E863" s="67" t="s">
        <v>106</v>
      </c>
      <c r="F863" s="68">
        <v>46057.882164351897</v>
      </c>
      <c r="G863" s="68">
        <v>46056.8823148148</v>
      </c>
      <c r="H863" s="59" t="s">
        <v>90</v>
      </c>
      <c r="I863" s="60">
        <v>12000</v>
      </c>
      <c r="J863" s="58" t="s">
        <v>107</v>
      </c>
      <c r="K863" s="61" t="s">
        <v>108</v>
      </c>
      <c r="L863" s="64">
        <v>45561.675312500003</v>
      </c>
      <c r="M863" s="64">
        <v>45610.796307870398</v>
      </c>
      <c r="N863" s="38" t="s">
        <v>127</v>
      </c>
      <c r="O863" s="64">
        <v>45646.618148148104</v>
      </c>
      <c r="P863" s="64">
        <v>45652.696296296301</v>
      </c>
      <c r="Q863" s="67" t="s">
        <v>265</v>
      </c>
      <c r="R863" s="68">
        <v>46043.736377314803</v>
      </c>
      <c r="S863" s="68">
        <v>46049.383634259299</v>
      </c>
      <c r="T863" s="67" t="s">
        <v>146</v>
      </c>
      <c r="U863" s="68">
        <v>46051.834108796298</v>
      </c>
      <c r="V863" s="68">
        <v>46050.834259259304</v>
      </c>
    </row>
    <row r="864" spans="1:22" s="38" customFormat="1" ht="14.4" customHeight="1" x14ac:dyDescent="0.25">
      <c r="A864" s="44">
        <v>863</v>
      </c>
      <c r="B864" s="45" t="s">
        <v>85</v>
      </c>
      <c r="C864" s="66" t="s">
        <v>270</v>
      </c>
      <c r="D864" s="66" t="s">
        <v>137</v>
      </c>
      <c r="E864" s="67" t="s">
        <v>106</v>
      </c>
      <c r="F864" s="68">
        <v>46057.882164351897</v>
      </c>
      <c r="G864" s="68">
        <v>46056.8823148148</v>
      </c>
      <c r="H864" s="59" t="s">
        <v>90</v>
      </c>
      <c r="I864" s="60">
        <v>12000</v>
      </c>
      <c r="J864" s="58" t="s">
        <v>107</v>
      </c>
      <c r="K864" s="67" t="s">
        <v>265</v>
      </c>
      <c r="L864" s="68">
        <v>46043.7363541667</v>
      </c>
      <c r="M864" s="68">
        <v>46044.691423611097</v>
      </c>
      <c r="N864" s="67" t="s">
        <v>146</v>
      </c>
      <c r="O864" s="68">
        <v>46051.834108796298</v>
      </c>
      <c r="P864" s="68">
        <v>46050.834259259304</v>
      </c>
    </row>
    <row r="865" spans="1:22" s="38" customFormat="1" ht="14.4" customHeight="1" x14ac:dyDescent="0.25">
      <c r="A865" s="44">
        <v>864</v>
      </c>
      <c r="B865" s="45" t="s">
        <v>85</v>
      </c>
      <c r="C865" s="66" t="s">
        <v>270</v>
      </c>
      <c r="D865" s="66" t="s">
        <v>138</v>
      </c>
      <c r="E865" s="67" t="s">
        <v>106</v>
      </c>
      <c r="F865" s="68">
        <v>46057.882164351897</v>
      </c>
      <c r="G865" s="68">
        <v>46056.8823148148</v>
      </c>
      <c r="H865" s="59" t="s">
        <v>90</v>
      </c>
      <c r="I865" s="60">
        <v>12000</v>
      </c>
      <c r="J865" s="58" t="s">
        <v>107</v>
      </c>
      <c r="K865" s="67" t="s">
        <v>265</v>
      </c>
      <c r="L865" s="68">
        <v>46046.583773148202</v>
      </c>
      <c r="M865" s="68">
        <v>46050.448553240698</v>
      </c>
      <c r="N865" s="84" t="s">
        <v>146</v>
      </c>
      <c r="O865" s="68">
        <v>46054.834236111099</v>
      </c>
      <c r="P865" s="68">
        <v>46053.834398148101</v>
      </c>
    </row>
    <row r="866" spans="1:22" s="38" customFormat="1" ht="14.4" customHeight="1" x14ac:dyDescent="0.25">
      <c r="A866" s="44">
        <v>865</v>
      </c>
      <c r="B866" s="45" t="s">
        <v>85</v>
      </c>
      <c r="C866" s="66" t="s">
        <v>270</v>
      </c>
      <c r="D866" s="66" t="s">
        <v>139</v>
      </c>
      <c r="E866" s="67" t="s">
        <v>106</v>
      </c>
      <c r="F866" s="68">
        <v>46057.882164351897</v>
      </c>
      <c r="G866" s="68">
        <v>46056.8823148148</v>
      </c>
      <c r="H866" s="59" t="s">
        <v>90</v>
      </c>
      <c r="I866" s="60">
        <v>12000</v>
      </c>
      <c r="J866" s="58" t="s">
        <v>107</v>
      </c>
      <c r="K866" s="84" t="s">
        <v>265</v>
      </c>
      <c r="L866" s="68">
        <v>46043.736365740697</v>
      </c>
      <c r="M866" s="68">
        <v>46049.383750000001</v>
      </c>
      <c r="N866" s="67" t="s">
        <v>146</v>
      </c>
      <c r="O866" s="68">
        <v>46051.834108796298</v>
      </c>
      <c r="P866" s="68">
        <v>46050.834259259304</v>
      </c>
    </row>
    <row r="867" spans="1:22" s="38" customFormat="1" ht="14.4" customHeight="1" x14ac:dyDescent="0.25">
      <c r="A867" s="44">
        <v>866</v>
      </c>
      <c r="B867" s="45" t="s">
        <v>85</v>
      </c>
      <c r="C867" s="66" t="s">
        <v>270</v>
      </c>
      <c r="D867" s="66" t="s">
        <v>140</v>
      </c>
      <c r="E867" s="67" t="s">
        <v>106</v>
      </c>
      <c r="F867" s="68">
        <v>46057.882164351897</v>
      </c>
      <c r="G867" s="68">
        <v>46056.8823148148</v>
      </c>
      <c r="H867" s="59" t="s">
        <v>90</v>
      </c>
      <c r="I867" s="60">
        <v>12000</v>
      </c>
      <c r="J867" s="58" t="s">
        <v>107</v>
      </c>
      <c r="K867" s="67" t="s">
        <v>265</v>
      </c>
      <c r="L867" s="68">
        <v>46043.736342592601</v>
      </c>
      <c r="M867" s="68">
        <v>46049.383854166699</v>
      </c>
      <c r="N867" s="67" t="s">
        <v>146</v>
      </c>
      <c r="O867" s="68">
        <v>46051.834108796298</v>
      </c>
      <c r="P867" s="68">
        <v>46050.834259259304</v>
      </c>
    </row>
    <row r="868" spans="1:22" s="38" customFormat="1" ht="14.4" customHeight="1" x14ac:dyDescent="0.25">
      <c r="A868" s="44">
        <v>867</v>
      </c>
      <c r="B868" s="45" t="s">
        <v>85</v>
      </c>
      <c r="C868" s="66" t="s">
        <v>270</v>
      </c>
      <c r="D868" s="66" t="s">
        <v>141</v>
      </c>
      <c r="E868" s="67" t="s">
        <v>106</v>
      </c>
      <c r="F868" s="68">
        <v>46057.882164351897</v>
      </c>
      <c r="G868" s="68">
        <v>46056.8823148148</v>
      </c>
      <c r="H868" s="59" t="s">
        <v>90</v>
      </c>
      <c r="I868" s="60">
        <v>12000</v>
      </c>
      <c r="J868" s="58" t="s">
        <v>107</v>
      </c>
      <c r="K868" s="84" t="s">
        <v>146</v>
      </c>
      <c r="L868" s="68">
        <v>46054.834236111099</v>
      </c>
      <c r="M868" s="68">
        <v>46053.834398148101</v>
      </c>
    </row>
    <row r="869" spans="1:22" s="38" customFormat="1" ht="14.4" customHeight="1" x14ac:dyDescent="0.25">
      <c r="A869" s="44">
        <v>868</v>
      </c>
      <c r="B869" s="45" t="s">
        <v>85</v>
      </c>
      <c r="C869" s="46" t="s">
        <v>270</v>
      </c>
      <c r="D869" s="38" t="s">
        <v>142</v>
      </c>
      <c r="E869" s="61"/>
      <c r="H869" s="59" t="s">
        <v>90</v>
      </c>
      <c r="I869" s="60">
        <v>12000</v>
      </c>
      <c r="K869" s="62"/>
      <c r="L869" s="63"/>
      <c r="M869" s="57"/>
    </row>
    <row r="870" spans="1:22" s="38" customFormat="1" ht="14.4" customHeight="1" x14ac:dyDescent="0.25">
      <c r="A870" s="44">
        <v>869</v>
      </c>
      <c r="B870" s="45" t="s">
        <v>85</v>
      </c>
      <c r="C870" s="66" t="s">
        <v>270</v>
      </c>
      <c r="D870" s="66" t="s">
        <v>143</v>
      </c>
      <c r="E870" s="67" t="s">
        <v>265</v>
      </c>
      <c r="F870" s="68">
        <v>46043.733738425901</v>
      </c>
      <c r="G870" s="68">
        <v>46049.383993055599</v>
      </c>
      <c r="H870" s="54" t="s">
        <v>88</v>
      </c>
      <c r="I870" s="55">
        <v>16000</v>
      </c>
      <c r="J870" s="58" t="s">
        <v>107</v>
      </c>
      <c r="K870" s="62"/>
      <c r="L870" s="63"/>
      <c r="M870" s="57"/>
    </row>
    <row r="871" spans="1:22" s="38" customFormat="1" ht="14.4" customHeight="1" x14ac:dyDescent="0.25">
      <c r="A871" s="44">
        <v>870</v>
      </c>
      <c r="B871" s="45" t="s">
        <v>85</v>
      </c>
      <c r="C871" s="66" t="s">
        <v>270</v>
      </c>
      <c r="D871" s="66" t="s">
        <v>144</v>
      </c>
      <c r="E871" s="67" t="s">
        <v>106</v>
      </c>
      <c r="F871" s="68">
        <v>46125.882187499999</v>
      </c>
      <c r="G871" s="68">
        <v>46124.882395833301</v>
      </c>
      <c r="H871" s="59" t="s">
        <v>90</v>
      </c>
      <c r="I871" s="60">
        <v>12000</v>
      </c>
      <c r="J871" s="58" t="s">
        <v>107</v>
      </c>
      <c r="K871" s="61" t="s">
        <v>108</v>
      </c>
      <c r="L871" s="64">
        <v>45561.675312500003</v>
      </c>
      <c r="M871" s="64">
        <v>45610.796307870398</v>
      </c>
      <c r="N871" s="38" t="s">
        <v>127</v>
      </c>
      <c r="O871" s="64">
        <v>45646.618148148104</v>
      </c>
      <c r="P871" s="64">
        <v>45652.696296296301</v>
      </c>
      <c r="T871" s="79" t="s">
        <v>108</v>
      </c>
      <c r="U871" s="64">
        <v>46101.725949074098</v>
      </c>
      <c r="V871" s="64">
        <v>46104.771307870396</v>
      </c>
    </row>
    <row r="872" spans="1:22" s="38" customFormat="1" ht="14.4" customHeight="1" x14ac:dyDescent="0.25">
      <c r="A872" s="44">
        <v>871</v>
      </c>
      <c r="B872" s="45" t="s">
        <v>85</v>
      </c>
      <c r="C872" s="66" t="s">
        <v>270</v>
      </c>
      <c r="D872" s="66" t="s">
        <v>145</v>
      </c>
      <c r="E872" s="67" t="s">
        <v>106</v>
      </c>
      <c r="F872" s="68">
        <v>46124.882245370398</v>
      </c>
      <c r="G872" s="68">
        <v>46123.882465277798</v>
      </c>
      <c r="H872" s="59" t="s">
        <v>90</v>
      </c>
      <c r="I872" s="60">
        <v>12000</v>
      </c>
      <c r="J872" s="58" t="s">
        <v>107</v>
      </c>
      <c r="K872" s="61" t="s">
        <v>108</v>
      </c>
      <c r="L872" s="64">
        <v>45561.675312500003</v>
      </c>
      <c r="M872" s="64">
        <v>45610.796307870398</v>
      </c>
      <c r="N872" s="38" t="s">
        <v>127</v>
      </c>
      <c r="O872" s="64">
        <v>45646.618148148104</v>
      </c>
      <c r="P872" s="64">
        <v>45652.696296296301</v>
      </c>
      <c r="Q872" s="75" t="s">
        <v>265</v>
      </c>
      <c r="R872" s="76">
        <v>46093.674918981502</v>
      </c>
      <c r="S872" s="76">
        <v>46094.746342592603</v>
      </c>
      <c r="T872" s="75" t="s">
        <v>146</v>
      </c>
      <c r="U872" s="76">
        <v>46103.834444444401</v>
      </c>
      <c r="V872" s="76">
        <v>46102.834664351903</v>
      </c>
    </row>
    <row r="873" spans="1:22" s="38" customFormat="1" ht="14.4" customHeight="1" x14ac:dyDescent="0.25">
      <c r="A873" s="44">
        <v>872</v>
      </c>
      <c r="B873" s="45" t="s">
        <v>85</v>
      </c>
      <c r="C873" s="66" t="s">
        <v>270</v>
      </c>
      <c r="D873" s="66" t="s">
        <v>147</v>
      </c>
      <c r="E873" s="67" t="s">
        <v>106</v>
      </c>
      <c r="F873" s="68">
        <v>46124.882245370398</v>
      </c>
      <c r="G873" s="68">
        <v>46123.882465277798</v>
      </c>
      <c r="H873" s="59" t="s">
        <v>90</v>
      </c>
      <c r="I873" s="60">
        <v>12000</v>
      </c>
      <c r="J873" s="58" t="s">
        <v>107</v>
      </c>
      <c r="K873" s="61" t="s">
        <v>108</v>
      </c>
      <c r="L873" s="64">
        <v>45561.675312500003</v>
      </c>
      <c r="M873" s="64">
        <v>45610.796307870398</v>
      </c>
      <c r="N873" s="38" t="s">
        <v>127</v>
      </c>
      <c r="O873" s="64">
        <v>45646.618148148104</v>
      </c>
      <c r="P873" s="64">
        <v>45652.696296296301</v>
      </c>
      <c r="Q873" s="75" t="s">
        <v>265</v>
      </c>
      <c r="R873" s="76">
        <v>46093.674918981502</v>
      </c>
      <c r="S873" s="76">
        <v>46094.746458333299</v>
      </c>
      <c r="T873" s="75" t="s">
        <v>146</v>
      </c>
      <c r="U873" s="76">
        <v>46103.834444444401</v>
      </c>
      <c r="V873" s="76">
        <v>46102.834664351903</v>
      </c>
    </row>
    <row r="874" spans="1:22" s="38" customFormat="1" ht="14.4" customHeight="1" x14ac:dyDescent="0.25">
      <c r="A874" s="44">
        <v>873</v>
      </c>
      <c r="B874" s="45" t="s">
        <v>85</v>
      </c>
      <c r="C874" s="66" t="s">
        <v>270</v>
      </c>
      <c r="D874" s="66" t="s">
        <v>148</v>
      </c>
      <c r="E874" s="67" t="s">
        <v>106</v>
      </c>
      <c r="F874" s="68">
        <v>46057.882164351897</v>
      </c>
      <c r="G874" s="68">
        <v>46056.8823148148</v>
      </c>
      <c r="H874" s="59" t="s">
        <v>90</v>
      </c>
      <c r="I874" s="60">
        <v>12000</v>
      </c>
      <c r="J874" s="58" t="s">
        <v>107</v>
      </c>
      <c r="K874" s="61" t="s">
        <v>108</v>
      </c>
      <c r="L874" s="64">
        <v>45561.675312500003</v>
      </c>
      <c r="M874" s="64">
        <v>45610.796307870398</v>
      </c>
      <c r="N874" s="38" t="s">
        <v>127</v>
      </c>
      <c r="O874" s="64">
        <v>45646.618148148104</v>
      </c>
      <c r="P874" s="64">
        <v>45652.696296296301</v>
      </c>
      <c r="Q874" s="67" t="s">
        <v>265</v>
      </c>
      <c r="R874" s="68">
        <v>46046.583773148202</v>
      </c>
      <c r="S874" s="68">
        <v>46050.453159722201</v>
      </c>
      <c r="T874" s="84" t="s">
        <v>146</v>
      </c>
      <c r="U874" s="68">
        <v>46054.834236111099</v>
      </c>
      <c r="V874" s="68">
        <v>46053.834398148101</v>
      </c>
    </row>
    <row r="875" spans="1:22" s="38" customFormat="1" ht="14.4" customHeight="1" x14ac:dyDescent="0.25">
      <c r="A875" s="44">
        <v>874</v>
      </c>
      <c r="B875" s="45" t="s">
        <v>85</v>
      </c>
      <c r="C875" s="66" t="s">
        <v>270</v>
      </c>
      <c r="D875" s="66" t="s">
        <v>149</v>
      </c>
      <c r="E875" s="67" t="s">
        <v>106</v>
      </c>
      <c r="F875" s="68">
        <v>46057.882164351897</v>
      </c>
      <c r="G875" s="68">
        <v>46056.8823148148</v>
      </c>
      <c r="H875" s="59" t="s">
        <v>90</v>
      </c>
      <c r="I875" s="60">
        <v>12000</v>
      </c>
      <c r="J875" s="58" t="s">
        <v>107</v>
      </c>
      <c r="K875" s="61" t="s">
        <v>108</v>
      </c>
      <c r="L875" s="64">
        <v>45561.675312500003</v>
      </c>
      <c r="M875" s="64">
        <v>45610.796307870398</v>
      </c>
      <c r="N875" s="38" t="s">
        <v>127</v>
      </c>
      <c r="O875" s="64">
        <v>45646.618148148104</v>
      </c>
      <c r="P875" s="64">
        <v>45652.696296296301</v>
      </c>
      <c r="Q875" s="67" t="s">
        <v>265</v>
      </c>
      <c r="R875" s="68">
        <v>46043.7363541667</v>
      </c>
      <c r="S875" s="68">
        <v>46044.691597222198</v>
      </c>
      <c r="T875" s="67" t="s">
        <v>146</v>
      </c>
      <c r="U875" s="68">
        <v>46051.834108796298</v>
      </c>
      <c r="V875" s="68">
        <v>46050.834259259304</v>
      </c>
    </row>
    <row r="876" spans="1:22" s="38" customFormat="1" ht="14.4" customHeight="1" x14ac:dyDescent="0.25">
      <c r="A876" s="44">
        <v>875</v>
      </c>
      <c r="B876" s="45" t="s">
        <v>85</v>
      </c>
      <c r="C876" s="66" t="s">
        <v>270</v>
      </c>
      <c r="D876" s="66" t="s">
        <v>150</v>
      </c>
      <c r="E876" s="67" t="s">
        <v>106</v>
      </c>
      <c r="F876" s="68">
        <v>46057.882164351897</v>
      </c>
      <c r="G876" s="68">
        <v>46056.8823148148</v>
      </c>
      <c r="H876" s="59" t="s">
        <v>90</v>
      </c>
      <c r="I876" s="60">
        <v>12000</v>
      </c>
      <c r="J876" s="58" t="s">
        <v>107</v>
      </c>
      <c r="K876" s="61" t="s">
        <v>108</v>
      </c>
      <c r="L876" s="64">
        <v>45561.675312500003</v>
      </c>
      <c r="M876" s="64">
        <v>45610.796307870398</v>
      </c>
      <c r="N876" s="38" t="s">
        <v>127</v>
      </c>
      <c r="O876" s="64">
        <v>45646.618148148104</v>
      </c>
      <c r="P876" s="64">
        <v>45652.696296296301</v>
      </c>
      <c r="Q876" s="67" t="s">
        <v>265</v>
      </c>
      <c r="R876" s="68">
        <v>46043.736412036997</v>
      </c>
      <c r="S876" s="68">
        <v>46049.384097222202</v>
      </c>
      <c r="T876" s="67" t="s">
        <v>146</v>
      </c>
      <c r="U876" s="68">
        <v>46051.834108796298</v>
      </c>
      <c r="V876" s="68">
        <v>46050.834259259304</v>
      </c>
    </row>
    <row r="877" spans="1:22" s="38" customFormat="1" ht="14.4" customHeight="1" x14ac:dyDescent="0.25">
      <c r="A877" s="44">
        <v>876</v>
      </c>
      <c r="B877" s="45" t="s">
        <v>85</v>
      </c>
      <c r="C877" s="66" t="s">
        <v>270</v>
      </c>
      <c r="D877" s="66" t="s">
        <v>151</v>
      </c>
      <c r="E877" s="67" t="s">
        <v>106</v>
      </c>
      <c r="F877" s="68">
        <v>46057.882164351897</v>
      </c>
      <c r="G877" s="68">
        <v>46056.8823148148</v>
      </c>
      <c r="H877" s="59" t="s">
        <v>90</v>
      </c>
      <c r="I877" s="60">
        <v>12000</v>
      </c>
      <c r="J877" s="58" t="s">
        <v>107</v>
      </c>
      <c r="K877" s="61" t="s">
        <v>108</v>
      </c>
      <c r="L877" s="64">
        <v>45561.675312500003</v>
      </c>
      <c r="M877" s="64">
        <v>45610.796307870398</v>
      </c>
      <c r="N877" s="38" t="s">
        <v>127</v>
      </c>
      <c r="O877" s="64">
        <v>45646.618148148104</v>
      </c>
      <c r="P877" s="64">
        <v>45652.696296296301</v>
      </c>
      <c r="Q877" s="67" t="s">
        <v>265</v>
      </c>
      <c r="R877" s="68">
        <v>46046.583773148202</v>
      </c>
      <c r="S877" s="68">
        <v>46050.453229166698</v>
      </c>
      <c r="T877" s="84" t="s">
        <v>146</v>
      </c>
      <c r="U877" s="68">
        <v>46054.834236111099</v>
      </c>
      <c r="V877" s="68">
        <v>46053.834398148101</v>
      </c>
    </row>
    <row r="878" spans="1:22" s="38" customFormat="1" ht="14.4" customHeight="1" x14ac:dyDescent="0.25">
      <c r="A878" s="44">
        <v>877</v>
      </c>
      <c r="B878" s="45" t="s">
        <v>85</v>
      </c>
      <c r="C878" s="66" t="s">
        <v>270</v>
      </c>
      <c r="D878" s="66" t="s">
        <v>152</v>
      </c>
      <c r="E878" s="67" t="s">
        <v>106</v>
      </c>
      <c r="F878" s="68">
        <v>46057.882164351897</v>
      </c>
      <c r="G878" s="68">
        <v>46056.8823148148</v>
      </c>
      <c r="H878" s="59" t="s">
        <v>90</v>
      </c>
      <c r="I878" s="60">
        <v>12000</v>
      </c>
      <c r="J878" s="58" t="s">
        <v>107</v>
      </c>
      <c r="K878" s="61" t="s">
        <v>108</v>
      </c>
      <c r="L878" s="64">
        <v>45561.675312500003</v>
      </c>
      <c r="M878" s="64">
        <v>45610.796307870398</v>
      </c>
      <c r="N878" s="38" t="s">
        <v>127</v>
      </c>
      <c r="O878" s="64">
        <v>45646.618148148104</v>
      </c>
      <c r="P878" s="64">
        <v>45652.696296296301</v>
      </c>
      <c r="Q878" s="67" t="s">
        <v>265</v>
      </c>
      <c r="R878" s="68">
        <v>46043.736331018503</v>
      </c>
      <c r="S878" s="68">
        <v>46044.691712963002</v>
      </c>
      <c r="T878" s="67" t="s">
        <v>146</v>
      </c>
      <c r="U878" s="68">
        <v>46051.834108796298</v>
      </c>
      <c r="V878" s="68">
        <v>46050.834259259304</v>
      </c>
    </row>
    <row r="879" spans="1:22" s="38" customFormat="1" ht="14.4" customHeight="1" x14ac:dyDescent="0.25">
      <c r="A879" s="44">
        <v>878</v>
      </c>
      <c r="B879" s="45" t="s">
        <v>85</v>
      </c>
      <c r="C879" s="66" t="s">
        <v>270</v>
      </c>
      <c r="D879" s="66" t="s">
        <v>153</v>
      </c>
      <c r="E879" s="67" t="s">
        <v>106</v>
      </c>
      <c r="F879" s="68">
        <v>46057.882164351897</v>
      </c>
      <c r="G879" s="68">
        <v>46056.8823148148</v>
      </c>
      <c r="H879" s="59" t="s">
        <v>90</v>
      </c>
      <c r="I879" s="60">
        <v>12000</v>
      </c>
      <c r="J879" s="58" t="s">
        <v>107</v>
      </c>
      <c r="K879" s="67" t="s">
        <v>265</v>
      </c>
      <c r="L879" s="68">
        <v>46043.736365740697</v>
      </c>
      <c r="M879" s="68">
        <v>46044.691886574103</v>
      </c>
      <c r="N879" s="67" t="s">
        <v>146</v>
      </c>
      <c r="O879" s="68">
        <v>46051.834108796298</v>
      </c>
      <c r="P879" s="68">
        <v>46050.834259259304</v>
      </c>
    </row>
    <row r="880" spans="1:22" s="38" customFormat="1" ht="14.4" customHeight="1" x14ac:dyDescent="0.25">
      <c r="A880" s="44">
        <v>879</v>
      </c>
      <c r="B880" s="45" t="s">
        <v>85</v>
      </c>
      <c r="C880" s="66" t="s">
        <v>270</v>
      </c>
      <c r="D880" s="66" t="s">
        <v>154</v>
      </c>
      <c r="E880" s="67" t="s">
        <v>106</v>
      </c>
      <c r="F880" s="68">
        <v>46057.882164351897</v>
      </c>
      <c r="G880" s="68">
        <v>46056.8823148148</v>
      </c>
      <c r="H880" s="59" t="s">
        <v>90</v>
      </c>
      <c r="I880" s="60">
        <v>12000</v>
      </c>
      <c r="J880" s="58" t="s">
        <v>107</v>
      </c>
      <c r="K880" s="67" t="s">
        <v>265</v>
      </c>
      <c r="L880" s="68">
        <v>46046.583773148202</v>
      </c>
      <c r="M880" s="68">
        <v>46050.454548611102</v>
      </c>
      <c r="N880" s="84" t="s">
        <v>146</v>
      </c>
      <c r="O880" s="68">
        <v>46054.834236111099</v>
      </c>
      <c r="P880" s="68">
        <v>46053.834398148101</v>
      </c>
    </row>
    <row r="881" spans="1:22" s="38" customFormat="1" ht="14.4" customHeight="1" x14ac:dyDescent="0.25">
      <c r="A881" s="44">
        <v>880</v>
      </c>
      <c r="B881" s="45" t="s">
        <v>85</v>
      </c>
      <c r="C881" s="66" t="s">
        <v>270</v>
      </c>
      <c r="D881" s="66" t="s">
        <v>155</v>
      </c>
      <c r="E881" s="67" t="s">
        <v>106</v>
      </c>
      <c r="F881" s="68">
        <v>46057.882164351897</v>
      </c>
      <c r="G881" s="68">
        <v>46056.8823148148</v>
      </c>
      <c r="H881" s="59" t="s">
        <v>90</v>
      </c>
      <c r="I881" s="60">
        <v>12000</v>
      </c>
      <c r="J881" s="58" t="s">
        <v>107</v>
      </c>
      <c r="K881" s="67" t="s">
        <v>265</v>
      </c>
      <c r="L881" s="68">
        <v>46043.736365740697</v>
      </c>
      <c r="M881" s="68">
        <v>46047.616608796299</v>
      </c>
      <c r="N881" s="67" t="s">
        <v>146</v>
      </c>
      <c r="O881" s="68">
        <v>46051.834108796298</v>
      </c>
      <c r="P881" s="68">
        <v>46050.834259259304</v>
      </c>
    </row>
    <row r="882" spans="1:22" s="38" customFormat="1" ht="14.4" customHeight="1" x14ac:dyDescent="0.25">
      <c r="A882" s="44">
        <v>881</v>
      </c>
      <c r="B882" s="45" t="s">
        <v>85</v>
      </c>
      <c r="C882" s="66" t="s">
        <v>270</v>
      </c>
      <c r="D882" s="66" t="s">
        <v>156</v>
      </c>
      <c r="E882" s="67" t="s">
        <v>106</v>
      </c>
      <c r="F882" s="68">
        <v>46057.882164351897</v>
      </c>
      <c r="G882" s="68">
        <v>46056.8823148148</v>
      </c>
      <c r="H882" s="59" t="s">
        <v>90</v>
      </c>
      <c r="I882" s="60">
        <v>12000</v>
      </c>
      <c r="J882" s="58" t="s">
        <v>107</v>
      </c>
      <c r="K882" s="67" t="s">
        <v>265</v>
      </c>
      <c r="L882" s="68">
        <v>46043.7363541667</v>
      </c>
      <c r="M882" s="68">
        <v>46047.616724537002</v>
      </c>
      <c r="N882" s="67" t="s">
        <v>146</v>
      </c>
      <c r="O882" s="68">
        <v>46051.834108796298</v>
      </c>
      <c r="P882" s="68">
        <v>46050.834259259304</v>
      </c>
    </row>
    <row r="883" spans="1:22" s="38" customFormat="1" ht="14.4" customHeight="1" x14ac:dyDescent="0.25">
      <c r="A883" s="44">
        <v>882</v>
      </c>
      <c r="B883" s="45" t="s">
        <v>85</v>
      </c>
      <c r="C883" s="66" t="s">
        <v>270</v>
      </c>
      <c r="D883" s="66" t="s">
        <v>157</v>
      </c>
      <c r="E883" s="67" t="s">
        <v>106</v>
      </c>
      <c r="F883" s="68">
        <v>46057.882164351897</v>
      </c>
      <c r="G883" s="68">
        <v>46056.8823148148</v>
      </c>
      <c r="H883" s="59" t="s">
        <v>90</v>
      </c>
      <c r="I883" s="60">
        <v>12000</v>
      </c>
      <c r="J883" s="58" t="s">
        <v>107</v>
      </c>
      <c r="K883" s="67" t="s">
        <v>265</v>
      </c>
      <c r="L883" s="68">
        <v>46046.583773148202</v>
      </c>
      <c r="M883" s="68">
        <v>46050.454664351899</v>
      </c>
      <c r="N883" s="84" t="s">
        <v>146</v>
      </c>
      <c r="O883" s="68">
        <v>46054.834236111099</v>
      </c>
      <c r="P883" s="68">
        <v>46053.834398148101</v>
      </c>
    </row>
    <row r="884" spans="1:22" s="38" customFormat="1" ht="14.4" customHeight="1" x14ac:dyDescent="0.25">
      <c r="A884" s="44">
        <v>883</v>
      </c>
      <c r="B884" s="45" t="s">
        <v>85</v>
      </c>
      <c r="C884" s="66" t="s">
        <v>270</v>
      </c>
      <c r="D884" s="66" t="s">
        <v>158</v>
      </c>
      <c r="E884" s="67" t="s">
        <v>106</v>
      </c>
      <c r="F884" s="68">
        <v>46057.882164351897</v>
      </c>
      <c r="G884" s="68">
        <v>46056.8823148148</v>
      </c>
      <c r="H884" s="59" t="s">
        <v>90</v>
      </c>
      <c r="I884" s="60">
        <v>12000</v>
      </c>
      <c r="J884" s="58" t="s">
        <v>107</v>
      </c>
      <c r="K884" s="67" t="s">
        <v>265</v>
      </c>
      <c r="L884" s="68">
        <v>46043.736365740697</v>
      </c>
      <c r="M884" s="68">
        <v>46047.6169212963</v>
      </c>
      <c r="N884" s="67" t="s">
        <v>146</v>
      </c>
      <c r="O884" s="68">
        <v>46051.834108796298</v>
      </c>
      <c r="P884" s="68">
        <v>46050.834259259304</v>
      </c>
    </row>
    <row r="885" spans="1:22" s="38" customFormat="1" ht="14.4" customHeight="1" x14ac:dyDescent="0.25">
      <c r="A885" s="44">
        <v>884</v>
      </c>
      <c r="B885" s="45" t="s">
        <v>85</v>
      </c>
      <c r="C885" s="66" t="s">
        <v>270</v>
      </c>
      <c r="D885" s="66" t="s">
        <v>159</v>
      </c>
      <c r="E885" s="67" t="s">
        <v>106</v>
      </c>
      <c r="F885" s="68">
        <v>46057.882164351897</v>
      </c>
      <c r="G885" s="68">
        <v>46056.8823148148</v>
      </c>
      <c r="H885" s="59" t="s">
        <v>90</v>
      </c>
      <c r="I885" s="60">
        <v>12000</v>
      </c>
      <c r="J885" s="58" t="s">
        <v>107</v>
      </c>
      <c r="K885" s="67" t="s">
        <v>265</v>
      </c>
      <c r="L885" s="68">
        <v>46043.736365740697</v>
      </c>
      <c r="M885" s="68">
        <v>46047.6188541667</v>
      </c>
      <c r="N885" s="67" t="s">
        <v>146</v>
      </c>
      <c r="O885" s="68">
        <v>46051.834108796298</v>
      </c>
      <c r="P885" s="68">
        <v>46050.834259259304</v>
      </c>
    </row>
    <row r="886" spans="1:22" s="38" customFormat="1" ht="14.4" customHeight="1" x14ac:dyDescent="0.25">
      <c r="A886" s="44">
        <v>885</v>
      </c>
      <c r="B886" s="45" t="s">
        <v>85</v>
      </c>
      <c r="C886" s="46" t="s">
        <v>270</v>
      </c>
      <c r="D886" s="38" t="s">
        <v>160</v>
      </c>
      <c r="E886" s="61"/>
      <c r="H886" s="59" t="s">
        <v>90</v>
      </c>
      <c r="I886" s="60">
        <v>12000</v>
      </c>
      <c r="K886" s="62"/>
      <c r="L886" s="63"/>
      <c r="M886" s="57"/>
    </row>
    <row r="887" spans="1:22" s="38" customFormat="1" ht="14.4" customHeight="1" x14ac:dyDescent="0.25">
      <c r="A887" s="44">
        <v>886</v>
      </c>
      <c r="B887" s="45" t="s">
        <v>85</v>
      </c>
      <c r="C887" s="46" t="s">
        <v>270</v>
      </c>
      <c r="D887" s="38" t="s">
        <v>161</v>
      </c>
      <c r="E887" s="61"/>
      <c r="H887" s="59" t="s">
        <v>90</v>
      </c>
      <c r="I887" s="60">
        <v>12000</v>
      </c>
      <c r="K887" s="62"/>
      <c r="L887" s="63"/>
      <c r="M887" s="57"/>
    </row>
    <row r="888" spans="1:22" s="38" customFormat="1" ht="14.4" customHeight="1" x14ac:dyDescent="0.25">
      <c r="A888" s="44">
        <v>887</v>
      </c>
      <c r="B888" s="45" t="s">
        <v>85</v>
      </c>
      <c r="C888" s="66" t="s">
        <v>270</v>
      </c>
      <c r="D888" s="66" t="s">
        <v>162</v>
      </c>
      <c r="E888" s="67" t="s">
        <v>106</v>
      </c>
      <c r="F888" s="68">
        <v>46125.882187499999</v>
      </c>
      <c r="G888" s="68">
        <v>46124.882395833301</v>
      </c>
      <c r="H888" s="54" t="s">
        <v>88</v>
      </c>
      <c r="I888" s="55">
        <v>16000</v>
      </c>
      <c r="J888" s="58" t="s">
        <v>107</v>
      </c>
      <c r="K888" s="75" t="s">
        <v>265</v>
      </c>
      <c r="L888" s="76">
        <v>46093.6749305556</v>
      </c>
      <c r="M888" s="76">
        <v>46094.746562499997</v>
      </c>
      <c r="T888" s="82" t="s">
        <v>146</v>
      </c>
      <c r="U888" s="83">
        <v>46100.833622685197</v>
      </c>
      <c r="V888" s="83">
        <v>46099.833854166704</v>
      </c>
    </row>
    <row r="889" spans="1:22" s="38" customFormat="1" ht="14.4" customHeight="1" x14ac:dyDescent="0.25">
      <c r="A889" s="44">
        <v>888</v>
      </c>
      <c r="B889" s="45" t="s">
        <v>85</v>
      </c>
      <c r="C889" s="66" t="s">
        <v>270</v>
      </c>
      <c r="D889" s="66" t="s">
        <v>163</v>
      </c>
      <c r="E889" s="67" t="s">
        <v>106</v>
      </c>
      <c r="F889" s="68">
        <v>46125.882187499999</v>
      </c>
      <c r="G889" s="68">
        <v>46124.882395833301</v>
      </c>
      <c r="H889" s="59" t="s">
        <v>90</v>
      </c>
      <c r="I889" s="60">
        <v>12000</v>
      </c>
      <c r="J889" s="58" t="s">
        <v>107</v>
      </c>
      <c r="K889" s="61" t="s">
        <v>108</v>
      </c>
      <c r="L889" s="64">
        <v>45561.675312500003</v>
      </c>
      <c r="M889" s="64">
        <v>45610.796307870398</v>
      </c>
      <c r="N889" s="38" t="s">
        <v>127</v>
      </c>
      <c r="O889" s="64">
        <v>45646.618148148104</v>
      </c>
      <c r="P889" s="64">
        <v>45652.696296296301</v>
      </c>
      <c r="Q889" s="75" t="s">
        <v>265</v>
      </c>
      <c r="R889" s="76">
        <v>46093.674918981502</v>
      </c>
      <c r="S889" s="76">
        <v>46094.746782407397</v>
      </c>
      <c r="T889" s="75" t="s">
        <v>146</v>
      </c>
      <c r="U889" s="76">
        <v>46102.833622685197</v>
      </c>
      <c r="V889" s="76">
        <v>46101.833842592598</v>
      </c>
    </row>
    <row r="890" spans="1:22" s="38" customFormat="1" ht="14.4" customHeight="1" x14ac:dyDescent="0.25">
      <c r="A890" s="44">
        <v>889</v>
      </c>
      <c r="B890" s="45" t="s">
        <v>85</v>
      </c>
      <c r="C890" s="66" t="s">
        <v>270</v>
      </c>
      <c r="D890" s="66" t="s">
        <v>164</v>
      </c>
      <c r="E890" s="67" t="s">
        <v>106</v>
      </c>
      <c r="F890" s="68">
        <v>46124.882245370398</v>
      </c>
      <c r="G890" s="68">
        <v>46123.882465277798</v>
      </c>
      <c r="H890" s="59" t="s">
        <v>90</v>
      </c>
      <c r="I890" s="60">
        <v>12000</v>
      </c>
      <c r="J890" s="58" t="s">
        <v>107</v>
      </c>
      <c r="K890" s="61" t="s">
        <v>108</v>
      </c>
      <c r="L890" s="64">
        <v>45561.675312500003</v>
      </c>
      <c r="M890" s="64">
        <v>45610.796307870398</v>
      </c>
      <c r="N890" s="38" t="s">
        <v>127</v>
      </c>
      <c r="O890" s="64">
        <v>45646.618148148104</v>
      </c>
      <c r="P890" s="64">
        <v>45652.696296296301</v>
      </c>
      <c r="T890" s="79" t="s">
        <v>108</v>
      </c>
      <c r="U890" s="64">
        <v>46101.725949074098</v>
      </c>
      <c r="V890" s="64">
        <v>46104.771307870396</v>
      </c>
    </row>
    <row r="891" spans="1:22" s="38" customFormat="1" ht="14.4" customHeight="1" x14ac:dyDescent="0.25">
      <c r="A891" s="44">
        <v>890</v>
      </c>
      <c r="B891" s="45" t="s">
        <v>85</v>
      </c>
      <c r="C891" s="66" t="s">
        <v>270</v>
      </c>
      <c r="D891" s="66" t="s">
        <v>165</v>
      </c>
      <c r="E891" s="67" t="s">
        <v>106</v>
      </c>
      <c r="F891" s="68">
        <v>46056.882175925901</v>
      </c>
      <c r="G891" s="68">
        <v>46055.882326388899</v>
      </c>
      <c r="H891" s="59" t="s">
        <v>90</v>
      </c>
      <c r="I891" s="60">
        <v>12000</v>
      </c>
      <c r="J891" s="58" t="s">
        <v>107</v>
      </c>
      <c r="K891" s="61" t="s">
        <v>108</v>
      </c>
      <c r="L891" s="64">
        <v>45561.675312500003</v>
      </c>
      <c r="M891" s="64">
        <v>45610.796307870398</v>
      </c>
      <c r="N891" s="38" t="s">
        <v>127</v>
      </c>
      <c r="O891" s="64">
        <v>45646.618148148104</v>
      </c>
      <c r="P891" s="64">
        <v>45652.696296296301</v>
      </c>
      <c r="Q891" s="67" t="s">
        <v>265</v>
      </c>
      <c r="R891" s="68">
        <v>46043.736365740697</v>
      </c>
      <c r="S891" s="68">
        <v>46047.474351851903</v>
      </c>
      <c r="T891" s="67" t="s">
        <v>146</v>
      </c>
      <c r="U891" s="68">
        <v>46051.834108796298</v>
      </c>
      <c r="V891" s="68">
        <v>46050.834259259304</v>
      </c>
    </row>
    <row r="892" spans="1:22" s="38" customFormat="1" ht="14.4" customHeight="1" x14ac:dyDescent="0.25">
      <c r="A892" s="44">
        <v>891</v>
      </c>
      <c r="B892" s="45" t="s">
        <v>85</v>
      </c>
      <c r="C892" s="66" t="s">
        <v>270</v>
      </c>
      <c r="D892" s="66" t="s">
        <v>166</v>
      </c>
      <c r="E892" s="67" t="s">
        <v>106</v>
      </c>
      <c r="F892" s="68">
        <v>46056.882175925901</v>
      </c>
      <c r="G892" s="68">
        <v>46055.882326388899</v>
      </c>
      <c r="H892" s="59" t="s">
        <v>90</v>
      </c>
      <c r="I892" s="60">
        <v>12000</v>
      </c>
      <c r="J892" s="58" t="s">
        <v>107</v>
      </c>
      <c r="K892" s="61" t="s">
        <v>108</v>
      </c>
      <c r="L892" s="64">
        <v>45561.675312500003</v>
      </c>
      <c r="M892" s="64">
        <v>45610.796307870398</v>
      </c>
      <c r="N892" s="38" t="s">
        <v>127</v>
      </c>
      <c r="O892" s="64">
        <v>45646.618148148104</v>
      </c>
      <c r="P892" s="64">
        <v>45652.696296296301</v>
      </c>
      <c r="Q892" s="67" t="s">
        <v>265</v>
      </c>
      <c r="R892" s="68">
        <v>46043.736331018503</v>
      </c>
      <c r="S892" s="68">
        <v>46047.4744907407</v>
      </c>
      <c r="T892" s="67" t="s">
        <v>146</v>
      </c>
      <c r="U892" s="68">
        <v>46051.834108796298</v>
      </c>
      <c r="V892" s="68">
        <v>46050.834259259304</v>
      </c>
    </row>
    <row r="893" spans="1:22" s="38" customFormat="1" ht="14.4" customHeight="1" x14ac:dyDescent="0.25">
      <c r="A893" s="44">
        <v>892</v>
      </c>
      <c r="B893" s="45" t="s">
        <v>85</v>
      </c>
      <c r="C893" s="66" t="s">
        <v>270</v>
      </c>
      <c r="D893" s="66" t="s">
        <v>167</v>
      </c>
      <c r="E893" s="67" t="s">
        <v>265</v>
      </c>
      <c r="F893" s="68">
        <v>46046.583773148202</v>
      </c>
      <c r="G893" s="68">
        <v>46050.466979166697</v>
      </c>
      <c r="H893" s="59" t="s">
        <v>90</v>
      </c>
      <c r="I893" s="60">
        <v>12000</v>
      </c>
      <c r="J893" s="58" t="s">
        <v>107</v>
      </c>
      <c r="K893" s="61" t="s">
        <v>108</v>
      </c>
      <c r="L893" s="64">
        <v>45561.675312500003</v>
      </c>
      <c r="M893" s="64">
        <v>45610.796307870398</v>
      </c>
      <c r="N893" s="38" t="s">
        <v>127</v>
      </c>
      <c r="O893" s="64">
        <v>45646.618148148104</v>
      </c>
      <c r="P893" s="64">
        <v>45652.696296296301</v>
      </c>
    </row>
    <row r="894" spans="1:22" s="38" customFormat="1" ht="14.4" customHeight="1" x14ac:dyDescent="0.25">
      <c r="A894" s="44">
        <v>893</v>
      </c>
      <c r="B894" s="45" t="s">
        <v>85</v>
      </c>
      <c r="C894" s="66" t="s">
        <v>270</v>
      </c>
      <c r="D894" s="66" t="s">
        <v>168</v>
      </c>
      <c r="E894" s="67" t="s">
        <v>106</v>
      </c>
      <c r="F894" s="68">
        <v>46056.882175925901</v>
      </c>
      <c r="G894" s="68">
        <v>46055.882326388899</v>
      </c>
      <c r="H894" s="59" t="s">
        <v>90</v>
      </c>
      <c r="I894" s="60">
        <v>12000</v>
      </c>
      <c r="J894" s="58" t="s">
        <v>107</v>
      </c>
      <c r="K894" s="61" t="s">
        <v>108</v>
      </c>
      <c r="L894" s="64">
        <v>45561.675312500003</v>
      </c>
      <c r="M894" s="64">
        <v>45610.796307870398</v>
      </c>
      <c r="N894" s="38" t="s">
        <v>127</v>
      </c>
      <c r="O894" s="64">
        <v>45646.618148148104</v>
      </c>
      <c r="P894" s="64">
        <v>45652.696296296301</v>
      </c>
      <c r="Q894" s="67" t="s">
        <v>265</v>
      </c>
      <c r="R894" s="68">
        <v>46043.7363541667</v>
      </c>
      <c r="S894" s="68">
        <v>46047.4746296296</v>
      </c>
      <c r="T894" s="67" t="s">
        <v>146</v>
      </c>
      <c r="U894" s="68">
        <v>46051.834108796298</v>
      </c>
      <c r="V894" s="68">
        <v>46050.834259259304</v>
      </c>
    </row>
    <row r="895" spans="1:22" s="38" customFormat="1" ht="14.4" customHeight="1" x14ac:dyDescent="0.25">
      <c r="A895" s="44">
        <v>894</v>
      </c>
      <c r="B895" s="45" t="s">
        <v>85</v>
      </c>
      <c r="C895" s="66" t="s">
        <v>270</v>
      </c>
      <c r="D895" s="66" t="s">
        <v>169</v>
      </c>
      <c r="E895" s="67" t="s">
        <v>106</v>
      </c>
      <c r="F895" s="68">
        <v>46056.882175925901</v>
      </c>
      <c r="G895" s="68">
        <v>46055.882326388899</v>
      </c>
      <c r="H895" s="59" t="s">
        <v>90</v>
      </c>
      <c r="I895" s="60">
        <v>12000</v>
      </c>
      <c r="J895" s="58" t="s">
        <v>107</v>
      </c>
      <c r="K895" s="61" t="s">
        <v>108</v>
      </c>
      <c r="L895" s="64">
        <v>45561.675312500003</v>
      </c>
      <c r="M895" s="64">
        <v>45610.796307870398</v>
      </c>
      <c r="N895" s="38" t="s">
        <v>127</v>
      </c>
      <c r="O895" s="64">
        <v>45646.618148148104</v>
      </c>
      <c r="P895" s="64">
        <v>45652.696296296301</v>
      </c>
      <c r="Q895" s="67" t="s">
        <v>265</v>
      </c>
      <c r="R895" s="68">
        <v>46043.7363541667</v>
      </c>
      <c r="S895" s="68">
        <v>46048.621238425898</v>
      </c>
      <c r="T895" s="67" t="s">
        <v>146</v>
      </c>
      <c r="U895" s="68">
        <v>46051.834108796298</v>
      </c>
      <c r="V895" s="68">
        <v>46050.834259259304</v>
      </c>
    </row>
    <row r="896" spans="1:22" s="38" customFormat="1" ht="14.4" customHeight="1" x14ac:dyDescent="0.25">
      <c r="A896" s="44">
        <v>895</v>
      </c>
      <c r="B896" s="45" t="s">
        <v>85</v>
      </c>
      <c r="C896" s="66" t="s">
        <v>270</v>
      </c>
      <c r="D896" s="66" t="s">
        <v>170</v>
      </c>
      <c r="E896" s="67" t="s">
        <v>265</v>
      </c>
      <c r="F896" s="68">
        <v>46046.583773148202</v>
      </c>
      <c r="G896" s="68">
        <v>46050.467025462996</v>
      </c>
      <c r="H896" s="59" t="s">
        <v>90</v>
      </c>
      <c r="I896" s="60">
        <v>12000</v>
      </c>
      <c r="J896" s="58" t="s">
        <v>107</v>
      </c>
      <c r="K896" s="61" t="s">
        <v>108</v>
      </c>
      <c r="L896" s="64">
        <v>45561.675312500003</v>
      </c>
      <c r="M896" s="64">
        <v>45610.796307870398</v>
      </c>
      <c r="N896" s="38" t="s">
        <v>127</v>
      </c>
      <c r="O896" s="64">
        <v>45646.618148148104</v>
      </c>
      <c r="P896" s="64">
        <v>45652.696296296301</v>
      </c>
    </row>
    <row r="897" spans="1:22" s="38" customFormat="1" ht="14.4" customHeight="1" x14ac:dyDescent="0.25">
      <c r="A897" s="44">
        <v>896</v>
      </c>
      <c r="B897" s="45" t="s">
        <v>85</v>
      </c>
      <c r="C897" s="66" t="s">
        <v>270</v>
      </c>
      <c r="D897" s="66" t="s">
        <v>171</v>
      </c>
      <c r="E897" s="67" t="s">
        <v>106</v>
      </c>
      <c r="F897" s="68">
        <v>46056.882175925901</v>
      </c>
      <c r="G897" s="68">
        <v>46055.882326388899</v>
      </c>
      <c r="H897" s="59" t="s">
        <v>90</v>
      </c>
      <c r="I897" s="60">
        <v>12000</v>
      </c>
      <c r="J897" s="58" t="s">
        <v>107</v>
      </c>
      <c r="K897" s="61" t="s">
        <v>108</v>
      </c>
      <c r="L897" s="64">
        <v>45561.675312500003</v>
      </c>
      <c r="M897" s="64">
        <v>45610.796307870398</v>
      </c>
      <c r="N897" s="38" t="s">
        <v>127</v>
      </c>
      <c r="O897" s="64">
        <v>45646.618148148104</v>
      </c>
      <c r="P897" s="64">
        <v>45652.696296296301</v>
      </c>
      <c r="Q897" s="67" t="s">
        <v>265</v>
      </c>
      <c r="R897" s="68">
        <v>46043.7363541667</v>
      </c>
      <c r="S897" s="68">
        <v>46047.475104166697</v>
      </c>
      <c r="T897" s="67" t="s">
        <v>146</v>
      </c>
      <c r="U897" s="68">
        <v>46051.834108796298</v>
      </c>
      <c r="V897" s="68">
        <v>46050.834259259304</v>
      </c>
    </row>
    <row r="898" spans="1:22" s="38" customFormat="1" ht="14.4" customHeight="1" x14ac:dyDescent="0.25">
      <c r="A898" s="44">
        <v>897</v>
      </c>
      <c r="B898" s="45" t="s">
        <v>85</v>
      </c>
      <c r="C898" s="66" t="s">
        <v>270</v>
      </c>
      <c r="D898" s="66" t="s">
        <v>172</v>
      </c>
      <c r="E898" s="67" t="s">
        <v>106</v>
      </c>
      <c r="F898" s="68">
        <v>46056.882175925901</v>
      </c>
      <c r="G898" s="68">
        <v>46055.882326388899</v>
      </c>
      <c r="H898" s="59" t="s">
        <v>90</v>
      </c>
      <c r="I898" s="60">
        <v>12000</v>
      </c>
      <c r="J898" s="58" t="s">
        <v>107</v>
      </c>
      <c r="K898" s="67" t="s">
        <v>265</v>
      </c>
      <c r="L898" s="68">
        <v>46043.736365740697</v>
      </c>
      <c r="M898" s="68">
        <v>46047.668587963002</v>
      </c>
      <c r="N898" s="67" t="s">
        <v>146</v>
      </c>
      <c r="O898" s="68">
        <v>46051.834108796298</v>
      </c>
      <c r="P898" s="68">
        <v>46050.834259259304</v>
      </c>
    </row>
    <row r="899" spans="1:22" s="38" customFormat="1" ht="14.4" customHeight="1" x14ac:dyDescent="0.25">
      <c r="A899" s="44">
        <v>898</v>
      </c>
      <c r="B899" s="45" t="s">
        <v>85</v>
      </c>
      <c r="C899" s="66" t="s">
        <v>270</v>
      </c>
      <c r="D899" s="66" t="s">
        <v>173</v>
      </c>
      <c r="E899" s="67" t="s">
        <v>265</v>
      </c>
      <c r="F899" s="68">
        <v>46046.583773148202</v>
      </c>
      <c r="G899" s="68">
        <v>46050.4670833333</v>
      </c>
      <c r="H899" s="59" t="s">
        <v>90</v>
      </c>
      <c r="I899" s="60">
        <v>12000</v>
      </c>
      <c r="J899" s="58" t="s">
        <v>107</v>
      </c>
      <c r="K899" s="62"/>
      <c r="L899" s="63"/>
      <c r="M899" s="57"/>
    </row>
    <row r="900" spans="1:22" s="38" customFormat="1" ht="14.4" customHeight="1" x14ac:dyDescent="0.25">
      <c r="A900" s="44">
        <v>899</v>
      </c>
      <c r="B900" s="45" t="s">
        <v>85</v>
      </c>
      <c r="C900" s="66" t="s">
        <v>270</v>
      </c>
      <c r="D900" s="66" t="s">
        <v>174</v>
      </c>
      <c r="E900" s="67" t="s">
        <v>106</v>
      </c>
      <c r="F900" s="68">
        <v>46057.882164351897</v>
      </c>
      <c r="G900" s="68">
        <v>46056.8823148148</v>
      </c>
      <c r="H900" s="59" t="s">
        <v>90</v>
      </c>
      <c r="I900" s="60">
        <v>12000</v>
      </c>
      <c r="J900" s="58" t="s">
        <v>107</v>
      </c>
      <c r="K900" s="67" t="s">
        <v>265</v>
      </c>
      <c r="L900" s="68">
        <v>46043.736331018503</v>
      </c>
      <c r="M900" s="68">
        <v>46047.668703703697</v>
      </c>
      <c r="N900" s="67" t="s">
        <v>146</v>
      </c>
      <c r="O900" s="68">
        <v>46051.834108796298</v>
      </c>
      <c r="P900" s="68">
        <v>46050.834259259304</v>
      </c>
    </row>
    <row r="901" spans="1:22" s="38" customFormat="1" ht="14.4" customHeight="1" x14ac:dyDescent="0.25">
      <c r="A901" s="44">
        <v>900</v>
      </c>
      <c r="B901" s="45" t="s">
        <v>85</v>
      </c>
      <c r="C901" s="66" t="s">
        <v>270</v>
      </c>
      <c r="D901" s="66" t="s">
        <v>175</v>
      </c>
      <c r="E901" s="67" t="s">
        <v>106</v>
      </c>
      <c r="F901" s="68">
        <v>46057.882164351897</v>
      </c>
      <c r="G901" s="68">
        <v>46056.8823148148</v>
      </c>
      <c r="H901" s="59" t="s">
        <v>90</v>
      </c>
      <c r="I901" s="60">
        <v>12000</v>
      </c>
      <c r="J901" s="58" t="s">
        <v>107</v>
      </c>
      <c r="K901" s="67" t="s">
        <v>265</v>
      </c>
      <c r="L901" s="68">
        <v>46043.736342592601</v>
      </c>
      <c r="M901" s="68">
        <v>46047.668796296297</v>
      </c>
      <c r="N901" s="67" t="s">
        <v>146</v>
      </c>
      <c r="O901" s="68">
        <v>46051.834108796298</v>
      </c>
      <c r="P901" s="68">
        <v>46050.834259259304</v>
      </c>
    </row>
    <row r="902" spans="1:22" s="38" customFormat="1" ht="14.4" customHeight="1" x14ac:dyDescent="0.25">
      <c r="A902" s="44">
        <v>901</v>
      </c>
      <c r="B902" s="45" t="s">
        <v>85</v>
      </c>
      <c r="C902" s="66" t="s">
        <v>270</v>
      </c>
      <c r="D902" s="66" t="s">
        <v>176</v>
      </c>
      <c r="E902" s="67" t="s">
        <v>106</v>
      </c>
      <c r="F902" s="68">
        <v>46057.882164351897</v>
      </c>
      <c r="G902" s="68">
        <v>46056.8823148148</v>
      </c>
      <c r="H902" s="59" t="s">
        <v>90</v>
      </c>
      <c r="I902" s="60">
        <v>12000</v>
      </c>
      <c r="J902" s="58" t="s">
        <v>107</v>
      </c>
      <c r="K902" s="67" t="s">
        <v>265</v>
      </c>
      <c r="L902" s="68">
        <v>46046.583773148202</v>
      </c>
      <c r="M902" s="68">
        <v>46050.467141203699</v>
      </c>
      <c r="N902" s="84" t="s">
        <v>146</v>
      </c>
      <c r="O902" s="68">
        <v>46054.834236111099</v>
      </c>
      <c r="P902" s="68">
        <v>46053.834398148101</v>
      </c>
    </row>
    <row r="903" spans="1:22" s="38" customFormat="1" ht="14.4" customHeight="1" x14ac:dyDescent="0.25">
      <c r="A903" s="44">
        <v>902</v>
      </c>
      <c r="B903" s="45" t="s">
        <v>85</v>
      </c>
      <c r="C903" s="46" t="s">
        <v>270</v>
      </c>
      <c r="D903" s="38" t="s">
        <v>177</v>
      </c>
      <c r="E903" s="61"/>
      <c r="H903" s="59" t="s">
        <v>90</v>
      </c>
      <c r="I903" s="60">
        <v>12000</v>
      </c>
      <c r="K903" s="62"/>
      <c r="L903" s="63"/>
      <c r="M903" s="57"/>
    </row>
    <row r="904" spans="1:22" s="38" customFormat="1" ht="14.4" customHeight="1" x14ac:dyDescent="0.25">
      <c r="A904" s="44">
        <v>903</v>
      </c>
      <c r="B904" s="45" t="s">
        <v>85</v>
      </c>
      <c r="C904" s="66" t="s">
        <v>270</v>
      </c>
      <c r="D904" s="66" t="s">
        <v>178</v>
      </c>
      <c r="E904" s="67" t="s">
        <v>265</v>
      </c>
      <c r="F904" s="68">
        <v>46043.733738425901</v>
      </c>
      <c r="G904" s="68">
        <v>46047.474155092597</v>
      </c>
      <c r="H904" s="54" t="s">
        <v>88</v>
      </c>
      <c r="I904" s="55">
        <v>16000</v>
      </c>
      <c r="J904" s="58" t="s">
        <v>107</v>
      </c>
      <c r="K904" s="62"/>
      <c r="L904" s="63"/>
      <c r="M904" s="57"/>
    </row>
    <row r="905" spans="1:22" s="38" customFormat="1" ht="14.4" customHeight="1" x14ac:dyDescent="0.25">
      <c r="A905" s="44">
        <v>904</v>
      </c>
      <c r="B905" s="45" t="s">
        <v>85</v>
      </c>
      <c r="C905" s="66" t="s">
        <v>270</v>
      </c>
      <c r="D905" s="66" t="s">
        <v>179</v>
      </c>
      <c r="E905" s="67" t="s">
        <v>106</v>
      </c>
      <c r="F905" s="68">
        <v>46124.882245370398</v>
      </c>
      <c r="G905" s="68">
        <v>46123.882465277798</v>
      </c>
      <c r="H905" s="59" t="s">
        <v>90</v>
      </c>
      <c r="I905" s="60">
        <v>12000</v>
      </c>
      <c r="J905" s="58" t="s">
        <v>107</v>
      </c>
      <c r="K905" s="61" t="s">
        <v>108</v>
      </c>
      <c r="L905" s="64">
        <v>45561.675312500003</v>
      </c>
      <c r="M905" s="64">
        <v>45610.796307870398</v>
      </c>
      <c r="N905" s="38" t="s">
        <v>127</v>
      </c>
      <c r="O905" s="64">
        <v>45646.618148148104</v>
      </c>
      <c r="P905" s="64">
        <v>45652.696296296301</v>
      </c>
      <c r="T905" s="79" t="s">
        <v>108</v>
      </c>
      <c r="U905" s="64">
        <v>46101.725949074098</v>
      </c>
      <c r="V905" s="64">
        <v>46104.771307870396</v>
      </c>
    </row>
    <row r="906" spans="1:22" s="38" customFormat="1" ht="14.4" customHeight="1" x14ac:dyDescent="0.25">
      <c r="A906" s="44">
        <v>905</v>
      </c>
      <c r="B906" s="45" t="s">
        <v>85</v>
      </c>
      <c r="C906" s="66" t="s">
        <v>270</v>
      </c>
      <c r="D906" s="66" t="s">
        <v>180</v>
      </c>
      <c r="E906" s="67" t="s">
        <v>106</v>
      </c>
      <c r="F906" s="68">
        <v>46124.882245370398</v>
      </c>
      <c r="G906" s="68">
        <v>46123.882465277798</v>
      </c>
      <c r="H906" s="59" t="s">
        <v>90</v>
      </c>
      <c r="I906" s="60">
        <v>12000</v>
      </c>
      <c r="J906" s="58" t="s">
        <v>107</v>
      </c>
      <c r="K906" s="61" t="s">
        <v>108</v>
      </c>
      <c r="L906" s="64">
        <v>45561.675312500003</v>
      </c>
      <c r="M906" s="64">
        <v>45610.796307870398</v>
      </c>
      <c r="N906" s="38" t="s">
        <v>127</v>
      </c>
      <c r="O906" s="64">
        <v>45646.618148148104</v>
      </c>
      <c r="P906" s="64">
        <v>45652.696296296301</v>
      </c>
      <c r="Q906" s="75" t="s">
        <v>265</v>
      </c>
      <c r="R906" s="76">
        <v>46093.674918981502</v>
      </c>
      <c r="S906" s="76">
        <v>46094.746921296297</v>
      </c>
      <c r="T906" s="75" t="s">
        <v>146</v>
      </c>
      <c r="U906" s="76">
        <v>46104.833518518499</v>
      </c>
      <c r="V906" s="76">
        <v>46103.833726851903</v>
      </c>
    </row>
    <row r="907" spans="1:22" s="38" customFormat="1" ht="14.4" customHeight="1" x14ac:dyDescent="0.25">
      <c r="A907" s="44">
        <v>906</v>
      </c>
      <c r="B907" s="45" t="s">
        <v>85</v>
      </c>
      <c r="C907" s="66" t="s">
        <v>270</v>
      </c>
      <c r="D907" s="66" t="s">
        <v>181</v>
      </c>
      <c r="E907" s="67" t="s">
        <v>106</v>
      </c>
      <c r="F907" s="68">
        <v>46124.882245370398</v>
      </c>
      <c r="G907" s="68">
        <v>46123.882465277798</v>
      </c>
      <c r="H907" s="59" t="s">
        <v>90</v>
      </c>
      <c r="I907" s="60">
        <v>12000</v>
      </c>
      <c r="J907" s="58" t="s">
        <v>107</v>
      </c>
      <c r="K907" s="61" t="s">
        <v>108</v>
      </c>
      <c r="L907" s="64">
        <v>45561.675312500003</v>
      </c>
      <c r="M907" s="64">
        <v>45610.796307870398</v>
      </c>
      <c r="N907" s="38" t="s">
        <v>127</v>
      </c>
      <c r="O907" s="64">
        <v>45646.618148148104</v>
      </c>
      <c r="P907" s="64">
        <v>45652.696296296301</v>
      </c>
      <c r="Q907" s="75" t="s">
        <v>265</v>
      </c>
      <c r="R907" s="76">
        <v>46093.6749305556</v>
      </c>
      <c r="S907" s="76">
        <v>46094.747812499998</v>
      </c>
      <c r="T907" s="75" t="s">
        <v>146</v>
      </c>
      <c r="U907" s="76">
        <v>46104.833518518499</v>
      </c>
      <c r="V907" s="76">
        <v>46103.833726851903</v>
      </c>
    </row>
    <row r="908" spans="1:22" s="38" customFormat="1" ht="14.4" customHeight="1" x14ac:dyDescent="0.25">
      <c r="A908" s="44">
        <v>907</v>
      </c>
      <c r="B908" s="45" t="s">
        <v>85</v>
      </c>
      <c r="C908" s="66" t="s">
        <v>270</v>
      </c>
      <c r="D908" s="66" t="s">
        <v>182</v>
      </c>
      <c r="E908" s="67" t="s">
        <v>265</v>
      </c>
      <c r="F908" s="68">
        <v>46046.583773148202</v>
      </c>
      <c r="G908" s="68">
        <v>46050.470393518503</v>
      </c>
      <c r="H908" s="59" t="s">
        <v>90</v>
      </c>
      <c r="I908" s="60">
        <v>12000</v>
      </c>
      <c r="J908" s="58" t="s">
        <v>107</v>
      </c>
      <c r="K908" s="61" t="s">
        <v>108</v>
      </c>
      <c r="L908" s="64">
        <v>45561.675312500003</v>
      </c>
      <c r="M908" s="64">
        <v>45610.796307870398</v>
      </c>
      <c r="N908" s="38" t="s">
        <v>127</v>
      </c>
      <c r="O908" s="64">
        <v>45646.618148148104</v>
      </c>
      <c r="P908" s="64">
        <v>45652.696296296301</v>
      </c>
    </row>
    <row r="909" spans="1:22" s="38" customFormat="1" ht="14.4" customHeight="1" x14ac:dyDescent="0.25">
      <c r="A909" s="44">
        <v>908</v>
      </c>
      <c r="B909" s="45" t="s">
        <v>85</v>
      </c>
      <c r="C909" s="66" t="s">
        <v>270</v>
      </c>
      <c r="D909" s="66" t="s">
        <v>183</v>
      </c>
      <c r="E909" s="67" t="s">
        <v>106</v>
      </c>
      <c r="F909" s="68">
        <v>46056.882175925901</v>
      </c>
      <c r="G909" s="68">
        <v>46055.882326388899</v>
      </c>
      <c r="H909" s="59" t="s">
        <v>90</v>
      </c>
      <c r="I909" s="60">
        <v>12000</v>
      </c>
      <c r="J909" s="58" t="s">
        <v>107</v>
      </c>
      <c r="K909" s="61" t="s">
        <v>108</v>
      </c>
      <c r="L909" s="64">
        <v>45561.675312500003</v>
      </c>
      <c r="M909" s="64">
        <v>45610.796307870398</v>
      </c>
      <c r="N909" s="38" t="s">
        <v>127</v>
      </c>
      <c r="O909" s="64">
        <v>45646.618148148104</v>
      </c>
      <c r="P909" s="64">
        <v>45652.696296296301</v>
      </c>
      <c r="Q909" s="67" t="s">
        <v>265</v>
      </c>
      <c r="R909" s="68">
        <v>46043.736331018503</v>
      </c>
      <c r="S909" s="68">
        <v>46048.646446759303</v>
      </c>
      <c r="T909" s="67" t="s">
        <v>146</v>
      </c>
      <c r="U909" s="68">
        <v>46051.834108796298</v>
      </c>
      <c r="V909" s="68">
        <v>46050.834259259304</v>
      </c>
    </row>
    <row r="910" spans="1:22" s="38" customFormat="1" ht="14.4" customHeight="1" x14ac:dyDescent="0.25">
      <c r="A910" s="44">
        <v>909</v>
      </c>
      <c r="B910" s="45" t="s">
        <v>85</v>
      </c>
      <c r="C910" s="66" t="s">
        <v>270</v>
      </c>
      <c r="D910" s="66" t="s">
        <v>184</v>
      </c>
      <c r="E910" s="67" t="s">
        <v>106</v>
      </c>
      <c r="F910" s="68">
        <v>46056.882175925901</v>
      </c>
      <c r="G910" s="68">
        <v>46055.882326388899</v>
      </c>
      <c r="H910" s="59" t="s">
        <v>90</v>
      </c>
      <c r="I910" s="60">
        <v>12000</v>
      </c>
      <c r="J910" s="58" t="s">
        <v>107</v>
      </c>
      <c r="K910" s="61" t="s">
        <v>108</v>
      </c>
      <c r="L910" s="64">
        <v>45561.675312500003</v>
      </c>
      <c r="M910" s="64">
        <v>45610.796307870398</v>
      </c>
      <c r="N910" s="38" t="s">
        <v>127</v>
      </c>
      <c r="O910" s="64">
        <v>45646.618148148104</v>
      </c>
      <c r="P910" s="64">
        <v>45652.696296296301</v>
      </c>
      <c r="Q910" s="67" t="s">
        <v>265</v>
      </c>
      <c r="R910" s="68">
        <v>46043.736412036997</v>
      </c>
      <c r="S910" s="68">
        <v>46047.4738657407</v>
      </c>
      <c r="T910" s="67" t="s">
        <v>146</v>
      </c>
      <c r="U910" s="68">
        <v>46051.834108796298</v>
      </c>
      <c r="V910" s="68">
        <v>46050.834259259304</v>
      </c>
    </row>
    <row r="911" spans="1:22" s="38" customFormat="1" ht="14.4" customHeight="1" x14ac:dyDescent="0.25">
      <c r="A911" s="44">
        <v>910</v>
      </c>
      <c r="B911" s="45" t="s">
        <v>85</v>
      </c>
      <c r="C911" s="66" t="s">
        <v>270</v>
      </c>
      <c r="D911" s="66" t="s">
        <v>185</v>
      </c>
      <c r="E911" s="67" t="s">
        <v>265</v>
      </c>
      <c r="F911" s="68">
        <v>46046.583773148202</v>
      </c>
      <c r="G911" s="68">
        <v>46050.470451388901</v>
      </c>
      <c r="H911" s="59" t="s">
        <v>90</v>
      </c>
      <c r="I911" s="60">
        <v>12000</v>
      </c>
      <c r="J911" s="58" t="s">
        <v>107</v>
      </c>
      <c r="K911" s="61" t="s">
        <v>108</v>
      </c>
      <c r="L911" s="64">
        <v>45561.675312500003</v>
      </c>
      <c r="M911" s="64">
        <v>45610.796307870398</v>
      </c>
      <c r="N911" s="38" t="s">
        <v>127</v>
      </c>
      <c r="O911" s="64">
        <v>45646.618148148104</v>
      </c>
      <c r="P911" s="64">
        <v>45652.696296296301</v>
      </c>
    </row>
    <row r="912" spans="1:22" s="38" customFormat="1" ht="14.4" customHeight="1" x14ac:dyDescent="0.25">
      <c r="A912" s="44">
        <v>911</v>
      </c>
      <c r="B912" s="45" t="s">
        <v>85</v>
      </c>
      <c r="C912" s="66" t="s">
        <v>270</v>
      </c>
      <c r="D912" s="66" t="s">
        <v>186</v>
      </c>
      <c r="E912" s="67" t="s">
        <v>106</v>
      </c>
      <c r="F912" s="68">
        <v>46056.882175925901</v>
      </c>
      <c r="G912" s="68">
        <v>46055.882326388899</v>
      </c>
      <c r="H912" s="59" t="s">
        <v>90</v>
      </c>
      <c r="I912" s="60">
        <v>12000</v>
      </c>
      <c r="J912" s="58" t="s">
        <v>107</v>
      </c>
      <c r="K912" s="61" t="s">
        <v>108</v>
      </c>
      <c r="L912" s="64">
        <v>45561.675312500003</v>
      </c>
      <c r="M912" s="64">
        <v>45610.796307870398</v>
      </c>
      <c r="N912" s="38" t="s">
        <v>127</v>
      </c>
      <c r="O912" s="64">
        <v>45646.618148148104</v>
      </c>
      <c r="P912" s="64">
        <v>45652.696296296301</v>
      </c>
      <c r="Q912" s="67" t="s">
        <v>265</v>
      </c>
      <c r="R912" s="68">
        <v>46043.7363541667</v>
      </c>
      <c r="S912" s="68">
        <v>46047.473645833299</v>
      </c>
      <c r="T912" s="67" t="s">
        <v>146</v>
      </c>
      <c r="U912" s="68">
        <v>46051.834108796298</v>
      </c>
      <c r="V912" s="68">
        <v>46050.834259259304</v>
      </c>
    </row>
    <row r="913" spans="1:22" s="38" customFormat="1" ht="14.4" customHeight="1" x14ac:dyDescent="0.25">
      <c r="A913" s="44">
        <v>912</v>
      </c>
      <c r="B913" s="45" t="s">
        <v>85</v>
      </c>
      <c r="C913" s="66" t="s">
        <v>270</v>
      </c>
      <c r="D913" s="66" t="s">
        <v>187</v>
      </c>
      <c r="E913" s="67" t="s">
        <v>106</v>
      </c>
      <c r="F913" s="68">
        <v>46056.882175925901</v>
      </c>
      <c r="G913" s="68">
        <v>46055.882326388899</v>
      </c>
      <c r="H913" s="59" t="s">
        <v>90</v>
      </c>
      <c r="I913" s="60">
        <v>12000</v>
      </c>
      <c r="J913" s="58" t="s">
        <v>107</v>
      </c>
      <c r="K913" s="61" t="s">
        <v>108</v>
      </c>
      <c r="L913" s="64">
        <v>45561.675312500003</v>
      </c>
      <c r="M913" s="64">
        <v>45610.796307870398</v>
      </c>
      <c r="N913" s="38" t="s">
        <v>127</v>
      </c>
      <c r="O913" s="64">
        <v>45646.618148148104</v>
      </c>
      <c r="P913" s="64">
        <v>45652.696296296301</v>
      </c>
      <c r="Q913" s="67" t="s">
        <v>265</v>
      </c>
      <c r="R913" s="68">
        <v>46043.736365740697</v>
      </c>
      <c r="S913" s="68">
        <v>46047.473414351902</v>
      </c>
      <c r="T913" s="67" t="s">
        <v>146</v>
      </c>
      <c r="U913" s="68">
        <v>46051.834108796298</v>
      </c>
      <c r="V913" s="68">
        <v>46050.834259259304</v>
      </c>
    </row>
    <row r="914" spans="1:22" s="38" customFormat="1" ht="14.4" customHeight="1" x14ac:dyDescent="0.25">
      <c r="A914" s="44">
        <v>913</v>
      </c>
      <c r="B914" s="45" t="s">
        <v>85</v>
      </c>
      <c r="C914" s="66" t="s">
        <v>270</v>
      </c>
      <c r="D914" s="66" t="s">
        <v>188</v>
      </c>
      <c r="E914" s="67" t="s">
        <v>265</v>
      </c>
      <c r="F914" s="68">
        <v>46046.583773148202</v>
      </c>
      <c r="G914" s="68">
        <v>46050.470497685201</v>
      </c>
      <c r="H914" s="59" t="s">
        <v>90</v>
      </c>
      <c r="I914" s="60">
        <v>12000</v>
      </c>
      <c r="J914" s="58" t="s">
        <v>107</v>
      </c>
      <c r="K914" s="62"/>
      <c r="L914" s="63"/>
      <c r="M914" s="57"/>
    </row>
    <row r="915" spans="1:22" s="38" customFormat="1" ht="14.4" customHeight="1" x14ac:dyDescent="0.25">
      <c r="A915" s="44">
        <v>914</v>
      </c>
      <c r="B915" s="45" t="s">
        <v>85</v>
      </c>
      <c r="C915" s="66" t="s">
        <v>270</v>
      </c>
      <c r="D915" s="66" t="s">
        <v>189</v>
      </c>
      <c r="E915" s="67" t="s">
        <v>106</v>
      </c>
      <c r="F915" s="68">
        <v>46056.882175925901</v>
      </c>
      <c r="G915" s="68">
        <v>46055.882326388899</v>
      </c>
      <c r="H915" s="59" t="s">
        <v>90</v>
      </c>
      <c r="I915" s="60">
        <v>12000</v>
      </c>
      <c r="J915" s="58" t="s">
        <v>107</v>
      </c>
      <c r="K915" s="67" t="s">
        <v>265</v>
      </c>
      <c r="L915" s="68">
        <v>46043.7363541667</v>
      </c>
      <c r="M915" s="68">
        <v>46047.472071759301</v>
      </c>
      <c r="N915" s="67" t="s">
        <v>146</v>
      </c>
      <c r="O915" s="68">
        <v>46051.834108796298</v>
      </c>
      <c r="P915" s="68">
        <v>46050.834259259304</v>
      </c>
    </row>
    <row r="916" spans="1:22" s="38" customFormat="1" ht="14.4" customHeight="1" x14ac:dyDescent="0.25">
      <c r="A916" s="44">
        <v>915</v>
      </c>
      <c r="B916" s="45" t="s">
        <v>85</v>
      </c>
      <c r="C916" s="66" t="s">
        <v>270</v>
      </c>
      <c r="D916" s="66" t="s">
        <v>190</v>
      </c>
      <c r="E916" s="67" t="s">
        <v>106</v>
      </c>
      <c r="F916" s="68">
        <v>46056.882175925901</v>
      </c>
      <c r="G916" s="68">
        <v>46055.882326388899</v>
      </c>
      <c r="H916" s="59" t="s">
        <v>90</v>
      </c>
      <c r="I916" s="60">
        <v>12000</v>
      </c>
      <c r="J916" s="58" t="s">
        <v>107</v>
      </c>
      <c r="K916" s="67" t="s">
        <v>265</v>
      </c>
      <c r="L916" s="68">
        <v>46043.7363541667</v>
      </c>
      <c r="M916" s="68">
        <v>46047.669085648202</v>
      </c>
      <c r="N916" s="67" t="s">
        <v>146</v>
      </c>
      <c r="O916" s="68">
        <v>46051.834108796298</v>
      </c>
      <c r="P916" s="68">
        <v>46050.834259259304</v>
      </c>
    </row>
    <row r="917" spans="1:22" s="38" customFormat="1" ht="14.4" customHeight="1" x14ac:dyDescent="0.25">
      <c r="A917" s="44">
        <v>916</v>
      </c>
      <c r="B917" s="45" t="s">
        <v>85</v>
      </c>
      <c r="C917" s="66" t="s">
        <v>270</v>
      </c>
      <c r="D917" s="66" t="s">
        <v>191</v>
      </c>
      <c r="E917" s="67" t="s">
        <v>265</v>
      </c>
      <c r="F917" s="68">
        <v>46046.583773148202</v>
      </c>
      <c r="G917" s="68">
        <v>46050.470555555599</v>
      </c>
      <c r="H917" s="59" t="s">
        <v>90</v>
      </c>
      <c r="I917" s="60">
        <v>12000</v>
      </c>
      <c r="J917" s="58" t="s">
        <v>107</v>
      </c>
      <c r="K917" s="62"/>
      <c r="L917" s="63"/>
      <c r="M917" s="57"/>
    </row>
    <row r="918" spans="1:22" s="38" customFormat="1" ht="14.4" customHeight="1" x14ac:dyDescent="0.25">
      <c r="A918" s="44">
        <v>917</v>
      </c>
      <c r="B918" s="45" t="s">
        <v>85</v>
      </c>
      <c r="C918" s="66" t="s">
        <v>270</v>
      </c>
      <c r="D918" s="66" t="s">
        <v>192</v>
      </c>
      <c r="E918" s="67" t="s">
        <v>106</v>
      </c>
      <c r="F918" s="68">
        <v>46056.882175925901</v>
      </c>
      <c r="G918" s="68">
        <v>46055.882326388899</v>
      </c>
      <c r="H918" s="59" t="s">
        <v>90</v>
      </c>
      <c r="I918" s="60">
        <v>12000</v>
      </c>
      <c r="J918" s="58" t="s">
        <v>107</v>
      </c>
      <c r="K918" s="67" t="s">
        <v>265</v>
      </c>
      <c r="L918" s="68">
        <v>46043.736365740697</v>
      </c>
      <c r="M918" s="68">
        <v>46047.669236111098</v>
      </c>
      <c r="N918" s="67" t="s">
        <v>146</v>
      </c>
      <c r="O918" s="68">
        <v>46051.834108796298</v>
      </c>
      <c r="P918" s="68">
        <v>46050.834259259304</v>
      </c>
    </row>
    <row r="919" spans="1:22" s="38" customFormat="1" ht="14.4" customHeight="1" x14ac:dyDescent="0.25">
      <c r="A919" s="44">
        <v>918</v>
      </c>
      <c r="B919" s="45" t="s">
        <v>85</v>
      </c>
      <c r="C919" s="66" t="s">
        <v>270</v>
      </c>
      <c r="D919" s="66" t="s">
        <v>193</v>
      </c>
      <c r="E919" s="67" t="s">
        <v>106</v>
      </c>
      <c r="F919" s="68">
        <v>46056.882175925901</v>
      </c>
      <c r="G919" s="68">
        <v>46055.882326388899</v>
      </c>
      <c r="H919" s="59" t="s">
        <v>90</v>
      </c>
      <c r="I919" s="60">
        <v>12000</v>
      </c>
      <c r="J919" s="58" t="s">
        <v>107</v>
      </c>
      <c r="K919" s="67" t="s">
        <v>265</v>
      </c>
      <c r="L919" s="68">
        <v>46043.736377314803</v>
      </c>
      <c r="M919" s="68">
        <v>46047.668055555601</v>
      </c>
      <c r="N919" s="67" t="s">
        <v>146</v>
      </c>
      <c r="O919" s="68">
        <v>46051.834108796298</v>
      </c>
      <c r="P919" s="68">
        <v>46050.834259259304</v>
      </c>
    </row>
    <row r="920" spans="1:22" s="38" customFormat="1" ht="14.4" customHeight="1" x14ac:dyDescent="0.25">
      <c r="A920" s="44">
        <v>919</v>
      </c>
      <c r="B920" s="45" t="s">
        <v>85</v>
      </c>
      <c r="C920" s="46" t="s">
        <v>270</v>
      </c>
      <c r="D920" s="38" t="s">
        <v>194</v>
      </c>
      <c r="E920" s="61"/>
      <c r="H920" s="59" t="s">
        <v>90</v>
      </c>
      <c r="I920" s="60">
        <v>12000</v>
      </c>
      <c r="K920" s="62"/>
      <c r="L920" s="63"/>
      <c r="M920" s="57"/>
    </row>
    <row r="921" spans="1:22" s="38" customFormat="1" ht="14.4" customHeight="1" x14ac:dyDescent="0.25">
      <c r="A921" s="44">
        <v>920</v>
      </c>
      <c r="B921" s="45" t="s">
        <v>85</v>
      </c>
      <c r="C921" s="46" t="s">
        <v>270</v>
      </c>
      <c r="D921" s="38" t="s">
        <v>195</v>
      </c>
      <c r="E921" s="61"/>
      <c r="H921" s="59" t="s">
        <v>90</v>
      </c>
      <c r="I921" s="60">
        <v>12000</v>
      </c>
      <c r="K921" s="62"/>
      <c r="L921" s="63"/>
      <c r="M921" s="57"/>
    </row>
    <row r="922" spans="1:22" s="38" customFormat="1" ht="14.4" customHeight="1" x14ac:dyDescent="0.25">
      <c r="A922" s="44">
        <v>921</v>
      </c>
      <c r="B922" s="45" t="s">
        <v>85</v>
      </c>
      <c r="C922" s="66" t="s">
        <v>270</v>
      </c>
      <c r="D922" s="66" t="s">
        <v>196</v>
      </c>
      <c r="E922" s="67" t="s">
        <v>106</v>
      </c>
      <c r="F922" s="68">
        <v>46124.882245370398</v>
      </c>
      <c r="G922" s="68">
        <v>46123.882465277798</v>
      </c>
      <c r="H922" s="54" t="s">
        <v>88</v>
      </c>
      <c r="I922" s="55">
        <v>16000</v>
      </c>
      <c r="J922" s="58" t="s">
        <v>107</v>
      </c>
      <c r="K922" s="75" t="s">
        <v>265</v>
      </c>
      <c r="L922" s="76">
        <v>46093.674918981502</v>
      </c>
      <c r="M922" s="76">
        <v>46094.747951388897</v>
      </c>
      <c r="T922" s="82" t="s">
        <v>146</v>
      </c>
      <c r="U922" s="83">
        <v>46100.833622685197</v>
      </c>
      <c r="V922" s="83">
        <v>46099.833854166704</v>
      </c>
    </row>
    <row r="923" spans="1:22" s="38" customFormat="1" ht="14.4" customHeight="1" x14ac:dyDescent="0.25">
      <c r="A923" s="44">
        <v>922</v>
      </c>
      <c r="B923" s="45" t="s">
        <v>85</v>
      </c>
      <c r="C923" s="66" t="s">
        <v>270</v>
      </c>
      <c r="D923" s="66" t="s">
        <v>197</v>
      </c>
      <c r="E923" s="67" t="s">
        <v>106</v>
      </c>
      <c r="F923" s="68">
        <v>46125.882187499999</v>
      </c>
      <c r="G923" s="68">
        <v>46124.882395833301</v>
      </c>
      <c r="H923" s="59" t="s">
        <v>90</v>
      </c>
      <c r="I923" s="60">
        <v>12000</v>
      </c>
      <c r="J923" s="58" t="s">
        <v>107</v>
      </c>
      <c r="K923" s="61" t="s">
        <v>108</v>
      </c>
      <c r="L923" s="64">
        <v>45561.675312500003</v>
      </c>
      <c r="M923" s="64">
        <v>45610.796307870398</v>
      </c>
      <c r="N923" s="38" t="s">
        <v>127</v>
      </c>
      <c r="O923" s="64">
        <v>45646.618148148104</v>
      </c>
      <c r="P923" s="64">
        <v>45652.696296296301</v>
      </c>
      <c r="Q923" s="75" t="s">
        <v>265</v>
      </c>
      <c r="R923" s="76">
        <v>46093.674918981502</v>
      </c>
      <c r="S923" s="76">
        <v>46097.658622685201</v>
      </c>
      <c r="T923" s="75" t="s">
        <v>146</v>
      </c>
      <c r="U923" s="76">
        <v>46103.834444444401</v>
      </c>
      <c r="V923" s="76">
        <v>46102.834664351903</v>
      </c>
    </row>
    <row r="924" spans="1:22" s="38" customFormat="1" ht="14.4" customHeight="1" x14ac:dyDescent="0.25">
      <c r="A924" s="44">
        <v>923</v>
      </c>
      <c r="B924" s="45" t="s">
        <v>85</v>
      </c>
      <c r="C924" s="66" t="s">
        <v>270</v>
      </c>
      <c r="D924" s="66" t="s">
        <v>198</v>
      </c>
      <c r="E924" s="67" t="s">
        <v>106</v>
      </c>
      <c r="F924" s="68">
        <v>46125.882187499999</v>
      </c>
      <c r="G924" s="68">
        <v>46124.882395833301</v>
      </c>
      <c r="H924" s="59" t="s">
        <v>90</v>
      </c>
      <c r="I924" s="60">
        <v>12000</v>
      </c>
      <c r="J924" s="58" t="s">
        <v>107</v>
      </c>
      <c r="K924" s="61" t="s">
        <v>108</v>
      </c>
      <c r="L924" s="64">
        <v>45561.675312500003</v>
      </c>
      <c r="M924" s="64">
        <v>45610.796307870398</v>
      </c>
      <c r="N924" s="38" t="s">
        <v>127</v>
      </c>
      <c r="O924" s="64">
        <v>45646.618148148104</v>
      </c>
      <c r="P924" s="64">
        <v>45652.696296296301</v>
      </c>
      <c r="T924" s="79" t="s">
        <v>108</v>
      </c>
      <c r="U924" s="64">
        <v>46101.725949074098</v>
      </c>
      <c r="V924" s="64">
        <v>46104.771307870396</v>
      </c>
    </row>
    <row r="925" spans="1:22" s="38" customFormat="1" ht="14.4" customHeight="1" x14ac:dyDescent="0.25">
      <c r="A925" s="44">
        <v>924</v>
      </c>
      <c r="B925" s="45" t="s">
        <v>85</v>
      </c>
      <c r="C925" s="66" t="s">
        <v>270</v>
      </c>
      <c r="D925" s="66" t="s">
        <v>199</v>
      </c>
      <c r="E925" s="67" t="s">
        <v>106</v>
      </c>
      <c r="F925" s="68">
        <v>46056.882175925901</v>
      </c>
      <c r="G925" s="68">
        <v>46055.882326388899</v>
      </c>
      <c r="H925" s="59" t="s">
        <v>90</v>
      </c>
      <c r="I925" s="60">
        <v>12000</v>
      </c>
      <c r="J925" s="58" t="s">
        <v>107</v>
      </c>
      <c r="K925" s="61" t="s">
        <v>108</v>
      </c>
      <c r="L925" s="64">
        <v>45561.675312500003</v>
      </c>
      <c r="M925" s="64">
        <v>45610.796307870398</v>
      </c>
      <c r="N925" s="38" t="s">
        <v>127</v>
      </c>
      <c r="O925" s="64">
        <v>45646.618148148104</v>
      </c>
      <c r="P925" s="64">
        <v>45652.696296296301</v>
      </c>
      <c r="Q925" s="67" t="s">
        <v>265</v>
      </c>
      <c r="R925" s="68">
        <v>46043.736342592601</v>
      </c>
      <c r="S925" s="68">
        <v>46044.720150462999</v>
      </c>
      <c r="T925" s="67" t="s">
        <v>146</v>
      </c>
      <c r="U925" s="68">
        <v>46051.834108796298</v>
      </c>
      <c r="V925" s="68">
        <v>46050.834259259304</v>
      </c>
    </row>
    <row r="926" spans="1:22" s="38" customFormat="1" ht="14.4" customHeight="1" x14ac:dyDescent="0.25">
      <c r="A926" s="44">
        <v>925</v>
      </c>
      <c r="B926" s="45" t="s">
        <v>85</v>
      </c>
      <c r="C926" s="66" t="s">
        <v>270</v>
      </c>
      <c r="D926" s="66" t="s">
        <v>200</v>
      </c>
      <c r="E926" s="67" t="s">
        <v>106</v>
      </c>
      <c r="F926" s="68">
        <v>46056.882175925901</v>
      </c>
      <c r="G926" s="68">
        <v>46055.882326388899</v>
      </c>
      <c r="H926" s="59" t="s">
        <v>90</v>
      </c>
      <c r="I926" s="60">
        <v>12000</v>
      </c>
      <c r="J926" s="58" t="s">
        <v>107</v>
      </c>
      <c r="K926" s="61" t="s">
        <v>108</v>
      </c>
      <c r="L926" s="64">
        <v>45561.675312500003</v>
      </c>
      <c r="M926" s="64">
        <v>45610.796307870398</v>
      </c>
      <c r="N926" s="38" t="s">
        <v>127</v>
      </c>
      <c r="O926" s="64">
        <v>45646.618148148104</v>
      </c>
      <c r="P926" s="64">
        <v>45652.696296296301</v>
      </c>
      <c r="Q926" s="67" t="s">
        <v>265</v>
      </c>
      <c r="R926" s="68">
        <v>46043.736377314803</v>
      </c>
      <c r="S926" s="68">
        <v>46044.720717592601</v>
      </c>
      <c r="T926" s="67" t="s">
        <v>146</v>
      </c>
      <c r="U926" s="68">
        <v>46051.834108796298</v>
      </c>
      <c r="V926" s="68">
        <v>46050.834259259304</v>
      </c>
    </row>
    <row r="927" spans="1:22" s="38" customFormat="1" ht="14.4" customHeight="1" x14ac:dyDescent="0.25">
      <c r="A927" s="44">
        <v>926</v>
      </c>
      <c r="B927" s="45" t="s">
        <v>85</v>
      </c>
      <c r="C927" s="66" t="s">
        <v>270</v>
      </c>
      <c r="D927" s="66" t="s">
        <v>201</v>
      </c>
      <c r="E927" s="67" t="s">
        <v>265</v>
      </c>
      <c r="F927" s="68">
        <v>46046.583773148202</v>
      </c>
      <c r="G927" s="68">
        <v>46050.612129629597</v>
      </c>
      <c r="H927" s="59" t="s">
        <v>90</v>
      </c>
      <c r="I927" s="60">
        <v>12000</v>
      </c>
      <c r="J927" s="58" t="s">
        <v>107</v>
      </c>
      <c r="K927" s="61" t="s">
        <v>108</v>
      </c>
      <c r="L927" s="64">
        <v>45561.675312500003</v>
      </c>
      <c r="M927" s="64">
        <v>45610.796307870398</v>
      </c>
      <c r="N927" s="38" t="s">
        <v>127</v>
      </c>
      <c r="O927" s="64">
        <v>45646.618148148104</v>
      </c>
      <c r="P927" s="64">
        <v>45652.696296296301</v>
      </c>
    </row>
    <row r="928" spans="1:22" s="38" customFormat="1" ht="14.4" customHeight="1" x14ac:dyDescent="0.25">
      <c r="A928" s="44">
        <v>927</v>
      </c>
      <c r="B928" s="45" t="s">
        <v>85</v>
      </c>
      <c r="C928" s="66" t="s">
        <v>270</v>
      </c>
      <c r="D928" s="66" t="s">
        <v>202</v>
      </c>
      <c r="E928" s="67" t="s">
        <v>106</v>
      </c>
      <c r="F928" s="68">
        <v>46056.882175925901</v>
      </c>
      <c r="G928" s="68">
        <v>46055.882326388899</v>
      </c>
      <c r="H928" s="59" t="s">
        <v>90</v>
      </c>
      <c r="I928" s="60">
        <v>12000</v>
      </c>
      <c r="J928" s="58" t="s">
        <v>107</v>
      </c>
      <c r="K928" s="61" t="s">
        <v>108</v>
      </c>
      <c r="L928" s="64">
        <v>45561.675312500003</v>
      </c>
      <c r="M928" s="64">
        <v>45610.796307870398</v>
      </c>
      <c r="N928" s="38" t="s">
        <v>127</v>
      </c>
      <c r="O928" s="64">
        <v>45646.618148148104</v>
      </c>
      <c r="P928" s="64">
        <v>45652.696296296301</v>
      </c>
      <c r="Q928" s="67" t="s">
        <v>265</v>
      </c>
      <c r="R928" s="68">
        <v>46043.736388888901</v>
      </c>
      <c r="S928" s="68">
        <v>46044.722349536998</v>
      </c>
      <c r="T928" s="67" t="s">
        <v>146</v>
      </c>
      <c r="U928" s="68">
        <v>46051.834108796298</v>
      </c>
      <c r="V928" s="68">
        <v>46050.834259259304</v>
      </c>
    </row>
    <row r="929" spans="1:22" s="38" customFormat="1" ht="14.4" customHeight="1" x14ac:dyDescent="0.25">
      <c r="A929" s="44">
        <v>928</v>
      </c>
      <c r="B929" s="45" t="s">
        <v>85</v>
      </c>
      <c r="C929" s="66" t="s">
        <v>270</v>
      </c>
      <c r="D929" s="66" t="s">
        <v>203</v>
      </c>
      <c r="E929" s="67" t="s">
        <v>106</v>
      </c>
      <c r="F929" s="68">
        <v>46056.882175925901</v>
      </c>
      <c r="G929" s="68">
        <v>46055.882326388899</v>
      </c>
      <c r="H929" s="59" t="s">
        <v>90</v>
      </c>
      <c r="I929" s="60">
        <v>12000</v>
      </c>
      <c r="J929" s="58" t="s">
        <v>107</v>
      </c>
      <c r="K929" s="61" t="s">
        <v>108</v>
      </c>
      <c r="L929" s="64">
        <v>45561.675312500003</v>
      </c>
      <c r="M929" s="64">
        <v>45610.796307870398</v>
      </c>
      <c r="N929" s="38" t="s">
        <v>127</v>
      </c>
      <c r="O929" s="64">
        <v>45646.618148148104</v>
      </c>
      <c r="P929" s="64">
        <v>45652.696296296301</v>
      </c>
      <c r="Q929" s="67" t="s">
        <v>265</v>
      </c>
      <c r="R929" s="68">
        <v>46043.736342592601</v>
      </c>
      <c r="S929" s="68">
        <v>46044.724398148202</v>
      </c>
      <c r="T929" s="67" t="s">
        <v>146</v>
      </c>
      <c r="U929" s="68">
        <v>46051.834108796298</v>
      </c>
      <c r="V929" s="68">
        <v>46050.834259259304</v>
      </c>
    </row>
    <row r="930" spans="1:22" s="38" customFormat="1" ht="14.4" customHeight="1" x14ac:dyDescent="0.25">
      <c r="A930" s="44">
        <v>929</v>
      </c>
      <c r="B930" s="45" t="s">
        <v>85</v>
      </c>
      <c r="C930" s="66" t="s">
        <v>270</v>
      </c>
      <c r="D930" s="66" t="s">
        <v>204</v>
      </c>
      <c r="E930" s="67" t="s">
        <v>265</v>
      </c>
      <c r="F930" s="68">
        <v>46046.583773148202</v>
      </c>
      <c r="G930" s="68">
        <v>46050.613738425898</v>
      </c>
      <c r="H930" s="59" t="s">
        <v>90</v>
      </c>
      <c r="I930" s="60">
        <v>12000</v>
      </c>
      <c r="J930" s="58" t="s">
        <v>107</v>
      </c>
      <c r="K930" s="61" t="s">
        <v>108</v>
      </c>
      <c r="L930" s="64">
        <v>45561.675312500003</v>
      </c>
      <c r="M930" s="64">
        <v>45610.796307870398</v>
      </c>
      <c r="N930" s="38" t="s">
        <v>127</v>
      </c>
      <c r="O930" s="64">
        <v>45646.618148148104</v>
      </c>
      <c r="P930" s="64">
        <v>45652.696296296301</v>
      </c>
    </row>
    <row r="931" spans="1:22" s="38" customFormat="1" ht="14.4" customHeight="1" x14ac:dyDescent="0.25">
      <c r="A931" s="44">
        <v>930</v>
      </c>
      <c r="B931" s="45" t="s">
        <v>85</v>
      </c>
      <c r="C931" s="66" t="s">
        <v>270</v>
      </c>
      <c r="D931" s="66" t="s">
        <v>205</v>
      </c>
      <c r="E931" s="67" t="s">
        <v>106</v>
      </c>
      <c r="F931" s="68">
        <v>46056.882175925901</v>
      </c>
      <c r="G931" s="68">
        <v>46055.882326388899</v>
      </c>
      <c r="H931" s="59" t="s">
        <v>90</v>
      </c>
      <c r="I931" s="60">
        <v>12000</v>
      </c>
      <c r="J931" s="58" t="s">
        <v>107</v>
      </c>
      <c r="K931" s="61" t="s">
        <v>108</v>
      </c>
      <c r="L931" s="64">
        <v>45561.675312500003</v>
      </c>
      <c r="M931" s="64">
        <v>45610.796307870398</v>
      </c>
      <c r="N931" s="38" t="s">
        <v>127</v>
      </c>
      <c r="O931" s="64">
        <v>45646.618148148104</v>
      </c>
      <c r="P931" s="64">
        <v>45652.696296296301</v>
      </c>
      <c r="Q931" s="67" t="s">
        <v>265</v>
      </c>
      <c r="R931" s="68">
        <v>46043.736365740697</v>
      </c>
      <c r="S931" s="68">
        <v>46044.7359490741</v>
      </c>
      <c r="T931" s="67" t="s">
        <v>146</v>
      </c>
      <c r="U931" s="68">
        <v>46051.834108796298</v>
      </c>
      <c r="V931" s="68">
        <v>46050.834259259304</v>
      </c>
    </row>
    <row r="932" spans="1:22" s="38" customFormat="1" ht="14.4" customHeight="1" x14ac:dyDescent="0.25">
      <c r="A932" s="44">
        <v>931</v>
      </c>
      <c r="B932" s="45" t="s">
        <v>85</v>
      </c>
      <c r="C932" s="66" t="s">
        <v>270</v>
      </c>
      <c r="D932" s="66" t="s">
        <v>206</v>
      </c>
      <c r="E932" s="67" t="s">
        <v>106</v>
      </c>
      <c r="F932" s="68">
        <v>46056.882175925901</v>
      </c>
      <c r="G932" s="68">
        <v>46055.882326388899</v>
      </c>
      <c r="H932" s="59" t="s">
        <v>90</v>
      </c>
      <c r="I932" s="60">
        <v>12000</v>
      </c>
      <c r="J932" s="58" t="s">
        <v>107</v>
      </c>
      <c r="K932" s="67" t="s">
        <v>265</v>
      </c>
      <c r="L932" s="68">
        <v>46043.7363541667</v>
      </c>
      <c r="M932" s="68">
        <v>46047.645127314798</v>
      </c>
      <c r="N932" s="67" t="s">
        <v>146</v>
      </c>
      <c r="O932" s="68">
        <v>46051.834108796298</v>
      </c>
      <c r="P932" s="68">
        <v>46050.834259259304</v>
      </c>
    </row>
    <row r="933" spans="1:22" s="38" customFormat="1" ht="14.4" customHeight="1" x14ac:dyDescent="0.25">
      <c r="A933" s="44">
        <v>932</v>
      </c>
      <c r="B933" s="45" t="s">
        <v>85</v>
      </c>
      <c r="C933" s="66" t="s">
        <v>270</v>
      </c>
      <c r="D933" s="66" t="s">
        <v>207</v>
      </c>
      <c r="E933" s="67" t="s">
        <v>265</v>
      </c>
      <c r="F933" s="68">
        <v>46046.583773148202</v>
      </c>
      <c r="G933" s="68">
        <v>46050.6155208333</v>
      </c>
      <c r="H933" s="59" t="s">
        <v>90</v>
      </c>
      <c r="I933" s="60">
        <v>12000</v>
      </c>
      <c r="J933" s="58" t="s">
        <v>107</v>
      </c>
      <c r="K933" s="62"/>
      <c r="L933" s="63"/>
      <c r="M933" s="57"/>
    </row>
    <row r="934" spans="1:22" s="38" customFormat="1" ht="14.4" customHeight="1" x14ac:dyDescent="0.25">
      <c r="A934" s="44">
        <v>933</v>
      </c>
      <c r="B934" s="45" t="s">
        <v>85</v>
      </c>
      <c r="C934" s="66" t="s">
        <v>270</v>
      </c>
      <c r="D934" s="66" t="s">
        <v>208</v>
      </c>
      <c r="E934" s="67" t="s">
        <v>106</v>
      </c>
      <c r="F934" s="68">
        <v>46056.882175925901</v>
      </c>
      <c r="G934" s="68">
        <v>46055.882326388899</v>
      </c>
      <c r="H934" s="59" t="s">
        <v>90</v>
      </c>
      <c r="I934" s="60">
        <v>12000</v>
      </c>
      <c r="J934" s="58" t="s">
        <v>107</v>
      </c>
      <c r="K934" s="67" t="s">
        <v>265</v>
      </c>
      <c r="L934" s="68">
        <v>46043.736342592601</v>
      </c>
      <c r="M934" s="68">
        <v>46047.645347222198</v>
      </c>
      <c r="N934" s="67" t="s">
        <v>146</v>
      </c>
      <c r="O934" s="68">
        <v>46051.834108796298</v>
      </c>
      <c r="P934" s="68">
        <v>46050.834259259304</v>
      </c>
    </row>
    <row r="935" spans="1:22" s="38" customFormat="1" ht="14.4" customHeight="1" x14ac:dyDescent="0.25">
      <c r="A935" s="44">
        <v>934</v>
      </c>
      <c r="B935" s="45" t="s">
        <v>85</v>
      </c>
      <c r="C935" s="66" t="s">
        <v>270</v>
      </c>
      <c r="D935" s="66" t="s">
        <v>209</v>
      </c>
      <c r="E935" s="67" t="s">
        <v>106</v>
      </c>
      <c r="F935" s="68">
        <v>46056.882175925901</v>
      </c>
      <c r="G935" s="68">
        <v>46055.882326388899</v>
      </c>
      <c r="H935" s="59" t="s">
        <v>90</v>
      </c>
      <c r="I935" s="60">
        <v>12000</v>
      </c>
      <c r="J935" s="58" t="s">
        <v>107</v>
      </c>
      <c r="K935" s="67" t="s">
        <v>265</v>
      </c>
      <c r="L935" s="68">
        <v>46043.736377314803</v>
      </c>
      <c r="M935" s="68">
        <v>46047.6489814815</v>
      </c>
      <c r="N935" s="67" t="s">
        <v>146</v>
      </c>
      <c r="O935" s="68">
        <v>46051.834108796298</v>
      </c>
      <c r="P935" s="68">
        <v>46050.834259259304</v>
      </c>
    </row>
    <row r="936" spans="1:22" s="38" customFormat="1" ht="14.4" customHeight="1" x14ac:dyDescent="0.25">
      <c r="A936" s="44">
        <v>935</v>
      </c>
      <c r="B936" s="45" t="s">
        <v>85</v>
      </c>
      <c r="C936" s="66" t="s">
        <v>270</v>
      </c>
      <c r="D936" s="66" t="s">
        <v>210</v>
      </c>
      <c r="E936" s="67" t="s">
        <v>265</v>
      </c>
      <c r="F936" s="68">
        <v>46046.583773148202</v>
      </c>
      <c r="G936" s="68">
        <v>46050.617222222201</v>
      </c>
      <c r="H936" s="59" t="s">
        <v>90</v>
      </c>
      <c r="I936" s="60">
        <v>12000</v>
      </c>
      <c r="J936" s="58" t="s">
        <v>107</v>
      </c>
      <c r="K936" s="62"/>
      <c r="L936" s="63"/>
      <c r="M936" s="57"/>
    </row>
    <row r="937" spans="1:22" s="38" customFormat="1" ht="14.4" customHeight="1" x14ac:dyDescent="0.25">
      <c r="A937" s="44">
        <v>936</v>
      </c>
      <c r="B937" s="45" t="s">
        <v>85</v>
      </c>
      <c r="C937" s="46" t="s">
        <v>270</v>
      </c>
      <c r="D937" s="38" t="s">
        <v>211</v>
      </c>
      <c r="E937" s="61"/>
      <c r="H937" s="59" t="s">
        <v>90</v>
      </c>
      <c r="I937" s="60">
        <v>12000</v>
      </c>
      <c r="K937" s="62"/>
      <c r="L937" s="63"/>
      <c r="M937" s="57"/>
    </row>
    <row r="938" spans="1:22" s="38" customFormat="1" ht="14.4" customHeight="1" x14ac:dyDescent="0.25">
      <c r="A938" s="44">
        <v>937</v>
      </c>
      <c r="B938" s="45" t="s">
        <v>85</v>
      </c>
      <c r="C938" s="66" t="s">
        <v>270</v>
      </c>
      <c r="D938" s="66" t="s">
        <v>212</v>
      </c>
      <c r="E938" s="67" t="s">
        <v>265</v>
      </c>
      <c r="F938" s="68">
        <v>46043.733738425901</v>
      </c>
      <c r="G938" s="68">
        <v>46044.739513888897</v>
      </c>
      <c r="H938" s="54" t="s">
        <v>88</v>
      </c>
      <c r="I938" s="55">
        <v>16000</v>
      </c>
      <c r="J938" s="58" t="s">
        <v>107</v>
      </c>
      <c r="K938" s="62"/>
      <c r="L938" s="63"/>
      <c r="M938" s="57"/>
    </row>
    <row r="939" spans="1:22" s="38" customFormat="1" ht="14.4" customHeight="1" x14ac:dyDescent="0.25">
      <c r="A939" s="44">
        <v>938</v>
      </c>
      <c r="B939" s="45" t="s">
        <v>85</v>
      </c>
      <c r="C939" s="66" t="s">
        <v>270</v>
      </c>
      <c r="D939" s="66" t="s">
        <v>213</v>
      </c>
      <c r="E939" s="67" t="s">
        <v>106</v>
      </c>
      <c r="F939" s="68">
        <v>46125.882187499999</v>
      </c>
      <c r="G939" s="68">
        <v>46124.882395833301</v>
      </c>
      <c r="H939" s="59" t="s">
        <v>90</v>
      </c>
      <c r="I939" s="60">
        <v>12000</v>
      </c>
      <c r="J939" s="58" t="s">
        <v>107</v>
      </c>
      <c r="K939" s="61" t="s">
        <v>108</v>
      </c>
      <c r="L939" s="64">
        <v>45561.675312500003</v>
      </c>
      <c r="M939" s="64">
        <v>45610.796307870398</v>
      </c>
      <c r="N939" s="38" t="s">
        <v>127</v>
      </c>
      <c r="O939" s="64">
        <v>45646.618148148104</v>
      </c>
      <c r="P939" s="64">
        <v>45652.696296296301</v>
      </c>
      <c r="T939" s="79" t="s">
        <v>108</v>
      </c>
      <c r="U939" s="64">
        <v>46101.725949074098</v>
      </c>
      <c r="V939" s="64">
        <v>46104.771307870396</v>
      </c>
    </row>
    <row r="940" spans="1:22" s="38" customFormat="1" ht="14.4" customHeight="1" x14ac:dyDescent="0.25">
      <c r="A940" s="44">
        <v>939</v>
      </c>
      <c r="B940" s="45" t="s">
        <v>85</v>
      </c>
      <c r="C940" s="66" t="s">
        <v>270</v>
      </c>
      <c r="D940" s="66" t="s">
        <v>214</v>
      </c>
      <c r="E940" s="67" t="s">
        <v>106</v>
      </c>
      <c r="F940" s="68">
        <v>46124.882245370398</v>
      </c>
      <c r="G940" s="68">
        <v>46123.882465277798</v>
      </c>
      <c r="H940" s="59" t="s">
        <v>90</v>
      </c>
      <c r="I940" s="60">
        <v>12000</v>
      </c>
      <c r="J940" s="58" t="s">
        <v>107</v>
      </c>
      <c r="K940" s="61" t="s">
        <v>108</v>
      </c>
      <c r="L940" s="64">
        <v>45561.675312500003</v>
      </c>
      <c r="M940" s="64">
        <v>45610.796307870398</v>
      </c>
      <c r="N940" s="38" t="s">
        <v>127</v>
      </c>
      <c r="O940" s="64">
        <v>45646.618148148104</v>
      </c>
      <c r="P940" s="64">
        <v>45652.696296296301</v>
      </c>
      <c r="Q940" s="75" t="s">
        <v>265</v>
      </c>
      <c r="R940" s="76">
        <v>46093.674918981502</v>
      </c>
      <c r="S940" s="76">
        <v>46097.658622685201</v>
      </c>
      <c r="T940" s="75" t="s">
        <v>146</v>
      </c>
      <c r="U940" s="76">
        <v>46103.834444444401</v>
      </c>
      <c r="V940" s="76">
        <v>46102.834664351903</v>
      </c>
    </row>
    <row r="941" spans="1:22" s="38" customFormat="1" ht="14.4" customHeight="1" x14ac:dyDescent="0.25">
      <c r="A941" s="44">
        <v>940</v>
      </c>
      <c r="B941" s="45" t="s">
        <v>85</v>
      </c>
      <c r="C941" s="66" t="s">
        <v>270</v>
      </c>
      <c r="D941" s="66" t="s">
        <v>215</v>
      </c>
      <c r="E941" s="67" t="s">
        <v>106</v>
      </c>
      <c r="F941" s="68">
        <v>46125.882187499999</v>
      </c>
      <c r="G941" s="68">
        <v>46124.882395833301</v>
      </c>
      <c r="H941" s="59" t="s">
        <v>90</v>
      </c>
      <c r="I941" s="60">
        <v>12000</v>
      </c>
      <c r="J941" s="58" t="s">
        <v>107</v>
      </c>
      <c r="K941" s="61" t="s">
        <v>108</v>
      </c>
      <c r="L941" s="64">
        <v>45561.675312500003</v>
      </c>
      <c r="M941" s="64">
        <v>45610.796307870398</v>
      </c>
      <c r="N941" s="38" t="s">
        <v>127</v>
      </c>
      <c r="O941" s="64">
        <v>45646.618148148104</v>
      </c>
      <c r="P941" s="64">
        <v>45652.696296296301</v>
      </c>
      <c r="Q941" s="75" t="s">
        <v>265</v>
      </c>
      <c r="R941" s="76">
        <v>46093.674918981502</v>
      </c>
      <c r="S941" s="76">
        <v>46097.658622685201</v>
      </c>
      <c r="T941" s="82" t="s">
        <v>146</v>
      </c>
      <c r="U941" s="83">
        <v>46100.833622685197</v>
      </c>
      <c r="V941" s="83">
        <v>46099.833854166704</v>
      </c>
    </row>
    <row r="942" spans="1:22" s="38" customFormat="1" ht="14.4" customHeight="1" x14ac:dyDescent="0.25">
      <c r="A942" s="44">
        <v>941</v>
      </c>
      <c r="B942" s="45" t="s">
        <v>85</v>
      </c>
      <c r="C942" s="66" t="s">
        <v>270</v>
      </c>
      <c r="D942" s="66" t="s">
        <v>216</v>
      </c>
      <c r="E942" s="67" t="s">
        <v>265</v>
      </c>
      <c r="F942" s="68">
        <v>46046.583773148202</v>
      </c>
      <c r="G942" s="68">
        <v>46050.618923611102</v>
      </c>
      <c r="H942" s="59" t="s">
        <v>90</v>
      </c>
      <c r="I942" s="60">
        <v>12000</v>
      </c>
      <c r="J942" s="58" t="s">
        <v>107</v>
      </c>
      <c r="K942" s="61" t="s">
        <v>108</v>
      </c>
      <c r="L942" s="64">
        <v>45561.675312500003</v>
      </c>
      <c r="M942" s="64">
        <v>45610.796307870398</v>
      </c>
      <c r="N942" s="38" t="s">
        <v>127</v>
      </c>
      <c r="O942" s="64">
        <v>45646.618148148104</v>
      </c>
      <c r="P942" s="64">
        <v>45652.696296296301</v>
      </c>
    </row>
    <row r="943" spans="1:22" s="38" customFormat="1" ht="14.4" customHeight="1" x14ac:dyDescent="0.25">
      <c r="A943" s="44">
        <v>942</v>
      </c>
      <c r="B943" s="45" t="s">
        <v>85</v>
      </c>
      <c r="C943" s="66" t="s">
        <v>270</v>
      </c>
      <c r="D943" s="66" t="s">
        <v>217</v>
      </c>
      <c r="E943" s="84" t="s">
        <v>106</v>
      </c>
      <c r="F943" s="68">
        <v>46056.882175925901</v>
      </c>
      <c r="G943" s="68">
        <v>46055.882326388899</v>
      </c>
      <c r="H943" s="59" t="s">
        <v>90</v>
      </c>
      <c r="I943" s="60">
        <v>12000</v>
      </c>
      <c r="J943" s="58" t="s">
        <v>107</v>
      </c>
      <c r="K943" s="61" t="s">
        <v>108</v>
      </c>
      <c r="L943" s="64">
        <v>45561.675312500003</v>
      </c>
      <c r="M943" s="64">
        <v>45610.796307870398</v>
      </c>
      <c r="N943" s="38" t="s">
        <v>127</v>
      </c>
      <c r="O943" s="64">
        <v>45646.618148148104</v>
      </c>
      <c r="P943" s="64">
        <v>45652.696296296301</v>
      </c>
      <c r="Q943" s="67" t="s">
        <v>265</v>
      </c>
      <c r="R943" s="68">
        <v>46043.736331018503</v>
      </c>
      <c r="S943" s="68">
        <v>46044.740914351903</v>
      </c>
      <c r="T943" s="85" t="s">
        <v>146</v>
      </c>
      <c r="U943" s="64">
        <v>46050.833611111098</v>
      </c>
      <c r="V943" s="64">
        <v>46049.833761574097</v>
      </c>
    </row>
    <row r="944" spans="1:22" s="38" customFormat="1" ht="14.4" customHeight="1" x14ac:dyDescent="0.25">
      <c r="A944" s="44">
        <v>943</v>
      </c>
      <c r="B944" s="45" t="s">
        <v>85</v>
      </c>
      <c r="C944" s="66" t="s">
        <v>270</v>
      </c>
      <c r="D944" s="66" t="s">
        <v>218</v>
      </c>
      <c r="E944" s="84" t="s">
        <v>106</v>
      </c>
      <c r="F944" s="68">
        <v>46056.882175925901</v>
      </c>
      <c r="G944" s="68">
        <v>46055.882326388899</v>
      </c>
      <c r="H944" s="59" t="s">
        <v>90</v>
      </c>
      <c r="I944" s="60">
        <v>12000</v>
      </c>
      <c r="J944" s="58" t="s">
        <v>107</v>
      </c>
      <c r="K944" s="61" t="s">
        <v>108</v>
      </c>
      <c r="L944" s="64">
        <v>45561.675312500003</v>
      </c>
      <c r="M944" s="64">
        <v>45610.796307870398</v>
      </c>
      <c r="N944" s="38" t="s">
        <v>127</v>
      </c>
      <c r="O944" s="64">
        <v>45646.618148148104</v>
      </c>
      <c r="P944" s="64">
        <v>45652.696296296301</v>
      </c>
      <c r="Q944" s="67" t="s">
        <v>265</v>
      </c>
      <c r="R944" s="68">
        <v>46043.736377314803</v>
      </c>
      <c r="S944" s="68">
        <v>46044.742766203701</v>
      </c>
      <c r="T944" s="67" t="s">
        <v>146</v>
      </c>
      <c r="U944" s="68">
        <v>46051.834108796298</v>
      </c>
      <c r="V944" s="68">
        <v>46050.834259259304</v>
      </c>
    </row>
    <row r="945" spans="1:22" s="38" customFormat="1" ht="14.4" customHeight="1" x14ac:dyDescent="0.25">
      <c r="A945" s="44">
        <v>944</v>
      </c>
      <c r="B945" s="45" t="s">
        <v>85</v>
      </c>
      <c r="C945" s="66" t="s">
        <v>270</v>
      </c>
      <c r="D945" s="66" t="s">
        <v>219</v>
      </c>
      <c r="E945" s="67" t="s">
        <v>265</v>
      </c>
      <c r="F945" s="68">
        <v>46046.583773148202</v>
      </c>
      <c r="G945" s="68">
        <v>46050.620625000003</v>
      </c>
      <c r="H945" s="59" t="s">
        <v>90</v>
      </c>
      <c r="I945" s="60">
        <v>12000</v>
      </c>
      <c r="J945" s="58" t="s">
        <v>107</v>
      </c>
      <c r="K945" s="61" t="s">
        <v>108</v>
      </c>
      <c r="L945" s="64">
        <v>45561.675312500003</v>
      </c>
      <c r="M945" s="64">
        <v>45610.796307870398</v>
      </c>
      <c r="N945" s="38" t="s">
        <v>127</v>
      </c>
      <c r="O945" s="64">
        <v>45646.618148148104</v>
      </c>
      <c r="P945" s="64">
        <v>45652.696296296301</v>
      </c>
    </row>
    <row r="946" spans="1:22" s="38" customFormat="1" ht="14.4" customHeight="1" x14ac:dyDescent="0.25">
      <c r="A946" s="44">
        <v>945</v>
      </c>
      <c r="B946" s="45" t="s">
        <v>85</v>
      </c>
      <c r="C946" s="66" t="s">
        <v>270</v>
      </c>
      <c r="D946" s="66" t="s">
        <v>220</v>
      </c>
      <c r="E946" s="84" t="s">
        <v>106</v>
      </c>
      <c r="F946" s="68">
        <v>46056.882175925901</v>
      </c>
      <c r="G946" s="68">
        <v>46055.882326388899</v>
      </c>
      <c r="H946" s="59" t="s">
        <v>90</v>
      </c>
      <c r="I946" s="60">
        <v>12000</v>
      </c>
      <c r="J946" s="58" t="s">
        <v>107</v>
      </c>
      <c r="K946" s="61" t="s">
        <v>108</v>
      </c>
      <c r="L946" s="64">
        <v>45561.675312500003</v>
      </c>
      <c r="M946" s="64">
        <v>45610.796307870398</v>
      </c>
      <c r="N946" s="38" t="s">
        <v>127</v>
      </c>
      <c r="O946" s="64">
        <v>45646.618148148104</v>
      </c>
      <c r="P946" s="64">
        <v>45652.696296296301</v>
      </c>
      <c r="Q946" s="67" t="s">
        <v>265</v>
      </c>
      <c r="R946" s="68">
        <v>46043.736365740697</v>
      </c>
      <c r="S946" s="68">
        <v>46044.744293981501</v>
      </c>
      <c r="T946" s="67" t="s">
        <v>146</v>
      </c>
      <c r="U946" s="68">
        <v>46051.834108796298</v>
      </c>
      <c r="V946" s="68">
        <v>46050.834259259304</v>
      </c>
    </row>
    <row r="947" spans="1:22" s="38" customFormat="1" ht="14.4" customHeight="1" x14ac:dyDescent="0.25">
      <c r="A947" s="44">
        <v>946</v>
      </c>
      <c r="B947" s="45" t="s">
        <v>85</v>
      </c>
      <c r="C947" s="66" t="s">
        <v>270</v>
      </c>
      <c r="D947" s="66" t="s">
        <v>221</v>
      </c>
      <c r="E947" s="84" t="s">
        <v>106</v>
      </c>
      <c r="F947" s="68">
        <v>46056.882175925901</v>
      </c>
      <c r="G947" s="68">
        <v>46055.882326388899</v>
      </c>
      <c r="H947" s="59" t="s">
        <v>90</v>
      </c>
      <c r="I947" s="60">
        <v>12000</v>
      </c>
      <c r="J947" s="58" t="s">
        <v>107</v>
      </c>
      <c r="K947" s="61" t="s">
        <v>108</v>
      </c>
      <c r="L947" s="64">
        <v>45561.675312500003</v>
      </c>
      <c r="M947" s="64">
        <v>45610.796307870398</v>
      </c>
      <c r="N947" s="38" t="s">
        <v>127</v>
      </c>
      <c r="O947" s="64">
        <v>45646.618148148104</v>
      </c>
      <c r="P947" s="64">
        <v>45652.696296296301</v>
      </c>
      <c r="Q947" s="67" t="s">
        <v>265</v>
      </c>
      <c r="R947" s="68">
        <v>46043.7363541667</v>
      </c>
      <c r="S947" s="68">
        <v>46044.745439814797</v>
      </c>
      <c r="T947" s="67" t="s">
        <v>146</v>
      </c>
      <c r="U947" s="68">
        <v>46051.834108796298</v>
      </c>
      <c r="V947" s="68">
        <v>46050.834259259304</v>
      </c>
    </row>
    <row r="948" spans="1:22" s="38" customFormat="1" ht="14.4" customHeight="1" x14ac:dyDescent="0.25">
      <c r="A948" s="44">
        <v>947</v>
      </c>
      <c r="B948" s="45" t="s">
        <v>85</v>
      </c>
      <c r="C948" s="66" t="s">
        <v>270</v>
      </c>
      <c r="D948" s="66" t="s">
        <v>222</v>
      </c>
      <c r="E948" s="67" t="s">
        <v>265</v>
      </c>
      <c r="F948" s="68">
        <v>46046.583773148202</v>
      </c>
      <c r="G948" s="68">
        <v>46050.622314814798</v>
      </c>
      <c r="H948" s="59" t="s">
        <v>90</v>
      </c>
      <c r="I948" s="60">
        <v>12000</v>
      </c>
      <c r="J948" s="58" t="s">
        <v>107</v>
      </c>
      <c r="K948" s="62"/>
      <c r="L948" s="63"/>
      <c r="M948" s="57"/>
    </row>
    <row r="949" spans="1:22" s="38" customFormat="1" ht="14.4" customHeight="1" x14ac:dyDescent="0.25">
      <c r="A949" s="44">
        <v>948</v>
      </c>
      <c r="B949" s="45" t="s">
        <v>85</v>
      </c>
      <c r="C949" s="66" t="s">
        <v>270</v>
      </c>
      <c r="D949" s="66" t="s">
        <v>223</v>
      </c>
      <c r="E949" s="84" t="s">
        <v>106</v>
      </c>
      <c r="F949" s="68">
        <v>46056.882175925901</v>
      </c>
      <c r="G949" s="68">
        <v>46055.882326388899</v>
      </c>
      <c r="H949" s="59" t="s">
        <v>90</v>
      </c>
      <c r="I949" s="60">
        <v>12000</v>
      </c>
      <c r="J949" s="58" t="s">
        <v>107</v>
      </c>
      <c r="K949" s="67" t="s">
        <v>265</v>
      </c>
      <c r="L949" s="68">
        <v>46043.7363541667</v>
      </c>
      <c r="M949" s="68">
        <v>46047.652858796297</v>
      </c>
      <c r="N949" s="67" t="s">
        <v>146</v>
      </c>
      <c r="O949" s="68">
        <v>46051.834108796298</v>
      </c>
      <c r="P949" s="68">
        <v>46050.834259259304</v>
      </c>
    </row>
    <row r="950" spans="1:22" s="38" customFormat="1" ht="14.4" customHeight="1" x14ac:dyDescent="0.25">
      <c r="A950" s="44">
        <v>949</v>
      </c>
      <c r="B950" s="45" t="s">
        <v>85</v>
      </c>
      <c r="C950" s="66" t="s">
        <v>270</v>
      </c>
      <c r="D950" s="66" t="s">
        <v>224</v>
      </c>
      <c r="E950" s="84" t="s">
        <v>106</v>
      </c>
      <c r="F950" s="68">
        <v>46056.882175925901</v>
      </c>
      <c r="G950" s="68">
        <v>46055.882326388899</v>
      </c>
      <c r="H950" s="59" t="s">
        <v>90</v>
      </c>
      <c r="I950" s="60">
        <v>12000</v>
      </c>
      <c r="J950" s="58" t="s">
        <v>107</v>
      </c>
      <c r="K950" s="67" t="s">
        <v>265</v>
      </c>
      <c r="L950" s="68">
        <v>46043.736377314803</v>
      </c>
      <c r="M950" s="68">
        <v>46047.657025462999</v>
      </c>
      <c r="N950" s="67" t="s">
        <v>146</v>
      </c>
      <c r="O950" s="68">
        <v>46051.834108796298</v>
      </c>
      <c r="P950" s="68">
        <v>46050.834259259304</v>
      </c>
    </row>
    <row r="951" spans="1:22" s="38" customFormat="1" ht="14.4" customHeight="1" x14ac:dyDescent="0.25">
      <c r="A951" s="44">
        <v>950</v>
      </c>
      <c r="B951" s="45" t="s">
        <v>85</v>
      </c>
      <c r="C951" s="66" t="s">
        <v>270</v>
      </c>
      <c r="D951" s="66" t="s">
        <v>225</v>
      </c>
      <c r="E951" s="67" t="s">
        <v>265</v>
      </c>
      <c r="F951" s="68">
        <v>46046.583773148202</v>
      </c>
      <c r="G951" s="68">
        <v>46050.623680555596</v>
      </c>
      <c r="H951" s="59" t="s">
        <v>90</v>
      </c>
      <c r="I951" s="60">
        <v>12000</v>
      </c>
      <c r="J951" s="58" t="s">
        <v>107</v>
      </c>
      <c r="K951" s="62"/>
      <c r="L951" s="63"/>
      <c r="M951" s="57"/>
    </row>
    <row r="952" spans="1:22" s="38" customFormat="1" ht="14.4" customHeight="1" x14ac:dyDescent="0.25">
      <c r="A952" s="44">
        <v>951</v>
      </c>
      <c r="B952" s="45" t="s">
        <v>85</v>
      </c>
      <c r="C952" s="66" t="s">
        <v>270</v>
      </c>
      <c r="D952" s="66" t="s">
        <v>226</v>
      </c>
      <c r="E952" s="84" t="s">
        <v>106</v>
      </c>
      <c r="F952" s="68">
        <v>46056.882175925901</v>
      </c>
      <c r="G952" s="68">
        <v>46055.882326388899</v>
      </c>
      <c r="H952" s="59" t="s">
        <v>90</v>
      </c>
      <c r="I952" s="60">
        <v>12000</v>
      </c>
      <c r="J952" s="58" t="s">
        <v>107</v>
      </c>
      <c r="K952" s="67" t="s">
        <v>265</v>
      </c>
      <c r="L952" s="68">
        <v>46043.736342592601</v>
      </c>
      <c r="M952" s="68">
        <v>46044.747152777803</v>
      </c>
      <c r="N952" s="67" t="s">
        <v>146</v>
      </c>
      <c r="O952" s="68">
        <v>46051.834108796298</v>
      </c>
      <c r="P952" s="68">
        <v>46050.834259259304</v>
      </c>
    </row>
    <row r="953" spans="1:22" s="38" customFormat="1" ht="14.4" customHeight="1" x14ac:dyDescent="0.25">
      <c r="A953" s="44">
        <v>952</v>
      </c>
      <c r="B953" s="45" t="s">
        <v>85</v>
      </c>
      <c r="C953" s="66" t="s">
        <v>270</v>
      </c>
      <c r="D953" s="66" t="s">
        <v>227</v>
      </c>
      <c r="E953" s="84" t="s">
        <v>106</v>
      </c>
      <c r="F953" s="68">
        <v>46056.882175925901</v>
      </c>
      <c r="G953" s="68">
        <v>46055.882326388899</v>
      </c>
      <c r="H953" s="59" t="s">
        <v>90</v>
      </c>
      <c r="I953" s="60">
        <v>12000</v>
      </c>
      <c r="J953" s="58" t="s">
        <v>107</v>
      </c>
      <c r="K953" s="67" t="s">
        <v>265</v>
      </c>
      <c r="L953" s="68">
        <v>46043.7363541667</v>
      </c>
      <c r="M953" s="68">
        <v>46047.656886574099</v>
      </c>
      <c r="N953" s="67" t="s">
        <v>146</v>
      </c>
      <c r="O953" s="68">
        <v>46051.834108796298</v>
      </c>
      <c r="P953" s="68">
        <v>46050.834259259304</v>
      </c>
    </row>
    <row r="954" spans="1:22" s="38" customFormat="1" ht="14.4" customHeight="1" x14ac:dyDescent="0.25">
      <c r="A954" s="44">
        <v>953</v>
      </c>
      <c r="B954" s="45" t="s">
        <v>85</v>
      </c>
      <c r="C954" s="46" t="s">
        <v>270</v>
      </c>
      <c r="D954" s="38" t="s">
        <v>228</v>
      </c>
      <c r="E954" s="61"/>
      <c r="H954" s="59" t="s">
        <v>90</v>
      </c>
      <c r="I954" s="60">
        <v>12000</v>
      </c>
      <c r="K954" s="62"/>
      <c r="L954" s="63"/>
      <c r="M954" s="57"/>
    </row>
    <row r="955" spans="1:22" s="38" customFormat="1" ht="14.4" customHeight="1" x14ac:dyDescent="0.25">
      <c r="A955" s="44">
        <v>954</v>
      </c>
      <c r="B955" s="45" t="s">
        <v>85</v>
      </c>
      <c r="C955" s="46" t="s">
        <v>270</v>
      </c>
      <c r="D955" s="38" t="s">
        <v>229</v>
      </c>
      <c r="E955" s="61"/>
      <c r="H955" s="59" t="s">
        <v>90</v>
      </c>
      <c r="I955" s="60">
        <v>12000</v>
      </c>
      <c r="K955" s="62"/>
      <c r="L955" s="63"/>
      <c r="M955" s="57"/>
    </row>
    <row r="956" spans="1:22" s="38" customFormat="1" ht="14.4" customHeight="1" x14ac:dyDescent="0.25">
      <c r="A956" s="44">
        <v>955</v>
      </c>
      <c r="B956" s="45" t="s">
        <v>85</v>
      </c>
      <c r="C956" s="66" t="s">
        <v>270</v>
      </c>
      <c r="D956" s="66" t="s">
        <v>230</v>
      </c>
      <c r="E956" s="67" t="s">
        <v>106</v>
      </c>
      <c r="F956" s="68">
        <v>46128.468553240702</v>
      </c>
      <c r="G956" s="68">
        <v>46126.468761574099</v>
      </c>
      <c r="H956" s="54" t="s">
        <v>88</v>
      </c>
      <c r="I956" s="55">
        <v>16000</v>
      </c>
      <c r="J956" s="58" t="s">
        <v>107</v>
      </c>
      <c r="K956" s="75" t="s">
        <v>265</v>
      </c>
      <c r="L956" s="76">
        <v>46093.674918981502</v>
      </c>
      <c r="M956" s="76">
        <v>46097.658622685201</v>
      </c>
      <c r="T956" s="82" t="s">
        <v>146</v>
      </c>
      <c r="U956" s="83">
        <v>46100.833622685197</v>
      </c>
      <c r="V956" s="83">
        <v>46099.833854166704</v>
      </c>
    </row>
    <row r="957" spans="1:22" s="38" customFormat="1" ht="14.4" customHeight="1" x14ac:dyDescent="0.25">
      <c r="A957" s="44">
        <v>956</v>
      </c>
      <c r="B957" s="45" t="s">
        <v>85</v>
      </c>
      <c r="C957" s="66" t="s">
        <v>270</v>
      </c>
      <c r="D957" s="66" t="s">
        <v>231</v>
      </c>
      <c r="E957" s="67" t="s">
        <v>106</v>
      </c>
      <c r="F957" s="68">
        <v>46128.468553240702</v>
      </c>
      <c r="G957" s="68">
        <v>46126.468773148103</v>
      </c>
      <c r="H957" s="59" t="s">
        <v>90</v>
      </c>
      <c r="I957" s="60">
        <v>12000</v>
      </c>
      <c r="J957" s="58" t="s">
        <v>107</v>
      </c>
      <c r="K957" s="61" t="s">
        <v>108</v>
      </c>
      <c r="L957" s="64">
        <v>45561.675312500003</v>
      </c>
      <c r="M957" s="64">
        <v>45610.796307870398</v>
      </c>
      <c r="N957" s="38" t="s">
        <v>127</v>
      </c>
      <c r="O957" s="64">
        <v>45646.618148148104</v>
      </c>
      <c r="P957" s="64">
        <v>45652.696296296301</v>
      </c>
      <c r="Q957" s="75" t="s">
        <v>265</v>
      </c>
      <c r="R957" s="76">
        <v>46093.674918981502</v>
      </c>
      <c r="S957" s="76">
        <v>46097.658622685201</v>
      </c>
      <c r="T957" s="75" t="s">
        <v>146</v>
      </c>
      <c r="U957" s="76">
        <v>46103.834444444401</v>
      </c>
      <c r="V957" s="76">
        <v>46102.834664351903</v>
      </c>
    </row>
    <row r="958" spans="1:22" s="38" customFormat="1" ht="14.4" customHeight="1" x14ac:dyDescent="0.25">
      <c r="A958" s="44">
        <v>957</v>
      </c>
      <c r="B958" s="45" t="s">
        <v>85</v>
      </c>
      <c r="C958" s="66" t="s">
        <v>270</v>
      </c>
      <c r="D958" s="66" t="s">
        <v>232</v>
      </c>
      <c r="E958" s="67" t="s">
        <v>106</v>
      </c>
      <c r="F958" s="68">
        <v>46128.473032407397</v>
      </c>
      <c r="G958" s="68">
        <v>46126.473252314798</v>
      </c>
      <c r="H958" s="59" t="s">
        <v>90</v>
      </c>
      <c r="I958" s="60">
        <v>12000</v>
      </c>
      <c r="J958" s="58" t="s">
        <v>107</v>
      </c>
      <c r="K958" s="61" t="s">
        <v>108</v>
      </c>
      <c r="L958" s="64">
        <v>45561.675312500003</v>
      </c>
      <c r="M958" s="64">
        <v>45610.796307870398</v>
      </c>
      <c r="N958" s="38" t="s">
        <v>127</v>
      </c>
      <c r="O958" s="64">
        <v>45646.618148148104</v>
      </c>
      <c r="P958" s="64">
        <v>45652.696296296301</v>
      </c>
      <c r="T958" s="79" t="s">
        <v>108</v>
      </c>
      <c r="U958" s="64">
        <v>46101.725949074098</v>
      </c>
      <c r="V958" s="64">
        <v>46104.771307870396</v>
      </c>
    </row>
    <row r="959" spans="1:22" s="38" customFormat="1" ht="14.4" customHeight="1" x14ac:dyDescent="0.25">
      <c r="A959" s="44">
        <v>958</v>
      </c>
      <c r="B959" s="45" t="s">
        <v>85</v>
      </c>
      <c r="C959" s="66" t="s">
        <v>270</v>
      </c>
      <c r="D959" s="66" t="s">
        <v>233</v>
      </c>
      <c r="E959" s="84" t="s">
        <v>106</v>
      </c>
      <c r="F959" s="68">
        <v>46056.882175925901</v>
      </c>
      <c r="G959" s="68">
        <v>46055.882326388899</v>
      </c>
      <c r="H959" s="59" t="s">
        <v>90</v>
      </c>
      <c r="I959" s="60">
        <v>12000</v>
      </c>
      <c r="J959" s="58" t="s">
        <v>107</v>
      </c>
      <c r="K959" s="61" t="s">
        <v>108</v>
      </c>
      <c r="L959" s="64">
        <v>45561.675312500003</v>
      </c>
      <c r="M959" s="64">
        <v>45610.796307870398</v>
      </c>
      <c r="N959" s="38" t="s">
        <v>127</v>
      </c>
      <c r="O959" s="64">
        <v>45646.618148148104</v>
      </c>
      <c r="P959" s="64">
        <v>45652.696296296301</v>
      </c>
      <c r="Q959" s="67" t="s">
        <v>265</v>
      </c>
      <c r="R959" s="68">
        <v>46043.736412036997</v>
      </c>
      <c r="S959" s="68">
        <v>46044.754432870403</v>
      </c>
      <c r="T959" s="67" t="s">
        <v>146</v>
      </c>
      <c r="U959" s="68">
        <v>46051.834108796298</v>
      </c>
      <c r="V959" s="68">
        <v>46050.834259259304</v>
      </c>
    </row>
    <row r="960" spans="1:22" s="38" customFormat="1" ht="14.4" customHeight="1" x14ac:dyDescent="0.25">
      <c r="A960" s="44">
        <v>959</v>
      </c>
      <c r="B960" s="45" t="s">
        <v>85</v>
      </c>
      <c r="C960" s="66" t="s">
        <v>270</v>
      </c>
      <c r="D960" s="66" t="s">
        <v>234</v>
      </c>
      <c r="E960" s="84" t="s">
        <v>106</v>
      </c>
      <c r="F960" s="68">
        <v>46056.882175925901</v>
      </c>
      <c r="G960" s="68">
        <v>46055.882326388899</v>
      </c>
      <c r="H960" s="59" t="s">
        <v>90</v>
      </c>
      <c r="I960" s="60">
        <v>12000</v>
      </c>
      <c r="J960" s="58" t="s">
        <v>107</v>
      </c>
      <c r="K960" s="61" t="s">
        <v>108</v>
      </c>
      <c r="L960" s="64">
        <v>45561.675312500003</v>
      </c>
      <c r="M960" s="64">
        <v>45610.796307870398</v>
      </c>
      <c r="N960" s="38" t="s">
        <v>127</v>
      </c>
      <c r="O960" s="64">
        <v>45646.618148148104</v>
      </c>
      <c r="P960" s="64">
        <v>45652.696296296301</v>
      </c>
      <c r="Q960" s="67" t="s">
        <v>265</v>
      </c>
      <c r="R960" s="68">
        <v>46043.736365740697</v>
      </c>
      <c r="S960" s="68">
        <v>46044.762083333299</v>
      </c>
      <c r="T960" s="67" t="s">
        <v>146</v>
      </c>
      <c r="U960" s="68">
        <v>46051.834108796298</v>
      </c>
      <c r="V960" s="68">
        <v>46050.834259259304</v>
      </c>
    </row>
    <row r="961" spans="1:22" s="38" customFormat="1" ht="14.4" customHeight="1" x14ac:dyDescent="0.25">
      <c r="A961" s="44">
        <v>960</v>
      </c>
      <c r="B961" s="45" t="s">
        <v>85</v>
      </c>
      <c r="C961" s="66" t="s">
        <v>270</v>
      </c>
      <c r="D961" s="66" t="s">
        <v>235</v>
      </c>
      <c r="E961" s="67" t="s">
        <v>265</v>
      </c>
      <c r="F961" s="68">
        <v>46046.583773148202</v>
      </c>
      <c r="G961" s="68">
        <v>46050.625127314801</v>
      </c>
      <c r="H961" s="59" t="s">
        <v>90</v>
      </c>
      <c r="I961" s="60">
        <v>12000</v>
      </c>
      <c r="J961" s="58" t="s">
        <v>107</v>
      </c>
      <c r="K961" s="61" t="s">
        <v>108</v>
      </c>
      <c r="L961" s="64">
        <v>45561.675312500003</v>
      </c>
      <c r="M961" s="64">
        <v>45610.796307870398</v>
      </c>
      <c r="N961" s="38" t="s">
        <v>127</v>
      </c>
      <c r="O961" s="64">
        <v>45646.618148148104</v>
      </c>
      <c r="P961" s="64">
        <v>45652.696296296301</v>
      </c>
    </row>
    <row r="962" spans="1:22" s="38" customFormat="1" ht="14.4" customHeight="1" x14ac:dyDescent="0.25">
      <c r="A962" s="44">
        <v>961</v>
      </c>
      <c r="B962" s="45" t="s">
        <v>85</v>
      </c>
      <c r="C962" s="66" t="s">
        <v>270</v>
      </c>
      <c r="D962" s="66" t="s">
        <v>236</v>
      </c>
      <c r="E962" s="84" t="s">
        <v>106</v>
      </c>
      <c r="F962" s="68">
        <v>46056.882175925901</v>
      </c>
      <c r="G962" s="68">
        <v>46055.882326388899</v>
      </c>
      <c r="H962" s="59" t="s">
        <v>90</v>
      </c>
      <c r="I962" s="60">
        <v>12000</v>
      </c>
      <c r="J962" s="58" t="s">
        <v>107</v>
      </c>
      <c r="K962" s="61" t="s">
        <v>108</v>
      </c>
      <c r="L962" s="64">
        <v>45561.675312500003</v>
      </c>
      <c r="M962" s="64">
        <v>45610.796307870398</v>
      </c>
      <c r="N962" s="38" t="s">
        <v>127</v>
      </c>
      <c r="O962" s="64">
        <v>45646.618148148104</v>
      </c>
      <c r="P962" s="64">
        <v>45652.696296296301</v>
      </c>
      <c r="Q962" s="67" t="s">
        <v>265</v>
      </c>
      <c r="R962" s="68">
        <v>46043.736365740697</v>
      </c>
      <c r="S962" s="68">
        <v>46044.762407407397</v>
      </c>
      <c r="T962" s="67" t="s">
        <v>146</v>
      </c>
      <c r="U962" s="68">
        <v>46051.834108796298</v>
      </c>
      <c r="V962" s="68">
        <v>46050.834259259304</v>
      </c>
    </row>
    <row r="963" spans="1:22" s="38" customFormat="1" ht="14.4" customHeight="1" x14ac:dyDescent="0.25">
      <c r="A963" s="44">
        <v>962</v>
      </c>
      <c r="B963" s="45" t="s">
        <v>85</v>
      </c>
      <c r="C963" s="66" t="s">
        <v>270</v>
      </c>
      <c r="D963" s="66" t="s">
        <v>237</v>
      </c>
      <c r="E963" s="84" t="s">
        <v>106</v>
      </c>
      <c r="F963" s="68">
        <v>46056.882175925901</v>
      </c>
      <c r="G963" s="68">
        <v>46055.882326388899</v>
      </c>
      <c r="H963" s="59" t="s">
        <v>90</v>
      </c>
      <c r="I963" s="60">
        <v>12000</v>
      </c>
      <c r="J963" s="58" t="s">
        <v>107</v>
      </c>
      <c r="K963" s="61" t="s">
        <v>108</v>
      </c>
      <c r="L963" s="64">
        <v>45561.675312500003</v>
      </c>
      <c r="M963" s="64">
        <v>45610.796307870398</v>
      </c>
      <c r="N963" s="38" t="s">
        <v>127</v>
      </c>
      <c r="O963" s="64">
        <v>45646.618148148104</v>
      </c>
      <c r="P963" s="64">
        <v>45652.696296296301</v>
      </c>
      <c r="Q963" s="67" t="s">
        <v>265</v>
      </c>
      <c r="R963" s="68">
        <v>46043.7363541667</v>
      </c>
      <c r="S963" s="68">
        <v>46044.762789351902</v>
      </c>
      <c r="T963" s="67" t="s">
        <v>146</v>
      </c>
      <c r="U963" s="68">
        <v>46051.834108796298</v>
      </c>
      <c r="V963" s="68">
        <v>46050.834259259304</v>
      </c>
    </row>
    <row r="964" spans="1:22" s="38" customFormat="1" ht="14.4" customHeight="1" x14ac:dyDescent="0.25">
      <c r="A964" s="44">
        <v>963</v>
      </c>
      <c r="B964" s="45" t="s">
        <v>85</v>
      </c>
      <c r="C964" s="66" t="s">
        <v>270</v>
      </c>
      <c r="D964" s="66" t="s">
        <v>238</v>
      </c>
      <c r="E964" s="67" t="s">
        <v>265</v>
      </c>
      <c r="F964" s="68">
        <v>46046.583773148202</v>
      </c>
      <c r="G964" s="68">
        <v>46050.628402777802</v>
      </c>
      <c r="H964" s="59" t="s">
        <v>90</v>
      </c>
      <c r="I964" s="60">
        <v>12000</v>
      </c>
      <c r="J964" s="58" t="s">
        <v>107</v>
      </c>
      <c r="K964" s="61" t="s">
        <v>108</v>
      </c>
      <c r="L964" s="64">
        <v>45561.675312500003</v>
      </c>
      <c r="M964" s="64">
        <v>45610.796307870398</v>
      </c>
      <c r="N964" s="38" t="s">
        <v>127</v>
      </c>
      <c r="O964" s="64">
        <v>45646.618148148104</v>
      </c>
      <c r="P964" s="64">
        <v>45652.696296296301</v>
      </c>
    </row>
    <row r="965" spans="1:22" s="38" customFormat="1" ht="14.4" customHeight="1" x14ac:dyDescent="0.25">
      <c r="A965" s="44">
        <v>964</v>
      </c>
      <c r="B965" s="45" t="s">
        <v>85</v>
      </c>
      <c r="C965" s="66" t="s">
        <v>270</v>
      </c>
      <c r="D965" s="66" t="s">
        <v>239</v>
      </c>
      <c r="E965" s="84" t="s">
        <v>106</v>
      </c>
      <c r="F965" s="68">
        <v>46056.882175925901</v>
      </c>
      <c r="G965" s="68">
        <v>46055.882326388899</v>
      </c>
      <c r="H965" s="59" t="s">
        <v>90</v>
      </c>
      <c r="I965" s="60">
        <v>12000</v>
      </c>
      <c r="J965" s="58" t="s">
        <v>107</v>
      </c>
      <c r="K965" s="61" t="s">
        <v>108</v>
      </c>
      <c r="L965" s="64">
        <v>45561.675312500003</v>
      </c>
      <c r="M965" s="64">
        <v>45610.796307870398</v>
      </c>
      <c r="N965" s="38" t="s">
        <v>127</v>
      </c>
      <c r="O965" s="64">
        <v>45646.618148148104</v>
      </c>
      <c r="P965" s="64">
        <v>45652.696296296301</v>
      </c>
      <c r="Q965" s="67" t="s">
        <v>265</v>
      </c>
      <c r="R965" s="68">
        <v>46043.736331018503</v>
      </c>
      <c r="S965" s="68">
        <v>46044.763171296298</v>
      </c>
      <c r="T965" s="38" t="s">
        <v>146</v>
      </c>
      <c r="U965" s="64">
        <v>46050.833611111098</v>
      </c>
      <c r="V965" s="64">
        <v>46049.833761574097</v>
      </c>
    </row>
    <row r="966" spans="1:22" s="38" customFormat="1" ht="14.4" customHeight="1" x14ac:dyDescent="0.25">
      <c r="A966" s="44">
        <v>965</v>
      </c>
      <c r="B966" s="45" t="s">
        <v>85</v>
      </c>
      <c r="C966" s="66" t="s">
        <v>270</v>
      </c>
      <c r="D966" s="66" t="s">
        <v>240</v>
      </c>
      <c r="E966" s="84" t="s">
        <v>106</v>
      </c>
      <c r="F966" s="68">
        <v>46056.882175925901</v>
      </c>
      <c r="G966" s="68">
        <v>46055.882326388899</v>
      </c>
      <c r="H966" s="59" t="s">
        <v>90</v>
      </c>
      <c r="I966" s="60">
        <v>12000</v>
      </c>
      <c r="J966" s="58" t="s">
        <v>107</v>
      </c>
      <c r="K966" s="67" t="s">
        <v>265</v>
      </c>
      <c r="L966" s="68">
        <v>46043.736331018503</v>
      </c>
      <c r="M966" s="68">
        <v>46047.659594907404</v>
      </c>
      <c r="N966" s="38" t="s">
        <v>146</v>
      </c>
      <c r="O966" s="64">
        <v>46050.833611111098</v>
      </c>
      <c r="P966" s="64">
        <v>46049.833761574097</v>
      </c>
    </row>
    <row r="967" spans="1:22" s="38" customFormat="1" ht="14.4" customHeight="1" x14ac:dyDescent="0.25">
      <c r="A967" s="44">
        <v>966</v>
      </c>
      <c r="B967" s="45" t="s">
        <v>85</v>
      </c>
      <c r="C967" s="66" t="s">
        <v>270</v>
      </c>
      <c r="D967" s="66" t="s">
        <v>241</v>
      </c>
      <c r="E967" s="67" t="s">
        <v>265</v>
      </c>
      <c r="F967" s="68">
        <v>46046.583773148202</v>
      </c>
      <c r="G967" s="68">
        <v>46050.628483796303</v>
      </c>
      <c r="H967" s="59" t="s">
        <v>90</v>
      </c>
      <c r="I967" s="60">
        <v>12000</v>
      </c>
      <c r="J967" s="58" t="s">
        <v>107</v>
      </c>
      <c r="K967" s="62"/>
      <c r="L967" s="63"/>
      <c r="M967" s="57"/>
    </row>
    <row r="968" spans="1:22" s="38" customFormat="1" ht="14.4" customHeight="1" x14ac:dyDescent="0.25">
      <c r="A968" s="44">
        <v>967</v>
      </c>
      <c r="B968" s="45" t="s">
        <v>85</v>
      </c>
      <c r="C968" s="66" t="s">
        <v>270</v>
      </c>
      <c r="D968" s="66" t="s">
        <v>242</v>
      </c>
      <c r="E968" s="84" t="s">
        <v>106</v>
      </c>
      <c r="F968" s="68">
        <v>46056.882175925901</v>
      </c>
      <c r="G968" s="68">
        <v>46055.882326388899</v>
      </c>
      <c r="H968" s="59" t="s">
        <v>90</v>
      </c>
      <c r="I968" s="60">
        <v>12000</v>
      </c>
      <c r="J968" s="58" t="s">
        <v>107</v>
      </c>
      <c r="K968" s="67" t="s">
        <v>265</v>
      </c>
      <c r="L968" s="68">
        <v>46043.736377314803</v>
      </c>
      <c r="M968" s="68">
        <v>46047.659768518497</v>
      </c>
      <c r="N968" s="67" t="s">
        <v>146</v>
      </c>
      <c r="O968" s="68">
        <v>46051.834108796298</v>
      </c>
      <c r="P968" s="68">
        <v>46050.834259259304</v>
      </c>
    </row>
    <row r="969" spans="1:22" s="38" customFormat="1" ht="14.4" customHeight="1" x14ac:dyDescent="0.25">
      <c r="A969" s="44">
        <v>968</v>
      </c>
      <c r="B969" s="45" t="s">
        <v>85</v>
      </c>
      <c r="C969" s="66" t="s">
        <v>270</v>
      </c>
      <c r="D969" s="66" t="s">
        <v>243</v>
      </c>
      <c r="E969" s="84" t="s">
        <v>106</v>
      </c>
      <c r="F969" s="68">
        <v>46056.882175925901</v>
      </c>
      <c r="G969" s="68">
        <v>46055.882326388899</v>
      </c>
      <c r="H969" s="59" t="s">
        <v>90</v>
      </c>
      <c r="I969" s="60">
        <v>12000</v>
      </c>
      <c r="J969" s="58" t="s">
        <v>107</v>
      </c>
      <c r="K969" s="67" t="s">
        <v>265</v>
      </c>
      <c r="L969" s="68">
        <v>46043.7363541667</v>
      </c>
      <c r="M969" s="68">
        <v>46047.662962962997</v>
      </c>
      <c r="N969" s="67" t="s">
        <v>146</v>
      </c>
      <c r="O969" s="68">
        <v>46051.834108796298</v>
      </c>
      <c r="P969" s="68">
        <v>46050.834259259304</v>
      </c>
    </row>
    <row r="970" spans="1:22" s="38" customFormat="1" ht="14.4" customHeight="1" x14ac:dyDescent="0.25">
      <c r="A970" s="44">
        <v>969</v>
      </c>
      <c r="B970" s="45" t="s">
        <v>85</v>
      </c>
      <c r="C970" s="66" t="s">
        <v>270</v>
      </c>
      <c r="D970" s="66" t="s">
        <v>244</v>
      </c>
      <c r="E970" s="67" t="s">
        <v>265</v>
      </c>
      <c r="F970" s="68">
        <v>46046.583773148202</v>
      </c>
      <c r="G970" s="68">
        <v>46050.628773148099</v>
      </c>
      <c r="H970" s="59" t="s">
        <v>90</v>
      </c>
      <c r="I970" s="60">
        <v>12000</v>
      </c>
      <c r="J970" s="58" t="s">
        <v>107</v>
      </c>
      <c r="K970" s="62"/>
      <c r="L970" s="63"/>
      <c r="M970" s="57"/>
    </row>
    <row r="971" spans="1:22" s="38" customFormat="1" ht="14.4" customHeight="1" x14ac:dyDescent="0.25">
      <c r="A971" s="44">
        <v>970</v>
      </c>
      <c r="B971" s="45" t="s">
        <v>85</v>
      </c>
      <c r="C971" s="46" t="s">
        <v>270</v>
      </c>
      <c r="D971" s="38" t="s">
        <v>245</v>
      </c>
      <c r="E971" s="61"/>
      <c r="H971" s="59" t="s">
        <v>90</v>
      </c>
      <c r="I971" s="60">
        <v>12000</v>
      </c>
      <c r="K971" s="62"/>
      <c r="L971" s="63"/>
      <c r="M971" s="57"/>
    </row>
    <row r="972" spans="1:22" s="38" customFormat="1" ht="14.4" customHeight="1" x14ac:dyDescent="0.25">
      <c r="A972" s="44">
        <v>971</v>
      </c>
      <c r="B972" s="45" t="s">
        <v>85</v>
      </c>
      <c r="C972" s="66" t="s">
        <v>270</v>
      </c>
      <c r="D972" s="66" t="s">
        <v>246</v>
      </c>
      <c r="E972" s="67" t="s">
        <v>265</v>
      </c>
      <c r="F972" s="68">
        <v>46046.583773148202</v>
      </c>
      <c r="G972" s="68">
        <v>46050.632025462997</v>
      </c>
      <c r="H972" s="54" t="s">
        <v>88</v>
      </c>
      <c r="I972" s="55">
        <v>16000</v>
      </c>
      <c r="J972" s="58" t="s">
        <v>107</v>
      </c>
      <c r="K972" s="62"/>
      <c r="L972" s="63"/>
      <c r="M972" s="57"/>
    </row>
    <row r="973" spans="1:22" s="38" customFormat="1" ht="14.4" customHeight="1" x14ac:dyDescent="0.25">
      <c r="A973" s="44">
        <v>972</v>
      </c>
      <c r="B973" s="45" t="s">
        <v>85</v>
      </c>
      <c r="C973" s="66" t="s">
        <v>270</v>
      </c>
      <c r="D973" s="66" t="s">
        <v>247</v>
      </c>
      <c r="E973" s="84" t="s">
        <v>106</v>
      </c>
      <c r="F973" s="68">
        <v>46056.882175925901</v>
      </c>
      <c r="G973" s="68">
        <v>46055.882326388899</v>
      </c>
      <c r="H973" s="59" t="s">
        <v>90</v>
      </c>
      <c r="I973" s="60">
        <v>12000</v>
      </c>
      <c r="J973" s="58" t="s">
        <v>107</v>
      </c>
      <c r="K973" s="61" t="s">
        <v>108</v>
      </c>
      <c r="L973" s="64">
        <v>45561.675312500003</v>
      </c>
      <c r="M973" s="64">
        <v>45610.796307870398</v>
      </c>
      <c r="N973" s="38" t="s">
        <v>127</v>
      </c>
      <c r="O973" s="64">
        <v>45646.618148148104</v>
      </c>
      <c r="P973" s="64">
        <v>45652.696296296301</v>
      </c>
      <c r="Q973" s="67" t="s">
        <v>265</v>
      </c>
      <c r="R973" s="68">
        <v>46043.736342592601</v>
      </c>
      <c r="S973" s="68">
        <v>46047.470659722203</v>
      </c>
      <c r="T973" s="67" t="s">
        <v>146</v>
      </c>
      <c r="U973" s="68">
        <v>46051.834108796298</v>
      </c>
      <c r="V973" s="68">
        <v>46050.834259259304</v>
      </c>
    </row>
    <row r="974" spans="1:22" s="38" customFormat="1" ht="14.4" customHeight="1" x14ac:dyDescent="0.25">
      <c r="A974" s="44">
        <v>973</v>
      </c>
      <c r="B974" s="45" t="s">
        <v>85</v>
      </c>
      <c r="C974" s="66" t="s">
        <v>270</v>
      </c>
      <c r="D974" s="66" t="s">
        <v>248</v>
      </c>
      <c r="E974" s="84" t="s">
        <v>106</v>
      </c>
      <c r="F974" s="68">
        <v>46058.882245370398</v>
      </c>
      <c r="G974" s="68">
        <v>46057.882395833301</v>
      </c>
      <c r="H974" s="59" t="s">
        <v>90</v>
      </c>
      <c r="I974" s="60">
        <v>12000</v>
      </c>
      <c r="J974" s="58" t="s">
        <v>107</v>
      </c>
      <c r="K974" s="61" t="s">
        <v>108</v>
      </c>
      <c r="L974" s="64">
        <v>45561.675312500003</v>
      </c>
      <c r="M974" s="64">
        <v>45610.796307870398</v>
      </c>
      <c r="N974" s="38" t="s">
        <v>127</v>
      </c>
      <c r="O974" s="64">
        <v>45646.618148148104</v>
      </c>
      <c r="P974" s="64">
        <v>45652.696296296301</v>
      </c>
      <c r="Q974" s="67" t="s">
        <v>265</v>
      </c>
      <c r="R974" s="68">
        <v>46043.736365740697</v>
      </c>
      <c r="S974" s="68">
        <v>46047.470474537004</v>
      </c>
      <c r="T974" s="67" t="s">
        <v>146</v>
      </c>
      <c r="U974" s="68">
        <v>46051.834108796298</v>
      </c>
      <c r="V974" s="68">
        <v>46050.834259259304</v>
      </c>
    </row>
    <row r="975" spans="1:22" s="38" customFormat="1" ht="14.4" customHeight="1" x14ac:dyDescent="0.25">
      <c r="A975" s="44">
        <v>974</v>
      </c>
      <c r="B975" s="45" t="s">
        <v>85</v>
      </c>
      <c r="C975" s="66" t="s">
        <v>270</v>
      </c>
      <c r="D975" s="66" t="s">
        <v>249</v>
      </c>
      <c r="E975" s="67" t="s">
        <v>265</v>
      </c>
      <c r="F975" s="68">
        <v>46046.583773148202</v>
      </c>
      <c r="G975" s="68">
        <v>46050.632881944402</v>
      </c>
      <c r="H975" s="59" t="s">
        <v>90</v>
      </c>
      <c r="I975" s="60">
        <v>12000</v>
      </c>
      <c r="J975" s="58" t="s">
        <v>107</v>
      </c>
      <c r="K975" s="61" t="s">
        <v>108</v>
      </c>
      <c r="L975" s="64">
        <v>45561.675312500003</v>
      </c>
      <c r="M975" s="64">
        <v>45610.796307870398</v>
      </c>
      <c r="N975" s="38" t="s">
        <v>127</v>
      </c>
      <c r="O975" s="64">
        <v>45646.618148148104</v>
      </c>
      <c r="P975" s="64">
        <v>45652.696296296301</v>
      </c>
    </row>
    <row r="976" spans="1:22" s="38" customFormat="1" ht="14.4" customHeight="1" x14ac:dyDescent="0.25">
      <c r="A976" s="44">
        <v>975</v>
      </c>
      <c r="B976" s="45" t="s">
        <v>85</v>
      </c>
      <c r="C976" s="66" t="s">
        <v>270</v>
      </c>
      <c r="D976" s="66" t="s">
        <v>250</v>
      </c>
      <c r="E976" s="84" t="s">
        <v>106</v>
      </c>
      <c r="F976" s="68">
        <v>46056.882175925901</v>
      </c>
      <c r="G976" s="68">
        <v>46055.882326388899</v>
      </c>
      <c r="H976" s="59" t="s">
        <v>90</v>
      </c>
      <c r="I976" s="60">
        <v>12000</v>
      </c>
      <c r="J976" s="58" t="s">
        <v>107</v>
      </c>
      <c r="K976" s="61" t="s">
        <v>108</v>
      </c>
      <c r="L976" s="64">
        <v>45561.675312500003</v>
      </c>
      <c r="M976" s="64">
        <v>45610.796307870398</v>
      </c>
      <c r="N976" s="38" t="s">
        <v>127</v>
      </c>
      <c r="O976" s="64">
        <v>45646.618148148104</v>
      </c>
      <c r="P976" s="64">
        <v>45652.696296296301</v>
      </c>
      <c r="Q976" s="67" t="s">
        <v>265</v>
      </c>
      <c r="R976" s="68">
        <v>46043.7363541667</v>
      </c>
      <c r="S976" s="68">
        <v>46047.470289351899</v>
      </c>
      <c r="T976" s="67" t="s">
        <v>146</v>
      </c>
      <c r="U976" s="68">
        <v>46051.834108796298</v>
      </c>
      <c r="V976" s="68">
        <v>46050.834259259304</v>
      </c>
    </row>
    <row r="977" spans="1:22" s="38" customFormat="1" ht="14.4" customHeight="1" x14ac:dyDescent="0.25">
      <c r="A977" s="44">
        <v>976</v>
      </c>
      <c r="B977" s="45" t="s">
        <v>85</v>
      </c>
      <c r="C977" s="66" t="s">
        <v>270</v>
      </c>
      <c r="D977" s="66" t="s">
        <v>251</v>
      </c>
      <c r="E977" s="84" t="s">
        <v>106</v>
      </c>
      <c r="F977" s="68">
        <v>46056.882175925901</v>
      </c>
      <c r="G977" s="68">
        <v>46055.882326388899</v>
      </c>
      <c r="H977" s="59" t="s">
        <v>90</v>
      </c>
      <c r="I977" s="60">
        <v>12000</v>
      </c>
      <c r="J977" s="58" t="s">
        <v>107</v>
      </c>
      <c r="K977" s="61" t="s">
        <v>108</v>
      </c>
      <c r="L977" s="64">
        <v>45561.675312500003</v>
      </c>
      <c r="M977" s="64">
        <v>45610.796307870398</v>
      </c>
      <c r="N977" s="38" t="s">
        <v>127</v>
      </c>
      <c r="O977" s="64">
        <v>45646.618148148104</v>
      </c>
      <c r="P977" s="64">
        <v>45652.696296296301</v>
      </c>
      <c r="Q977" s="67" t="s">
        <v>265</v>
      </c>
      <c r="R977" s="68">
        <v>46043.736342592601</v>
      </c>
      <c r="S977" s="68">
        <v>46047.470150462999</v>
      </c>
      <c r="T977" s="67" t="s">
        <v>146</v>
      </c>
      <c r="U977" s="68">
        <v>46051.834108796298</v>
      </c>
      <c r="V977" s="68">
        <v>46050.834259259304</v>
      </c>
    </row>
    <row r="978" spans="1:22" s="38" customFormat="1" ht="14.4" customHeight="1" x14ac:dyDescent="0.25">
      <c r="A978" s="44">
        <v>977</v>
      </c>
      <c r="B978" s="45" t="s">
        <v>85</v>
      </c>
      <c r="C978" s="66" t="s">
        <v>270</v>
      </c>
      <c r="D978" s="66" t="s">
        <v>252</v>
      </c>
      <c r="E978" s="67" t="s">
        <v>265</v>
      </c>
      <c r="F978" s="68">
        <v>46046.583773148202</v>
      </c>
      <c r="G978" s="68">
        <v>46050.638425925899</v>
      </c>
      <c r="H978" s="59" t="s">
        <v>90</v>
      </c>
      <c r="I978" s="60">
        <v>12000</v>
      </c>
      <c r="J978" s="58" t="s">
        <v>107</v>
      </c>
      <c r="K978" s="61" t="s">
        <v>108</v>
      </c>
      <c r="L978" s="64">
        <v>45561.675312500003</v>
      </c>
      <c r="M978" s="64">
        <v>45610.796307870398</v>
      </c>
      <c r="N978" s="38" t="s">
        <v>127</v>
      </c>
      <c r="O978" s="64">
        <v>45646.618148148104</v>
      </c>
      <c r="P978" s="64">
        <v>45652.696296296301</v>
      </c>
    </row>
    <row r="979" spans="1:22" s="38" customFormat="1" ht="14.4" customHeight="1" x14ac:dyDescent="0.25">
      <c r="A979" s="44">
        <v>978</v>
      </c>
      <c r="B979" s="45" t="s">
        <v>85</v>
      </c>
      <c r="C979" s="66" t="s">
        <v>270</v>
      </c>
      <c r="D979" s="66" t="s">
        <v>253</v>
      </c>
      <c r="E979" s="38" t="s">
        <v>106</v>
      </c>
      <c r="F979" s="64">
        <v>46090.507199074098</v>
      </c>
      <c r="G979" s="64">
        <v>46088.507337962998</v>
      </c>
      <c r="H979" s="59" t="s">
        <v>90</v>
      </c>
      <c r="I979" s="60">
        <v>12000</v>
      </c>
      <c r="J979" s="58" t="s">
        <v>107</v>
      </c>
      <c r="K979" s="61" t="s">
        <v>108</v>
      </c>
      <c r="L979" s="64">
        <v>45561.675312500003</v>
      </c>
      <c r="M979" s="64">
        <v>45610.796307870398</v>
      </c>
      <c r="N979" s="38" t="s">
        <v>127</v>
      </c>
      <c r="O979" s="64">
        <v>45646.618148148104</v>
      </c>
      <c r="P979" s="64">
        <v>45652.696296296301</v>
      </c>
      <c r="Q979" s="67" t="s">
        <v>265</v>
      </c>
      <c r="R979" s="68">
        <v>46043.736365740697</v>
      </c>
      <c r="S979" s="68">
        <v>46047.469456018502</v>
      </c>
      <c r="T979" s="67" t="s">
        <v>146</v>
      </c>
      <c r="U979" s="68">
        <v>46051.834108796298</v>
      </c>
      <c r="V979" s="68">
        <v>46050.834259259304</v>
      </c>
    </row>
    <row r="980" spans="1:22" s="38" customFormat="1" ht="14.4" customHeight="1" x14ac:dyDescent="0.25">
      <c r="A980" s="44">
        <v>979</v>
      </c>
      <c r="B980" s="45" t="s">
        <v>85</v>
      </c>
      <c r="C980" s="66" t="s">
        <v>270</v>
      </c>
      <c r="D980" s="66" t="s">
        <v>254</v>
      </c>
      <c r="E980" s="38" t="s">
        <v>106</v>
      </c>
      <c r="F980" s="64">
        <v>46090.507199074098</v>
      </c>
      <c r="G980" s="64">
        <v>46088.507337962998</v>
      </c>
      <c r="H980" s="59" t="s">
        <v>90</v>
      </c>
      <c r="I980" s="60">
        <v>12000</v>
      </c>
      <c r="J980" s="58" t="s">
        <v>107</v>
      </c>
      <c r="K980" s="61" t="s">
        <v>108</v>
      </c>
      <c r="L980" s="64">
        <v>45561.675312500003</v>
      </c>
      <c r="M980" s="64">
        <v>45610.796307870398</v>
      </c>
      <c r="N980" s="38" t="s">
        <v>127</v>
      </c>
      <c r="O980" s="64">
        <v>45646.618148148104</v>
      </c>
      <c r="P980" s="64">
        <v>45652.696296296301</v>
      </c>
      <c r="Q980" s="67" t="s">
        <v>265</v>
      </c>
      <c r="R980" s="68">
        <v>46043.736377314803</v>
      </c>
      <c r="S980" s="68">
        <v>46047.468923611101</v>
      </c>
      <c r="T980" s="67" t="s">
        <v>146</v>
      </c>
      <c r="U980" s="68">
        <v>46051.834108796298</v>
      </c>
      <c r="V980" s="68">
        <v>46050.834259259304</v>
      </c>
    </row>
    <row r="981" spans="1:22" s="38" customFormat="1" ht="14.4" customHeight="1" x14ac:dyDescent="0.25">
      <c r="A981" s="44">
        <v>980</v>
      </c>
      <c r="B981" s="45" t="s">
        <v>85</v>
      </c>
      <c r="C981" s="66" t="s">
        <v>270</v>
      </c>
      <c r="D981" s="66" t="s">
        <v>255</v>
      </c>
      <c r="E981" s="38" t="s">
        <v>106</v>
      </c>
      <c r="F981" s="64">
        <v>46090.510231481501</v>
      </c>
      <c r="G981" s="64">
        <v>46088.510370370401</v>
      </c>
      <c r="H981" s="59" t="s">
        <v>90</v>
      </c>
      <c r="I981" s="60">
        <v>12000</v>
      </c>
      <c r="J981" s="58" t="s">
        <v>107</v>
      </c>
      <c r="K981" s="61" t="s">
        <v>108</v>
      </c>
      <c r="L981" s="64">
        <v>45561.675312500003</v>
      </c>
      <c r="M981" s="64">
        <v>45610.796307870398</v>
      </c>
      <c r="N981" s="38" t="s">
        <v>127</v>
      </c>
      <c r="O981" s="64">
        <v>45646.618148148104</v>
      </c>
      <c r="P981" s="64">
        <v>45652.696296296301</v>
      </c>
      <c r="Q981" s="67" t="s">
        <v>265</v>
      </c>
      <c r="R981" s="68">
        <v>46046.583773148202</v>
      </c>
      <c r="S981" s="68">
        <v>46050.638495370396</v>
      </c>
      <c r="T981" s="84" t="s">
        <v>146</v>
      </c>
      <c r="U981" s="68">
        <v>46054.834236111099</v>
      </c>
      <c r="V981" s="68">
        <v>46053.834398148101</v>
      </c>
    </row>
    <row r="982" spans="1:22" s="38" customFormat="1" ht="14.4" customHeight="1" x14ac:dyDescent="0.25">
      <c r="A982" s="44">
        <v>981</v>
      </c>
      <c r="B982" s="45" t="s">
        <v>85</v>
      </c>
      <c r="C982" s="66" t="s">
        <v>270</v>
      </c>
      <c r="D982" s="66" t="s">
        <v>256</v>
      </c>
      <c r="E982" s="38" t="s">
        <v>106</v>
      </c>
      <c r="F982" s="64">
        <v>46090.510231481501</v>
      </c>
      <c r="G982" s="64">
        <v>46088.510370370401</v>
      </c>
      <c r="H982" s="59" t="s">
        <v>90</v>
      </c>
      <c r="I982" s="60">
        <v>12000</v>
      </c>
      <c r="J982" s="58" t="s">
        <v>107</v>
      </c>
      <c r="K982" s="67" t="s">
        <v>265</v>
      </c>
      <c r="L982" s="68">
        <v>46043.736342592601</v>
      </c>
      <c r="M982" s="68">
        <v>46047.663113425901</v>
      </c>
      <c r="N982" s="67" t="s">
        <v>146</v>
      </c>
      <c r="O982" s="68">
        <v>46051.834108796298</v>
      </c>
      <c r="P982" s="68">
        <v>46050.834259259304</v>
      </c>
    </row>
    <row r="983" spans="1:22" s="38" customFormat="1" ht="14.4" customHeight="1" x14ac:dyDescent="0.25">
      <c r="A983" s="44">
        <v>982</v>
      </c>
      <c r="B983" s="45" t="s">
        <v>85</v>
      </c>
      <c r="C983" s="66" t="s">
        <v>270</v>
      </c>
      <c r="D983" s="66" t="s">
        <v>257</v>
      </c>
      <c r="E983" s="38" t="s">
        <v>106</v>
      </c>
      <c r="F983" s="64">
        <v>46090.736423611103</v>
      </c>
      <c r="G983" s="64">
        <v>46088.736562500002</v>
      </c>
      <c r="H983" s="59" t="s">
        <v>90</v>
      </c>
      <c r="I983" s="60">
        <v>12000</v>
      </c>
      <c r="J983" s="58" t="s">
        <v>107</v>
      </c>
      <c r="K983" s="67" t="s">
        <v>265</v>
      </c>
      <c r="L983" s="68">
        <v>46043.7363541667</v>
      </c>
      <c r="M983" s="68">
        <v>46047.666585648098</v>
      </c>
      <c r="N983" s="67" t="s">
        <v>146</v>
      </c>
      <c r="O983" s="68">
        <v>46051.834108796298</v>
      </c>
      <c r="P983" s="68">
        <v>46050.834259259304</v>
      </c>
    </row>
    <row r="984" spans="1:22" s="38" customFormat="1" ht="14.4" customHeight="1" x14ac:dyDescent="0.25">
      <c r="A984" s="44">
        <v>983</v>
      </c>
      <c r="B984" s="45" t="s">
        <v>85</v>
      </c>
      <c r="C984" s="66" t="s">
        <v>270</v>
      </c>
      <c r="D984" s="66" t="s">
        <v>258</v>
      </c>
      <c r="E984" s="38" t="s">
        <v>106</v>
      </c>
      <c r="F984" s="64">
        <v>46090.7364467593</v>
      </c>
      <c r="G984" s="64">
        <v>46088.736585648097</v>
      </c>
      <c r="H984" s="59" t="s">
        <v>90</v>
      </c>
      <c r="I984" s="60">
        <v>12000</v>
      </c>
      <c r="J984" s="58" t="s">
        <v>107</v>
      </c>
      <c r="K984" s="67" t="s">
        <v>265</v>
      </c>
      <c r="L984" s="68">
        <v>46046.583773148202</v>
      </c>
      <c r="M984" s="68">
        <v>46050.638564814799</v>
      </c>
      <c r="N984" s="84" t="s">
        <v>146</v>
      </c>
      <c r="O984" s="68">
        <v>46054.834236111099</v>
      </c>
      <c r="P984" s="68">
        <v>46053.834398148101</v>
      </c>
    </row>
    <row r="985" spans="1:22" s="38" customFormat="1" ht="14.4" customHeight="1" x14ac:dyDescent="0.25">
      <c r="A985" s="44">
        <v>984</v>
      </c>
      <c r="B985" s="45" t="s">
        <v>85</v>
      </c>
      <c r="C985" s="66" t="s">
        <v>270</v>
      </c>
      <c r="D985" s="66" t="s">
        <v>259</v>
      </c>
      <c r="E985" s="38" t="s">
        <v>106</v>
      </c>
      <c r="F985" s="64">
        <v>46090.739988425899</v>
      </c>
      <c r="G985" s="64">
        <v>46088.740138888897</v>
      </c>
      <c r="H985" s="59" t="s">
        <v>90</v>
      </c>
      <c r="I985" s="60">
        <v>12000</v>
      </c>
      <c r="J985" s="58" t="s">
        <v>107</v>
      </c>
      <c r="K985" s="67" t="s">
        <v>265</v>
      </c>
      <c r="L985" s="68">
        <v>46043.736342592601</v>
      </c>
      <c r="M985" s="68">
        <v>46047.666747685202</v>
      </c>
      <c r="N985" s="67" t="s">
        <v>146</v>
      </c>
      <c r="O985" s="68">
        <v>46051.834108796298</v>
      </c>
      <c r="P985" s="68">
        <v>46050.834259259304</v>
      </c>
    </row>
    <row r="986" spans="1:22" s="38" customFormat="1" ht="14.4" customHeight="1" x14ac:dyDescent="0.25">
      <c r="A986" s="44">
        <v>985</v>
      </c>
      <c r="B986" s="45" t="s">
        <v>85</v>
      </c>
      <c r="C986" s="66" t="s">
        <v>270</v>
      </c>
      <c r="D986" s="66" t="s">
        <v>260</v>
      </c>
      <c r="E986" s="38" t="s">
        <v>106</v>
      </c>
      <c r="F986" s="64">
        <v>46090.74</v>
      </c>
      <c r="G986" s="64">
        <v>46088.740138888897</v>
      </c>
      <c r="H986" s="59" t="s">
        <v>90</v>
      </c>
      <c r="I986" s="60">
        <v>12000</v>
      </c>
      <c r="J986" s="58" t="s">
        <v>107</v>
      </c>
      <c r="K986" s="67" t="s">
        <v>265</v>
      </c>
      <c r="L986" s="68">
        <v>46043.7363541667</v>
      </c>
      <c r="M986" s="68">
        <v>46047.667673611097</v>
      </c>
      <c r="N986" s="67" t="s">
        <v>146</v>
      </c>
      <c r="O986" s="68">
        <v>46051.834108796298</v>
      </c>
      <c r="P986" s="68">
        <v>46050.834259259304</v>
      </c>
    </row>
    <row r="987" spans="1:22" s="38" customFormat="1" ht="14.4" customHeight="1" x14ac:dyDescent="0.25">
      <c r="A987" s="44">
        <v>986</v>
      </c>
      <c r="B987" s="45" t="s">
        <v>85</v>
      </c>
      <c r="C987" s="46" t="s">
        <v>270</v>
      </c>
      <c r="D987" s="38" t="s">
        <v>261</v>
      </c>
      <c r="E987" s="61"/>
      <c r="H987" s="59" t="s">
        <v>90</v>
      </c>
      <c r="I987" s="60">
        <v>12000</v>
      </c>
      <c r="K987" s="62"/>
      <c r="L987" s="63"/>
      <c r="M987" s="57"/>
    </row>
    <row r="988" spans="1:22" s="38" customFormat="1" ht="14.4" customHeight="1" x14ac:dyDescent="0.25">
      <c r="A988" s="44">
        <v>987</v>
      </c>
      <c r="B988" s="45" t="s">
        <v>85</v>
      </c>
      <c r="C988" s="46" t="s">
        <v>270</v>
      </c>
      <c r="D988" s="38" t="s">
        <v>262</v>
      </c>
      <c r="E988" s="61"/>
      <c r="H988" s="59" t="s">
        <v>90</v>
      </c>
      <c r="I988" s="60">
        <v>12000</v>
      </c>
      <c r="K988" s="62"/>
      <c r="L988" s="63"/>
      <c r="M988" s="57"/>
    </row>
    <row r="989" spans="1:22" s="38" customFormat="1" ht="14.4" customHeight="1" x14ac:dyDescent="0.25">
      <c r="A989" s="44">
        <v>988</v>
      </c>
      <c r="B989" s="45" t="s">
        <v>85</v>
      </c>
      <c r="C989" s="46" t="s">
        <v>270</v>
      </c>
      <c r="D989" s="38" t="s">
        <v>263</v>
      </c>
      <c r="E989" s="61"/>
      <c r="H989" s="59" t="s">
        <v>90</v>
      </c>
      <c r="I989" s="60">
        <v>12000</v>
      </c>
      <c r="K989" s="62"/>
      <c r="L989" s="63"/>
      <c r="M989" s="57"/>
    </row>
  </sheetData>
  <autoFilter ref="A1:J989"/>
  <phoneticPr fontId="28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X40"/>
  <sheetViews>
    <sheetView showGridLines="0" topLeftCell="A13" zoomScale="85" zoomScaleNormal="85" workbookViewId="0">
      <selection activeCell="Q33" sqref="Q33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4.77734375" customWidth="1"/>
    <col min="7" max="7" width="3.6640625" customWidth="1"/>
    <col min="8" max="8" width="7.4414062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5.44140625" customWidth="1"/>
    <col min="21" max="21" width="5.10937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16.109375" style="3" customWidth="1"/>
    <col min="47" max="47" width="16.109375" style="4" customWidth="1"/>
    <col min="48" max="48" width="4.44140625" style="4" customWidth="1"/>
    <col min="49" max="49" width="5.109375" customWidth="1"/>
  </cols>
  <sheetData>
    <row r="1" spans="2:50" x14ac:dyDescent="0.25">
      <c r="AS1" s="158"/>
      <c r="AU1" s="5"/>
      <c r="AV1" s="5"/>
      <c r="AW1" s="1"/>
      <c r="AX1" s="1"/>
    </row>
    <row r="2" spans="2:50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U2" s="5"/>
      <c r="AV2" s="5"/>
      <c r="AW2" s="6"/>
      <c r="AX2" s="1"/>
    </row>
    <row r="3" spans="2:50" ht="25.05" customHeight="1" x14ac:dyDescent="0.25">
      <c r="B3" s="143" t="s">
        <v>281</v>
      </c>
      <c r="C3" s="144"/>
      <c r="D3" s="1"/>
      <c r="E3" s="1"/>
      <c r="F3" s="1"/>
      <c r="G3" s="1"/>
      <c r="H3" s="1"/>
      <c r="I3" s="143" t="s">
        <v>282</v>
      </c>
      <c r="J3" s="144"/>
      <c r="K3" s="143" t="s">
        <v>283</v>
      </c>
      <c r="L3" s="144"/>
      <c r="M3" s="1"/>
      <c r="N3" s="1"/>
      <c r="O3" s="1"/>
      <c r="P3" s="143" t="s">
        <v>284</v>
      </c>
      <c r="Q3" s="144"/>
      <c r="R3" s="1"/>
      <c r="S3" s="1"/>
      <c r="T3" s="143" t="s">
        <v>285</v>
      </c>
      <c r="U3" s="144"/>
      <c r="V3" s="1"/>
      <c r="W3" s="1"/>
      <c r="X3" s="1"/>
      <c r="Y3" s="143" t="s">
        <v>286</v>
      </c>
      <c r="Z3" s="144"/>
      <c r="AA3" s="143" t="s">
        <v>287</v>
      </c>
      <c r="AB3" s="144"/>
      <c r="AC3" s="1"/>
      <c r="AD3" s="1"/>
      <c r="AE3" s="1"/>
      <c r="AF3" s="1"/>
      <c r="AG3" s="143" t="s">
        <v>288</v>
      </c>
      <c r="AH3" s="144"/>
      <c r="AI3" s="1"/>
      <c r="AJ3" s="1"/>
      <c r="AK3" s="143" t="s">
        <v>289</v>
      </c>
      <c r="AL3" s="144"/>
      <c r="AM3" s="1"/>
      <c r="AN3" s="1"/>
      <c r="AO3" s="1"/>
      <c r="AP3" s="143" t="s">
        <v>290</v>
      </c>
      <c r="AQ3" s="144"/>
      <c r="AR3" s="10"/>
      <c r="AS3" s="158"/>
      <c r="AU3" s="5"/>
      <c r="AX3" s="1"/>
    </row>
    <row r="4" spans="2:50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3"/>
      <c r="AU4" s="5"/>
    </row>
    <row r="5" spans="2:50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U5" s="5"/>
      <c r="AV5" s="5"/>
      <c r="AW5" s="11"/>
    </row>
    <row r="6" spans="2:50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295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U6" s="5"/>
      <c r="AV6" s="5"/>
      <c r="AW6" s="1"/>
    </row>
    <row r="7" spans="2:50" x14ac:dyDescent="0.25">
      <c r="B7" s="17"/>
      <c r="C7" s="18"/>
      <c r="D7" s="151" t="s">
        <v>305</v>
      </c>
      <c r="E7" s="151"/>
      <c r="F7" s="18"/>
      <c r="G7" s="18"/>
      <c r="H7" s="151" t="s">
        <v>304</v>
      </c>
      <c r="I7" s="151"/>
      <c r="J7" s="18"/>
      <c r="K7" s="18"/>
      <c r="L7" s="151" t="s">
        <v>303</v>
      </c>
      <c r="M7" s="151"/>
      <c r="N7" s="18"/>
      <c r="O7" s="18"/>
      <c r="P7" s="151" t="s">
        <v>302</v>
      </c>
      <c r="Q7" s="151"/>
      <c r="R7" s="18"/>
      <c r="S7" s="18"/>
      <c r="T7" s="151" t="s">
        <v>301</v>
      </c>
      <c r="U7" s="151"/>
      <c r="V7" s="18"/>
      <c r="W7" s="18"/>
      <c r="X7" s="151" t="s">
        <v>300</v>
      </c>
      <c r="Y7" s="151"/>
      <c r="Z7" s="18"/>
      <c r="AA7" s="18"/>
      <c r="AB7" s="151" t="s">
        <v>299</v>
      </c>
      <c r="AC7" s="151"/>
      <c r="AD7" s="18"/>
      <c r="AE7" s="18"/>
      <c r="AF7" s="151" t="s">
        <v>298</v>
      </c>
      <c r="AG7" s="151"/>
      <c r="AH7" s="18"/>
      <c r="AI7" s="18"/>
      <c r="AJ7" s="151" t="s">
        <v>297</v>
      </c>
      <c r="AK7" s="151"/>
      <c r="AL7" s="18"/>
      <c r="AM7" s="18"/>
      <c r="AN7" s="151" t="s">
        <v>296</v>
      </c>
      <c r="AO7" s="151"/>
      <c r="AP7" s="18"/>
      <c r="AQ7" s="19"/>
      <c r="AR7" s="20"/>
      <c r="AU7" s="5"/>
      <c r="AV7" s="5"/>
      <c r="AW7" s="1"/>
    </row>
    <row r="8" spans="2:50" x14ac:dyDescent="0.25">
      <c r="B8" s="15"/>
      <c r="D8" s="21" t="s">
        <v>306</v>
      </c>
      <c r="E8" s="21" t="s">
        <v>307</v>
      </c>
      <c r="F8" s="4"/>
      <c r="G8" s="4"/>
      <c r="H8" s="21" t="s">
        <v>307</v>
      </c>
      <c r="I8" s="21" t="s">
        <v>306</v>
      </c>
      <c r="J8" s="4"/>
      <c r="K8" s="4"/>
      <c r="L8" s="21" t="s">
        <v>306</v>
      </c>
      <c r="M8" s="21" t="s">
        <v>307</v>
      </c>
      <c r="N8" s="4"/>
      <c r="O8" s="4"/>
      <c r="P8" s="21" t="s">
        <v>307</v>
      </c>
      <c r="Q8" s="21" t="s">
        <v>306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306</v>
      </c>
      <c r="AC8" s="21" t="s">
        <v>308</v>
      </c>
      <c r="AD8" s="4"/>
      <c r="AE8" s="4"/>
      <c r="AF8" s="21" t="s">
        <v>309</v>
      </c>
      <c r="AG8" s="21" t="s">
        <v>310</v>
      </c>
      <c r="AH8" s="4"/>
      <c r="AI8" s="4"/>
      <c r="AJ8" s="21" t="s">
        <v>306</v>
      </c>
      <c r="AK8" s="21" t="s">
        <v>307</v>
      </c>
      <c r="AL8" s="4"/>
      <c r="AM8" s="4"/>
      <c r="AN8" s="21" t="s">
        <v>307</v>
      </c>
      <c r="AO8" s="21" t="s">
        <v>311</v>
      </c>
      <c r="AP8" s="1"/>
      <c r="AQ8" s="22"/>
      <c r="AU8" s="5"/>
      <c r="AV8" s="5"/>
      <c r="AW8" s="1"/>
    </row>
    <row r="9" spans="2:50" x14ac:dyDescent="0.25">
      <c r="B9" s="15"/>
      <c r="D9" s="154" t="s">
        <v>87</v>
      </c>
      <c r="E9" s="154"/>
      <c r="F9" s="23"/>
      <c r="G9" s="23"/>
      <c r="H9" s="152" t="s">
        <v>105</v>
      </c>
      <c r="I9" s="153"/>
      <c r="L9" s="152" t="s">
        <v>126</v>
      </c>
      <c r="M9" s="153"/>
      <c r="N9" s="23"/>
      <c r="O9" s="23"/>
      <c r="P9" s="152" t="s">
        <v>143</v>
      </c>
      <c r="Q9" s="153"/>
      <c r="T9" s="152" t="s">
        <v>162</v>
      </c>
      <c r="U9" s="153"/>
      <c r="V9" s="23"/>
      <c r="W9" s="23"/>
      <c r="X9" s="152" t="s">
        <v>178</v>
      </c>
      <c r="Y9" s="153"/>
      <c r="AB9" s="152" t="s">
        <v>196</v>
      </c>
      <c r="AC9" s="153"/>
      <c r="AD9" s="23"/>
      <c r="AE9" s="23"/>
      <c r="AF9" s="152" t="s">
        <v>212</v>
      </c>
      <c r="AG9" s="153"/>
      <c r="AJ9" s="152" t="s">
        <v>230</v>
      </c>
      <c r="AK9" s="153"/>
      <c r="AL9" s="23"/>
      <c r="AM9" s="23"/>
      <c r="AN9" s="152" t="s">
        <v>246</v>
      </c>
      <c r="AO9" s="153"/>
      <c r="AP9" s="1"/>
      <c r="AQ9" s="22"/>
      <c r="AU9" s="5"/>
      <c r="AV9" s="5"/>
      <c r="AW9" s="1"/>
    </row>
    <row r="10" spans="2:50" x14ac:dyDescent="0.25">
      <c r="B10" s="15"/>
      <c r="D10" s="154" t="s">
        <v>89</v>
      </c>
      <c r="E10" s="154"/>
      <c r="F10" s="23"/>
      <c r="G10" s="23"/>
      <c r="H10" s="154" t="s">
        <v>109</v>
      </c>
      <c r="I10" s="154"/>
      <c r="L10" s="152" t="s">
        <v>128</v>
      </c>
      <c r="M10" s="153"/>
      <c r="N10" s="23"/>
      <c r="O10" s="23"/>
      <c r="P10" s="152" t="s">
        <v>144</v>
      </c>
      <c r="Q10" s="153"/>
      <c r="T10" s="152" t="s">
        <v>163</v>
      </c>
      <c r="U10" s="153"/>
      <c r="V10" s="23"/>
      <c r="W10" s="23"/>
      <c r="X10" s="152" t="s">
        <v>179</v>
      </c>
      <c r="Y10" s="153"/>
      <c r="AB10" s="152" t="s">
        <v>197</v>
      </c>
      <c r="AC10" s="153"/>
      <c r="AD10" s="23"/>
      <c r="AE10" s="23"/>
      <c r="AF10" s="152" t="s">
        <v>213</v>
      </c>
      <c r="AG10" s="153"/>
      <c r="AJ10" s="152" t="s">
        <v>231</v>
      </c>
      <c r="AK10" s="153"/>
      <c r="AL10" s="23"/>
      <c r="AM10" s="23"/>
      <c r="AN10" s="152" t="s">
        <v>247</v>
      </c>
      <c r="AO10" s="153"/>
      <c r="AP10" s="1"/>
      <c r="AQ10" s="22"/>
      <c r="AR10" s="24"/>
      <c r="AU10" s="5"/>
    </row>
    <row r="11" spans="2:50" x14ac:dyDescent="0.25">
      <c r="B11" s="15"/>
      <c r="D11" s="154" t="s">
        <v>91</v>
      </c>
      <c r="E11" s="154"/>
      <c r="F11" s="23"/>
      <c r="G11" s="23"/>
      <c r="H11" s="152" t="s">
        <v>110</v>
      </c>
      <c r="I11" s="153"/>
      <c r="L11" s="152" t="s">
        <v>129</v>
      </c>
      <c r="M11" s="153"/>
      <c r="N11" s="23"/>
      <c r="O11" s="23"/>
      <c r="P11" s="152" t="s">
        <v>145</v>
      </c>
      <c r="Q11" s="153"/>
      <c r="T11" s="152" t="s">
        <v>164</v>
      </c>
      <c r="U11" s="153"/>
      <c r="V11" s="23"/>
      <c r="W11" s="23"/>
      <c r="X11" s="152" t="s">
        <v>180</v>
      </c>
      <c r="Y11" s="153"/>
      <c r="AB11" s="152" t="s">
        <v>198</v>
      </c>
      <c r="AC11" s="153"/>
      <c r="AD11" s="23"/>
      <c r="AE11" s="23"/>
      <c r="AF11" s="152" t="s">
        <v>214</v>
      </c>
      <c r="AG11" s="153"/>
      <c r="AJ11" s="152" t="s">
        <v>232</v>
      </c>
      <c r="AK11" s="153"/>
      <c r="AL11" s="23"/>
      <c r="AM11" s="23"/>
      <c r="AN11" s="152" t="s">
        <v>248</v>
      </c>
      <c r="AO11" s="153"/>
      <c r="AP11" s="1"/>
      <c r="AQ11" s="22"/>
      <c r="AU11" s="5"/>
    </row>
    <row r="12" spans="2:50" x14ac:dyDescent="0.25">
      <c r="B12" s="15"/>
      <c r="D12" s="154" t="s">
        <v>92</v>
      </c>
      <c r="E12" s="154"/>
      <c r="F12" s="23"/>
      <c r="G12" s="23"/>
      <c r="H12" s="152" t="s">
        <v>111</v>
      </c>
      <c r="I12" s="153"/>
      <c r="L12" s="152" t="s">
        <v>130</v>
      </c>
      <c r="M12" s="153"/>
      <c r="N12" s="23"/>
      <c r="O12" s="23"/>
      <c r="P12" s="152" t="s">
        <v>147</v>
      </c>
      <c r="Q12" s="153"/>
      <c r="T12" s="152" t="s">
        <v>165</v>
      </c>
      <c r="U12" s="153"/>
      <c r="V12" s="23"/>
      <c r="W12" s="23"/>
      <c r="X12" s="152" t="s">
        <v>181</v>
      </c>
      <c r="Y12" s="153"/>
      <c r="AB12" s="152" t="s">
        <v>199</v>
      </c>
      <c r="AC12" s="153"/>
      <c r="AD12" s="23"/>
      <c r="AE12" s="23"/>
      <c r="AF12" s="152" t="s">
        <v>215</v>
      </c>
      <c r="AG12" s="153"/>
      <c r="AJ12" s="152" t="s">
        <v>233</v>
      </c>
      <c r="AK12" s="153"/>
      <c r="AL12" s="23"/>
      <c r="AM12" s="23"/>
      <c r="AN12" s="152" t="s">
        <v>249</v>
      </c>
      <c r="AO12" s="153"/>
      <c r="AP12" s="1"/>
      <c r="AQ12" s="22"/>
      <c r="AU12" s="5"/>
    </row>
    <row r="13" spans="2:50" x14ac:dyDescent="0.25">
      <c r="B13" s="15"/>
      <c r="D13" s="154" t="s">
        <v>93</v>
      </c>
      <c r="E13" s="154"/>
      <c r="F13" s="23"/>
      <c r="G13" s="23"/>
      <c r="H13" s="152" t="s">
        <v>112</v>
      </c>
      <c r="I13" s="153"/>
      <c r="L13" s="152" t="s">
        <v>131</v>
      </c>
      <c r="M13" s="153"/>
      <c r="N13" s="23"/>
      <c r="O13" s="23"/>
      <c r="P13" s="152" t="s">
        <v>148</v>
      </c>
      <c r="Q13" s="153"/>
      <c r="T13" s="152" t="s">
        <v>166</v>
      </c>
      <c r="U13" s="153"/>
      <c r="V13" s="23"/>
      <c r="W13" s="23"/>
      <c r="X13" s="152" t="s">
        <v>182</v>
      </c>
      <c r="Y13" s="153"/>
      <c r="AB13" s="152" t="s">
        <v>200</v>
      </c>
      <c r="AC13" s="153"/>
      <c r="AD13" s="23"/>
      <c r="AE13" s="23"/>
      <c r="AF13" s="152" t="s">
        <v>216</v>
      </c>
      <c r="AG13" s="153"/>
      <c r="AJ13" s="152" t="s">
        <v>234</v>
      </c>
      <c r="AK13" s="153"/>
      <c r="AL13" s="23"/>
      <c r="AM13" s="23"/>
      <c r="AN13" s="152" t="s">
        <v>250</v>
      </c>
      <c r="AO13" s="153"/>
      <c r="AP13" s="1"/>
      <c r="AQ13" s="22"/>
    </row>
    <row r="14" spans="2:50" x14ac:dyDescent="0.25">
      <c r="B14" s="15"/>
      <c r="D14" s="154" t="s">
        <v>94</v>
      </c>
      <c r="E14" s="154"/>
      <c r="F14" s="23"/>
      <c r="G14" s="23"/>
      <c r="H14" s="152" t="s">
        <v>113</v>
      </c>
      <c r="I14" s="153"/>
      <c r="L14" s="152" t="s">
        <v>132</v>
      </c>
      <c r="M14" s="153"/>
      <c r="N14" s="23"/>
      <c r="O14" s="23"/>
      <c r="P14" s="152" t="s">
        <v>149</v>
      </c>
      <c r="Q14" s="153"/>
      <c r="T14" s="152" t="s">
        <v>167</v>
      </c>
      <c r="U14" s="153"/>
      <c r="V14" s="23"/>
      <c r="W14" s="23"/>
      <c r="X14" s="152" t="s">
        <v>183</v>
      </c>
      <c r="Y14" s="153"/>
      <c r="AB14" s="152" t="s">
        <v>201</v>
      </c>
      <c r="AC14" s="153"/>
      <c r="AD14" s="23"/>
      <c r="AE14" s="23"/>
      <c r="AF14" s="152" t="s">
        <v>217</v>
      </c>
      <c r="AG14" s="153"/>
      <c r="AJ14" s="152" t="s">
        <v>235</v>
      </c>
      <c r="AK14" s="153"/>
      <c r="AL14" s="23"/>
      <c r="AM14" s="23"/>
      <c r="AN14" s="152" t="s">
        <v>251</v>
      </c>
      <c r="AO14" s="153"/>
      <c r="AP14" s="1"/>
      <c r="AQ14" s="22"/>
    </row>
    <row r="15" spans="2:50" x14ac:dyDescent="0.25">
      <c r="B15" s="15"/>
      <c r="D15" s="154" t="s">
        <v>95</v>
      </c>
      <c r="E15" s="154"/>
      <c r="F15" s="23"/>
      <c r="G15" s="23"/>
      <c r="H15" s="152" t="s">
        <v>114</v>
      </c>
      <c r="I15" s="153"/>
      <c r="L15" s="152" t="s">
        <v>133</v>
      </c>
      <c r="M15" s="153"/>
      <c r="N15" s="23"/>
      <c r="O15" s="23"/>
      <c r="P15" s="152" t="s">
        <v>150</v>
      </c>
      <c r="Q15" s="153"/>
      <c r="T15" s="152" t="s">
        <v>168</v>
      </c>
      <c r="U15" s="153"/>
      <c r="V15" s="23"/>
      <c r="W15" s="23"/>
      <c r="X15" s="152" t="s">
        <v>184</v>
      </c>
      <c r="Y15" s="153"/>
      <c r="AB15" s="152" t="s">
        <v>202</v>
      </c>
      <c r="AC15" s="153"/>
      <c r="AD15" s="23"/>
      <c r="AE15" s="23"/>
      <c r="AF15" s="152" t="s">
        <v>218</v>
      </c>
      <c r="AG15" s="153"/>
      <c r="AJ15" s="152" t="s">
        <v>236</v>
      </c>
      <c r="AK15" s="153"/>
      <c r="AL15" s="23"/>
      <c r="AM15" s="23"/>
      <c r="AN15" s="152" t="s">
        <v>252</v>
      </c>
      <c r="AO15" s="153"/>
      <c r="AP15" s="1"/>
      <c r="AQ15" s="22"/>
    </row>
    <row r="16" spans="2:50" x14ac:dyDescent="0.25">
      <c r="B16" s="15"/>
      <c r="D16" s="154" t="s">
        <v>96</v>
      </c>
      <c r="E16" s="154"/>
      <c r="F16" s="23"/>
      <c r="G16" s="23"/>
      <c r="H16" s="152" t="s">
        <v>115</v>
      </c>
      <c r="I16" s="153"/>
      <c r="L16" s="152" t="s">
        <v>134</v>
      </c>
      <c r="M16" s="153"/>
      <c r="N16" s="23"/>
      <c r="O16" s="23"/>
      <c r="P16" s="152" t="s">
        <v>151</v>
      </c>
      <c r="Q16" s="153"/>
      <c r="T16" s="152" t="s">
        <v>169</v>
      </c>
      <c r="U16" s="153"/>
      <c r="V16" s="23"/>
      <c r="W16" s="23"/>
      <c r="X16" s="152" t="s">
        <v>185</v>
      </c>
      <c r="Y16" s="153"/>
      <c r="AB16" s="152" t="s">
        <v>203</v>
      </c>
      <c r="AC16" s="153"/>
      <c r="AD16" s="23"/>
      <c r="AE16" s="23"/>
      <c r="AF16" s="152" t="s">
        <v>219</v>
      </c>
      <c r="AG16" s="153"/>
      <c r="AJ16" s="152" t="s">
        <v>237</v>
      </c>
      <c r="AK16" s="153"/>
      <c r="AL16" s="23"/>
      <c r="AM16" s="23"/>
      <c r="AN16" s="152" t="s">
        <v>253</v>
      </c>
      <c r="AO16" s="153"/>
      <c r="AP16" s="1"/>
      <c r="AQ16" s="22"/>
    </row>
    <row r="17" spans="2:43" x14ac:dyDescent="0.25">
      <c r="B17" s="15"/>
      <c r="D17" s="154" t="s">
        <v>97</v>
      </c>
      <c r="E17" s="154"/>
      <c r="F17" s="23"/>
      <c r="G17" s="23"/>
      <c r="H17" s="152" t="s">
        <v>116</v>
      </c>
      <c r="I17" s="153"/>
      <c r="L17" s="152" t="s">
        <v>135</v>
      </c>
      <c r="M17" s="153"/>
      <c r="N17" s="23"/>
      <c r="O17" s="23"/>
      <c r="P17" s="152" t="s">
        <v>152</v>
      </c>
      <c r="Q17" s="153"/>
      <c r="T17" s="152" t="s">
        <v>170</v>
      </c>
      <c r="U17" s="153"/>
      <c r="V17" s="23"/>
      <c r="W17" s="23"/>
      <c r="X17" s="152" t="s">
        <v>186</v>
      </c>
      <c r="Y17" s="153"/>
      <c r="AB17" s="152" t="s">
        <v>204</v>
      </c>
      <c r="AC17" s="153"/>
      <c r="AD17" s="23"/>
      <c r="AE17" s="23"/>
      <c r="AF17" s="152" t="s">
        <v>220</v>
      </c>
      <c r="AG17" s="153"/>
      <c r="AJ17" s="152" t="s">
        <v>238</v>
      </c>
      <c r="AK17" s="153"/>
      <c r="AL17" s="23"/>
      <c r="AM17" s="23"/>
      <c r="AN17" s="152" t="s">
        <v>254</v>
      </c>
      <c r="AO17" s="153"/>
      <c r="AP17" s="1"/>
      <c r="AQ17" s="22"/>
    </row>
    <row r="18" spans="2:43" x14ac:dyDescent="0.25">
      <c r="B18" s="15"/>
      <c r="D18" s="154" t="s">
        <v>98</v>
      </c>
      <c r="E18" s="154"/>
      <c r="F18" s="23"/>
      <c r="G18" s="23"/>
      <c r="H18" s="152" t="s">
        <v>117</v>
      </c>
      <c r="I18" s="153"/>
      <c r="L18" s="152" t="s">
        <v>136</v>
      </c>
      <c r="M18" s="153"/>
      <c r="N18" s="23"/>
      <c r="O18" s="23"/>
      <c r="P18" s="152" t="s">
        <v>153</v>
      </c>
      <c r="Q18" s="153"/>
      <c r="T18" s="152" t="s">
        <v>171</v>
      </c>
      <c r="U18" s="153"/>
      <c r="V18" s="23"/>
      <c r="W18" s="23"/>
      <c r="X18" s="152" t="s">
        <v>187</v>
      </c>
      <c r="Y18" s="153"/>
      <c r="AB18" s="152" t="s">
        <v>205</v>
      </c>
      <c r="AC18" s="153"/>
      <c r="AD18" s="23"/>
      <c r="AE18" s="23"/>
      <c r="AF18" s="152" t="s">
        <v>221</v>
      </c>
      <c r="AG18" s="153"/>
      <c r="AJ18" s="152" t="s">
        <v>239</v>
      </c>
      <c r="AK18" s="153"/>
      <c r="AL18" s="23"/>
      <c r="AM18" s="23"/>
      <c r="AN18" s="152" t="s">
        <v>255</v>
      </c>
      <c r="AO18" s="153"/>
      <c r="AP18" s="1"/>
      <c r="AQ18" s="22"/>
    </row>
    <row r="19" spans="2:43" x14ac:dyDescent="0.25">
      <c r="B19" s="15"/>
      <c r="D19" s="155"/>
      <c r="E19" s="155"/>
      <c r="F19" s="23"/>
      <c r="G19" s="23"/>
      <c r="H19" s="152" t="s">
        <v>118</v>
      </c>
      <c r="I19" s="153"/>
      <c r="L19" s="155"/>
      <c r="M19" s="155"/>
      <c r="N19" s="23"/>
      <c r="O19" s="23"/>
      <c r="P19" s="152" t="s">
        <v>154</v>
      </c>
      <c r="Q19" s="153"/>
      <c r="T19" s="155"/>
      <c r="U19" s="155"/>
      <c r="V19" s="23"/>
      <c r="W19" s="23"/>
      <c r="X19" s="152" t="s">
        <v>188</v>
      </c>
      <c r="Y19" s="153"/>
      <c r="AB19" s="155"/>
      <c r="AC19" s="155"/>
      <c r="AD19" s="23"/>
      <c r="AE19" s="23"/>
      <c r="AF19" s="152" t="s">
        <v>222</v>
      </c>
      <c r="AG19" s="153"/>
      <c r="AJ19" s="155"/>
      <c r="AK19" s="155"/>
      <c r="AL19" s="23"/>
      <c r="AM19" s="23"/>
      <c r="AN19" s="152" t="s">
        <v>256</v>
      </c>
      <c r="AO19" s="153"/>
      <c r="AP19" s="1"/>
      <c r="AQ19" s="22"/>
    </row>
    <row r="20" spans="2:43" x14ac:dyDescent="0.25">
      <c r="B20" s="15"/>
      <c r="D20" s="155"/>
      <c r="E20" s="155"/>
      <c r="F20" s="23"/>
      <c r="G20" s="23"/>
      <c r="H20" s="152" t="s">
        <v>119</v>
      </c>
      <c r="I20" s="153"/>
      <c r="L20" s="155"/>
      <c r="M20" s="155"/>
      <c r="N20" s="23"/>
      <c r="O20" s="23"/>
      <c r="P20" s="152" t="s">
        <v>155</v>
      </c>
      <c r="Q20" s="153"/>
      <c r="T20" s="155"/>
      <c r="U20" s="155"/>
      <c r="V20" s="23"/>
      <c r="W20" s="23"/>
      <c r="X20" s="152" t="s">
        <v>189</v>
      </c>
      <c r="Y20" s="153"/>
      <c r="AB20" s="155"/>
      <c r="AC20" s="155"/>
      <c r="AD20" s="23"/>
      <c r="AE20" s="23"/>
      <c r="AF20" s="152" t="s">
        <v>223</v>
      </c>
      <c r="AG20" s="153"/>
      <c r="AJ20" s="155"/>
      <c r="AK20" s="155"/>
      <c r="AL20" s="23"/>
      <c r="AM20" s="23"/>
      <c r="AN20" s="152" t="s">
        <v>257</v>
      </c>
      <c r="AO20" s="153"/>
      <c r="AP20" s="25"/>
      <c r="AQ20" s="22"/>
    </row>
    <row r="21" spans="2:43" x14ac:dyDescent="0.25">
      <c r="B21" s="15"/>
      <c r="D21" s="154" t="s">
        <v>99</v>
      </c>
      <c r="E21" s="154"/>
      <c r="F21" s="23"/>
      <c r="G21" s="23"/>
      <c r="H21" s="152" t="s">
        <v>120</v>
      </c>
      <c r="I21" s="153"/>
      <c r="L21" s="152" t="s">
        <v>137</v>
      </c>
      <c r="M21" s="153"/>
      <c r="N21" s="23"/>
      <c r="O21" s="23"/>
      <c r="P21" s="152" t="s">
        <v>156</v>
      </c>
      <c r="Q21" s="153"/>
      <c r="T21" s="152" t="s">
        <v>172</v>
      </c>
      <c r="U21" s="153"/>
      <c r="V21" s="23"/>
      <c r="W21" s="23"/>
      <c r="X21" s="152" t="s">
        <v>190</v>
      </c>
      <c r="Y21" s="153"/>
      <c r="AB21" s="152" t="s">
        <v>206</v>
      </c>
      <c r="AC21" s="153"/>
      <c r="AD21" s="23"/>
      <c r="AE21" s="23"/>
      <c r="AF21" s="152" t="s">
        <v>224</v>
      </c>
      <c r="AG21" s="153"/>
      <c r="AJ21" s="152" t="s">
        <v>240</v>
      </c>
      <c r="AK21" s="153"/>
      <c r="AL21" s="23"/>
      <c r="AM21" s="23"/>
      <c r="AN21" s="152" t="s">
        <v>258</v>
      </c>
      <c r="AO21" s="153"/>
      <c r="AP21" s="1"/>
      <c r="AQ21" s="22"/>
    </row>
    <row r="22" spans="2:43" x14ac:dyDescent="0.25">
      <c r="B22" s="15"/>
      <c r="D22" s="154" t="s">
        <v>100</v>
      </c>
      <c r="E22" s="154"/>
      <c r="F22" s="23"/>
      <c r="G22" s="23"/>
      <c r="H22" s="152" t="s">
        <v>121</v>
      </c>
      <c r="I22" s="153"/>
      <c r="L22" s="152" t="s">
        <v>138</v>
      </c>
      <c r="M22" s="153"/>
      <c r="N22" s="23"/>
      <c r="O22" s="23"/>
      <c r="P22" s="152" t="s">
        <v>157</v>
      </c>
      <c r="Q22" s="153"/>
      <c r="T22" s="152" t="s">
        <v>173</v>
      </c>
      <c r="U22" s="153"/>
      <c r="V22" s="23"/>
      <c r="W22" s="23"/>
      <c r="X22" s="152" t="s">
        <v>191</v>
      </c>
      <c r="Y22" s="153"/>
      <c r="AB22" s="152" t="s">
        <v>207</v>
      </c>
      <c r="AC22" s="153"/>
      <c r="AD22" s="23"/>
      <c r="AE22" s="23"/>
      <c r="AF22" s="152" t="s">
        <v>225</v>
      </c>
      <c r="AG22" s="153"/>
      <c r="AJ22" s="152" t="s">
        <v>241</v>
      </c>
      <c r="AK22" s="153"/>
      <c r="AL22" s="23"/>
      <c r="AM22" s="23"/>
      <c r="AN22" s="152" t="s">
        <v>259</v>
      </c>
      <c r="AO22" s="153"/>
      <c r="AP22" s="1"/>
      <c r="AQ22" s="22"/>
    </row>
    <row r="23" spans="2:43" x14ac:dyDescent="0.25">
      <c r="B23" s="15"/>
      <c r="D23" s="154" t="s">
        <v>101</v>
      </c>
      <c r="E23" s="154"/>
      <c r="F23" s="23"/>
      <c r="G23" s="23"/>
      <c r="H23" s="152" t="s">
        <v>122</v>
      </c>
      <c r="I23" s="153"/>
      <c r="L23" s="152" t="s">
        <v>139</v>
      </c>
      <c r="M23" s="153"/>
      <c r="N23" s="23"/>
      <c r="O23" s="23"/>
      <c r="P23" s="152" t="s">
        <v>158</v>
      </c>
      <c r="Q23" s="153"/>
      <c r="T23" s="152" t="s">
        <v>174</v>
      </c>
      <c r="U23" s="153"/>
      <c r="V23" s="23"/>
      <c r="W23" s="23"/>
      <c r="X23" s="152" t="s">
        <v>192</v>
      </c>
      <c r="Y23" s="153"/>
      <c r="AB23" s="152" t="s">
        <v>208</v>
      </c>
      <c r="AC23" s="153"/>
      <c r="AD23" s="23"/>
      <c r="AE23" s="23"/>
      <c r="AF23" s="152" t="s">
        <v>226</v>
      </c>
      <c r="AG23" s="153"/>
      <c r="AJ23" s="152" t="s">
        <v>242</v>
      </c>
      <c r="AK23" s="153"/>
      <c r="AL23" s="23"/>
      <c r="AM23" s="23"/>
      <c r="AN23" s="156" t="s">
        <v>425</v>
      </c>
      <c r="AO23" s="153"/>
      <c r="AP23" s="1"/>
      <c r="AQ23" s="22"/>
    </row>
    <row r="24" spans="2:43" x14ac:dyDescent="0.25">
      <c r="B24" s="15"/>
      <c r="D24" s="154" t="s">
        <v>102</v>
      </c>
      <c r="E24" s="154"/>
      <c r="F24" s="23"/>
      <c r="G24" s="23"/>
      <c r="H24" s="152" t="s">
        <v>123</v>
      </c>
      <c r="I24" s="153"/>
      <c r="L24" s="152" t="s">
        <v>140</v>
      </c>
      <c r="M24" s="153"/>
      <c r="N24" s="23"/>
      <c r="O24" s="23"/>
      <c r="P24" s="152" t="s">
        <v>159</v>
      </c>
      <c r="Q24" s="153"/>
      <c r="T24" s="152" t="s">
        <v>175</v>
      </c>
      <c r="U24" s="153"/>
      <c r="V24" s="23"/>
      <c r="W24" s="23"/>
      <c r="X24" s="152" t="s">
        <v>193</v>
      </c>
      <c r="Y24" s="153"/>
      <c r="AB24" s="152" t="s">
        <v>209</v>
      </c>
      <c r="AC24" s="153"/>
      <c r="AD24" s="23"/>
      <c r="AE24" s="23"/>
      <c r="AF24" s="152" t="s">
        <v>227</v>
      </c>
      <c r="AG24" s="153"/>
      <c r="AJ24" s="152" t="s">
        <v>243</v>
      </c>
      <c r="AK24" s="153"/>
      <c r="AL24" s="23"/>
      <c r="AM24" s="23"/>
      <c r="AN24" s="152" t="s">
        <v>261</v>
      </c>
      <c r="AO24" s="153"/>
      <c r="AP24" s="1"/>
      <c r="AQ24" s="22"/>
    </row>
    <row r="25" spans="2:43" x14ac:dyDescent="0.25">
      <c r="B25" s="15"/>
      <c r="D25" s="154" t="s">
        <v>103</v>
      </c>
      <c r="E25" s="154"/>
      <c r="F25" s="23"/>
      <c r="G25" s="23"/>
      <c r="H25" s="154" t="s">
        <v>124</v>
      </c>
      <c r="I25" s="154"/>
      <c r="L25" s="152" t="s">
        <v>141</v>
      </c>
      <c r="M25" s="153"/>
      <c r="N25" s="23"/>
      <c r="O25" s="23"/>
      <c r="P25" s="152" t="s">
        <v>160</v>
      </c>
      <c r="Q25" s="153"/>
      <c r="T25" s="152" t="s">
        <v>176</v>
      </c>
      <c r="U25" s="153"/>
      <c r="V25" s="23"/>
      <c r="W25" s="23"/>
      <c r="X25" s="154" t="s">
        <v>194</v>
      </c>
      <c r="Y25" s="154"/>
      <c r="AB25" s="152" t="s">
        <v>210</v>
      </c>
      <c r="AC25" s="153"/>
      <c r="AD25" s="23"/>
      <c r="AE25" s="23"/>
      <c r="AF25" s="154" t="s">
        <v>228</v>
      </c>
      <c r="AG25" s="154"/>
      <c r="AJ25" s="156" t="s">
        <v>424</v>
      </c>
      <c r="AK25" s="153"/>
      <c r="AL25" s="23"/>
      <c r="AM25" s="23"/>
      <c r="AN25" s="154" t="s">
        <v>262</v>
      </c>
      <c r="AO25" s="154"/>
      <c r="AP25" s="1"/>
      <c r="AQ25" s="22"/>
    </row>
    <row r="26" spans="2:43" x14ac:dyDescent="0.25">
      <c r="B26" s="15"/>
      <c r="D26" s="154" t="s">
        <v>104</v>
      </c>
      <c r="E26" s="154"/>
      <c r="F26" s="23"/>
      <c r="G26" s="23"/>
      <c r="H26" s="154" t="s">
        <v>125</v>
      </c>
      <c r="I26" s="154"/>
      <c r="L26" s="152" t="s">
        <v>142</v>
      </c>
      <c r="M26" s="153"/>
      <c r="N26" s="23"/>
      <c r="O26" s="23"/>
      <c r="P26" s="154" t="s">
        <v>161</v>
      </c>
      <c r="Q26" s="154"/>
      <c r="T26" s="152" t="s">
        <v>177</v>
      </c>
      <c r="U26" s="153"/>
      <c r="V26" s="23"/>
      <c r="W26" s="23"/>
      <c r="X26" s="154" t="s">
        <v>195</v>
      </c>
      <c r="Y26" s="154"/>
      <c r="AB26" s="152" t="s">
        <v>211</v>
      </c>
      <c r="AC26" s="153"/>
      <c r="AD26" s="23"/>
      <c r="AE26" s="23"/>
      <c r="AF26" s="154" t="s">
        <v>229</v>
      </c>
      <c r="AG26" s="154"/>
      <c r="AJ26" s="152" t="s">
        <v>245</v>
      </c>
      <c r="AK26" s="153"/>
      <c r="AL26" s="23"/>
      <c r="AM26" s="23"/>
      <c r="AN26" s="154" t="s">
        <v>263</v>
      </c>
      <c r="AO26" s="154"/>
      <c r="AP26" s="1"/>
      <c r="AQ26" s="22"/>
    </row>
    <row r="27" spans="2:4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</row>
    <row r="28" spans="2:43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</row>
    <row r="29" spans="2:43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</row>
    <row r="30" spans="2:43" ht="24" customHeight="1" x14ac:dyDescent="0.25">
      <c r="B30" s="143" t="s">
        <v>322</v>
      </c>
      <c r="C30" s="144"/>
      <c r="D30" s="1"/>
      <c r="E30" s="1"/>
      <c r="F30" s="1"/>
      <c r="G30" s="1"/>
      <c r="H30" s="1"/>
      <c r="I30" s="143" t="s">
        <v>323</v>
      </c>
      <c r="J30" s="144"/>
      <c r="K30" s="143" t="s">
        <v>324</v>
      </c>
      <c r="L30" s="144"/>
      <c r="M30" s="1"/>
      <c r="N30" s="1"/>
      <c r="O30" s="1"/>
      <c r="P30" s="143" t="s">
        <v>325</v>
      </c>
      <c r="Q30" s="144"/>
      <c r="R30" s="1"/>
      <c r="S30" s="1"/>
      <c r="T30" s="143" t="s">
        <v>326</v>
      </c>
      <c r="U30" s="144"/>
      <c r="V30" s="1"/>
      <c r="W30" s="1"/>
      <c r="X30" s="1"/>
      <c r="Y30" s="143" t="s">
        <v>327</v>
      </c>
      <c r="Z30" s="144"/>
      <c r="AA30" s="143" t="s">
        <v>328</v>
      </c>
      <c r="AB30" s="144"/>
      <c r="AC30" s="1"/>
      <c r="AD30" s="1"/>
      <c r="AE30" s="1"/>
      <c r="AF30" s="1"/>
      <c r="AG30" s="143" t="s">
        <v>329</v>
      </c>
      <c r="AH30" s="144"/>
      <c r="AI30" s="1"/>
      <c r="AJ30" s="1"/>
      <c r="AK30" s="143" t="s">
        <v>330</v>
      </c>
      <c r="AL30" s="144"/>
      <c r="AM30" s="1"/>
      <c r="AN30" s="1"/>
      <c r="AO30" s="1"/>
      <c r="AP30" s="143" t="s">
        <v>331</v>
      </c>
      <c r="AQ30" s="144"/>
    </row>
    <row r="31" spans="2:43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</row>
    <row r="33" spans="2:11" ht="14.1" customHeight="1" x14ac:dyDescent="0.25">
      <c r="B33" s="159" t="s">
        <v>332</v>
      </c>
      <c r="C33" s="159"/>
      <c r="D33" s="159"/>
      <c r="E33" s="159"/>
      <c r="F33" s="159"/>
      <c r="G33" s="26"/>
      <c r="H33" s="35">
        <f>getcolorcount($D$9:$AO$26,G33)</f>
        <v>52</v>
      </c>
    </row>
    <row r="34" spans="2:11" x14ac:dyDescent="0.25">
      <c r="B34" s="159"/>
      <c r="C34" s="159"/>
      <c r="D34" s="159"/>
      <c r="E34" s="159"/>
      <c r="F34" s="159"/>
      <c r="G34" s="28"/>
      <c r="H34" s="35">
        <f>getcolorcount($D$9:$AO$26,G34)</f>
        <v>288</v>
      </c>
    </row>
    <row r="35" spans="2:11" x14ac:dyDescent="0.25">
      <c r="B35" s="159"/>
      <c r="C35" s="159"/>
      <c r="D35" s="159"/>
      <c r="E35" s="159"/>
      <c r="F35" s="159"/>
      <c r="G35" s="29"/>
      <c r="H35" s="35">
        <f>getcolorcount($D$9:$AO$26,G35)</f>
        <v>52</v>
      </c>
    </row>
    <row r="36" spans="2:11" x14ac:dyDescent="0.25">
      <c r="B36" s="159"/>
      <c r="C36" s="159"/>
      <c r="D36" s="159"/>
      <c r="E36" s="159"/>
      <c r="F36" s="159"/>
      <c r="G36" s="30"/>
      <c r="H36" s="35">
        <f>getcolorcount($D$9:$AO$26,G36)</f>
        <v>288</v>
      </c>
      <c r="J36" s="2"/>
      <c r="K36" s="31"/>
    </row>
    <row r="37" spans="2:11" x14ac:dyDescent="0.25">
      <c r="B37" s="160"/>
      <c r="C37" s="160"/>
      <c r="D37" s="160"/>
      <c r="E37" s="160"/>
      <c r="F37" s="160"/>
      <c r="G37" s="32"/>
      <c r="J37" s="24"/>
      <c r="K37" s="31"/>
    </row>
    <row r="38" spans="2:11" x14ac:dyDescent="0.25">
      <c r="B38" s="157" t="s">
        <v>333</v>
      </c>
      <c r="C38" s="157"/>
      <c r="D38" s="157"/>
      <c r="E38" s="157"/>
      <c r="F38" s="33">
        <v>170</v>
      </c>
      <c r="G38" s="1"/>
      <c r="H38" s="1"/>
    </row>
    <row r="39" spans="2:11" x14ac:dyDescent="0.25">
      <c r="B39" s="157" t="s">
        <v>334</v>
      </c>
      <c r="C39" s="157"/>
      <c r="D39" s="157"/>
      <c r="E39" s="157"/>
      <c r="F39" s="33">
        <f>H36/2</f>
        <v>144</v>
      </c>
      <c r="G39" s="34"/>
      <c r="H39" s="1"/>
    </row>
    <row r="40" spans="2:11" x14ac:dyDescent="0.25">
      <c r="B40" s="157" t="s">
        <v>335</v>
      </c>
      <c r="C40" s="157"/>
      <c r="D40" s="157"/>
      <c r="E40" s="157"/>
      <c r="F40" s="33">
        <f>F38-F39</f>
        <v>26</v>
      </c>
      <c r="G40" s="29"/>
      <c r="H40" s="1"/>
    </row>
  </sheetData>
  <mergeCells count="231"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CI41"/>
  <sheetViews>
    <sheetView showGridLines="0" topLeftCell="A10" zoomScale="70" zoomScaleNormal="70" workbookViewId="0">
      <selection activeCell="J39" sqref="J39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7.44140625" customWidth="1"/>
    <col min="7" max="7" width="3.6640625" customWidth="1"/>
    <col min="8" max="8" width="7.4414062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4.44140625" customWidth="1"/>
    <col min="21" max="21" width="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5.44140625" customWidth="1"/>
    <col min="47" max="47" width="2.6640625" customWidth="1"/>
    <col min="48" max="49" width="4.33203125" customWidth="1"/>
    <col min="50" max="50" width="7.109375" customWidth="1"/>
    <col min="51" max="51" width="5.5546875" customWidth="1"/>
    <col min="52" max="52" width="5.33203125" customWidth="1"/>
    <col min="53" max="53" width="4.33203125" customWidth="1"/>
    <col min="54" max="54" width="4.109375" customWidth="1"/>
    <col min="55" max="55" width="3.5546875" customWidth="1"/>
    <col min="56" max="57" width="4.33203125" customWidth="1"/>
    <col min="58" max="58" width="7.33203125" customWidth="1"/>
    <col min="59" max="59" width="7.109375" customWidth="1"/>
    <col min="60" max="61" width="4.33203125" customWidth="1"/>
    <col min="62" max="62" width="6" customWidth="1"/>
    <col min="63" max="63" width="4.6640625" customWidth="1"/>
    <col min="64" max="64" width="4.33203125" customWidth="1"/>
    <col min="65" max="65" width="15.109375" customWidth="1"/>
    <col min="66" max="66" width="6.6640625" customWidth="1"/>
    <col min="67" max="67" width="7.109375" customWidth="1"/>
    <col min="68" max="69" width="4.33203125" customWidth="1"/>
    <col min="70" max="70" width="6.6640625" customWidth="1"/>
    <col min="71" max="71" width="5.33203125" customWidth="1"/>
    <col min="72" max="73" width="4.33203125" customWidth="1"/>
    <col min="74" max="74" width="7.109375" customWidth="1"/>
    <col min="75" max="75" width="6.6640625" customWidth="1"/>
    <col min="76" max="77" width="4.33203125" customWidth="1"/>
    <col min="78" max="78" width="6.109375" customWidth="1"/>
    <col min="79" max="79" width="3.88671875" customWidth="1"/>
    <col min="80" max="81" width="4.33203125" customWidth="1"/>
    <col min="82" max="82" width="6.109375" customWidth="1"/>
    <col min="83" max="83" width="5.5546875" customWidth="1"/>
    <col min="84" max="85" width="4.33203125" customWidth="1"/>
    <col min="86" max="86" width="4.77734375" customWidth="1"/>
    <col min="87" max="87" width="6.44140625" customWidth="1"/>
  </cols>
  <sheetData>
    <row r="1" spans="2:87" x14ac:dyDescent="0.25">
      <c r="AS1" s="158"/>
    </row>
    <row r="2" spans="2:87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T2" s="7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9"/>
    </row>
    <row r="3" spans="2:87" ht="25.05" customHeight="1" x14ac:dyDescent="0.25">
      <c r="B3" s="143" t="s">
        <v>271</v>
      </c>
      <c r="C3" s="144"/>
      <c r="D3" s="1"/>
      <c r="E3" s="1"/>
      <c r="F3" s="1"/>
      <c r="G3" s="1"/>
      <c r="H3" s="1"/>
      <c r="I3" s="143" t="s">
        <v>272</v>
      </c>
      <c r="J3" s="144"/>
      <c r="K3" s="143" t="s">
        <v>273</v>
      </c>
      <c r="L3" s="144"/>
      <c r="M3" s="1"/>
      <c r="N3" s="1"/>
      <c r="O3" s="1"/>
      <c r="P3" s="143" t="s">
        <v>274</v>
      </c>
      <c r="Q3" s="144"/>
      <c r="R3" s="1"/>
      <c r="S3" s="1"/>
      <c r="T3" s="143" t="s">
        <v>275</v>
      </c>
      <c r="U3" s="144"/>
      <c r="V3" s="1"/>
      <c r="W3" s="1"/>
      <c r="X3" s="1"/>
      <c r="Y3" s="143" t="s">
        <v>276</v>
      </c>
      <c r="Z3" s="144"/>
      <c r="AA3" s="143" t="s">
        <v>277</v>
      </c>
      <c r="AB3" s="144"/>
      <c r="AC3" s="1"/>
      <c r="AD3" s="1"/>
      <c r="AE3" s="1"/>
      <c r="AF3" s="1"/>
      <c r="AG3" s="143" t="s">
        <v>278</v>
      </c>
      <c r="AH3" s="144"/>
      <c r="AI3" s="1"/>
      <c r="AJ3" s="1"/>
      <c r="AK3" s="143" t="s">
        <v>279</v>
      </c>
      <c r="AL3" s="144"/>
      <c r="AM3" s="1"/>
      <c r="AN3" s="1"/>
      <c r="AO3" s="1"/>
      <c r="AP3" s="143" t="s">
        <v>280</v>
      </c>
      <c r="AQ3" s="144"/>
      <c r="AR3" s="10"/>
      <c r="AS3" s="158"/>
      <c r="AT3" s="143" t="s">
        <v>281</v>
      </c>
      <c r="AU3" s="144"/>
      <c r="AV3" s="1"/>
      <c r="AW3" s="1"/>
      <c r="AX3" s="1"/>
      <c r="AY3" s="1"/>
      <c r="AZ3" s="1"/>
      <c r="BA3" s="143" t="s">
        <v>282</v>
      </c>
      <c r="BB3" s="144"/>
      <c r="BC3" s="143" t="s">
        <v>283</v>
      </c>
      <c r="BD3" s="144"/>
      <c r="BE3" s="1"/>
      <c r="BF3" s="1"/>
      <c r="BG3" s="1"/>
      <c r="BH3" s="143" t="s">
        <v>284</v>
      </c>
      <c r="BI3" s="144"/>
      <c r="BJ3" s="1"/>
      <c r="BK3" s="1"/>
      <c r="BL3" s="143" t="s">
        <v>285</v>
      </c>
      <c r="BM3" s="144"/>
      <c r="BN3" s="1"/>
      <c r="BO3" s="1"/>
      <c r="BP3" s="1"/>
      <c r="BQ3" s="143" t="s">
        <v>286</v>
      </c>
      <c r="BR3" s="144"/>
      <c r="BS3" s="143" t="s">
        <v>287</v>
      </c>
      <c r="BT3" s="144"/>
      <c r="BU3" s="1"/>
      <c r="BV3" s="1"/>
      <c r="BW3" s="1"/>
      <c r="BX3" s="1"/>
      <c r="BY3" s="143" t="s">
        <v>288</v>
      </c>
      <c r="BZ3" s="144"/>
      <c r="CA3" s="1"/>
      <c r="CB3" s="1"/>
      <c r="CC3" s="143" t="s">
        <v>289</v>
      </c>
      <c r="CD3" s="144"/>
      <c r="CE3" s="1"/>
      <c r="CF3" s="1"/>
      <c r="CG3" s="1"/>
      <c r="CH3" s="143" t="s">
        <v>290</v>
      </c>
      <c r="CI3" s="144"/>
    </row>
    <row r="4" spans="2:87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145"/>
      <c r="AU4" s="146"/>
      <c r="BA4" s="147"/>
      <c r="BB4" s="146"/>
      <c r="BC4" s="147"/>
      <c r="BD4" s="146"/>
      <c r="BH4" s="147"/>
      <c r="BI4" s="146"/>
      <c r="BL4" s="147"/>
      <c r="BM4" s="146"/>
      <c r="BQ4" s="147"/>
      <c r="BR4" s="146"/>
      <c r="BS4" s="147"/>
      <c r="BT4" s="146"/>
      <c r="BY4" s="147"/>
      <c r="BZ4" s="146"/>
      <c r="CC4" s="147"/>
      <c r="CD4" s="146"/>
      <c r="CH4" s="147"/>
      <c r="CI4" s="148"/>
    </row>
    <row r="5" spans="2:87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T5" s="12"/>
      <c r="AU5" s="13"/>
      <c r="AV5" s="1"/>
      <c r="AW5" s="1"/>
      <c r="AX5" s="13"/>
      <c r="AY5" s="13"/>
      <c r="AZ5" s="149" t="s">
        <v>291</v>
      </c>
      <c r="BA5" s="150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49" t="s">
        <v>292</v>
      </c>
      <c r="BO5" s="150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49" t="s">
        <v>293</v>
      </c>
      <c r="CF5" s="150"/>
      <c r="CG5" s="13"/>
      <c r="CH5" s="13"/>
      <c r="CI5" s="14"/>
    </row>
    <row r="6" spans="2:87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294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T6" s="15"/>
      <c r="AU6" s="1"/>
      <c r="AV6" s="8"/>
      <c r="AW6" s="8"/>
      <c r="AX6" s="1"/>
      <c r="AY6" s="1"/>
      <c r="AZ6" s="8"/>
      <c r="BA6" s="8"/>
      <c r="BB6" s="1"/>
      <c r="BC6" s="1"/>
      <c r="BD6" s="8"/>
      <c r="BE6" s="8"/>
      <c r="BF6" s="1"/>
      <c r="BG6" s="1"/>
      <c r="BH6" s="8"/>
      <c r="BI6" s="8"/>
      <c r="BJ6" s="1"/>
      <c r="BK6" s="1"/>
      <c r="BL6" s="8"/>
      <c r="BM6" s="8" t="s">
        <v>295</v>
      </c>
      <c r="BN6" s="5"/>
      <c r="BO6" s="5"/>
      <c r="BP6" s="8"/>
      <c r="BQ6" s="8"/>
      <c r="BR6" s="1"/>
      <c r="BS6" s="1"/>
      <c r="BT6" s="8"/>
      <c r="BU6" s="8"/>
      <c r="BV6" s="1"/>
      <c r="BW6" s="1"/>
      <c r="BX6" s="8"/>
      <c r="BY6" s="8"/>
      <c r="BZ6" s="1"/>
      <c r="CA6" s="1"/>
      <c r="CB6" s="8"/>
      <c r="CC6" s="8"/>
      <c r="CD6" s="1"/>
      <c r="CE6" s="5"/>
      <c r="CF6" s="8"/>
      <c r="CG6" s="8"/>
      <c r="CH6" s="8"/>
      <c r="CI6" s="9"/>
    </row>
    <row r="7" spans="2:87" x14ac:dyDescent="0.25">
      <c r="B7" s="17"/>
      <c r="C7" s="18"/>
      <c r="D7" s="151" t="s">
        <v>296</v>
      </c>
      <c r="E7" s="151"/>
      <c r="F7" s="18"/>
      <c r="G7" s="18"/>
      <c r="H7" s="151" t="s">
        <v>297</v>
      </c>
      <c r="I7" s="151"/>
      <c r="J7" s="18"/>
      <c r="K7" s="18"/>
      <c r="L7" s="151" t="s">
        <v>298</v>
      </c>
      <c r="M7" s="151"/>
      <c r="N7" s="18"/>
      <c r="O7" s="18"/>
      <c r="P7" s="151" t="s">
        <v>299</v>
      </c>
      <c r="Q7" s="151"/>
      <c r="R7" s="18"/>
      <c r="S7" s="18"/>
      <c r="T7" s="151" t="s">
        <v>300</v>
      </c>
      <c r="U7" s="151"/>
      <c r="V7" s="18"/>
      <c r="W7" s="18"/>
      <c r="X7" s="151" t="s">
        <v>301</v>
      </c>
      <c r="Y7" s="151"/>
      <c r="Z7" s="18"/>
      <c r="AA7" s="18"/>
      <c r="AB7" s="151" t="s">
        <v>302</v>
      </c>
      <c r="AC7" s="151"/>
      <c r="AD7" s="18"/>
      <c r="AE7" s="18"/>
      <c r="AF7" s="151" t="s">
        <v>303</v>
      </c>
      <c r="AG7" s="151"/>
      <c r="AH7" s="18"/>
      <c r="AI7" s="18"/>
      <c r="AJ7" s="151" t="s">
        <v>304</v>
      </c>
      <c r="AK7" s="151"/>
      <c r="AL7" s="18"/>
      <c r="AM7" s="18"/>
      <c r="AN7" s="151" t="s">
        <v>305</v>
      </c>
      <c r="AO7" s="151"/>
      <c r="AP7" s="18"/>
      <c r="AQ7" s="19"/>
      <c r="AR7" s="20"/>
      <c r="AT7" s="17"/>
      <c r="AU7" s="18"/>
      <c r="AV7" s="151" t="s">
        <v>305</v>
      </c>
      <c r="AW7" s="151"/>
      <c r="AX7" s="18"/>
      <c r="AY7" s="18"/>
      <c r="AZ7" s="151" t="s">
        <v>304</v>
      </c>
      <c r="BA7" s="151"/>
      <c r="BB7" s="18"/>
      <c r="BC7" s="18"/>
      <c r="BD7" s="151" t="s">
        <v>303</v>
      </c>
      <c r="BE7" s="151"/>
      <c r="BF7" s="18"/>
      <c r="BG7" s="18"/>
      <c r="BH7" s="151" t="s">
        <v>302</v>
      </c>
      <c r="BI7" s="151"/>
      <c r="BJ7" s="18"/>
      <c r="BK7" s="18"/>
      <c r="BL7" s="151" t="s">
        <v>301</v>
      </c>
      <c r="BM7" s="151"/>
      <c r="BN7" s="18"/>
      <c r="BO7" s="18"/>
      <c r="BP7" s="151" t="s">
        <v>300</v>
      </c>
      <c r="BQ7" s="151"/>
      <c r="BR7" s="18"/>
      <c r="BS7" s="18"/>
      <c r="BT7" s="151" t="s">
        <v>299</v>
      </c>
      <c r="BU7" s="151"/>
      <c r="BV7" s="18"/>
      <c r="BW7" s="18"/>
      <c r="BX7" s="151" t="s">
        <v>298</v>
      </c>
      <c r="BY7" s="151"/>
      <c r="BZ7" s="18"/>
      <c r="CA7" s="18"/>
      <c r="CB7" s="151" t="s">
        <v>297</v>
      </c>
      <c r="CC7" s="151"/>
      <c r="CD7" s="18"/>
      <c r="CE7" s="18"/>
      <c r="CF7" s="151" t="s">
        <v>296</v>
      </c>
      <c r="CG7" s="151"/>
      <c r="CH7" s="18"/>
      <c r="CI7" s="19"/>
    </row>
    <row r="8" spans="2:87" ht="14.25" customHeight="1" x14ac:dyDescent="0.25">
      <c r="B8" s="15"/>
      <c r="D8" s="21" t="s">
        <v>306</v>
      </c>
      <c r="E8" s="21" t="s">
        <v>307</v>
      </c>
      <c r="F8" s="4"/>
      <c r="G8" s="4"/>
      <c r="H8" s="21" t="s">
        <v>307</v>
      </c>
      <c r="I8" s="21" t="s">
        <v>306</v>
      </c>
      <c r="J8" s="4"/>
      <c r="K8" s="4"/>
      <c r="L8" s="21" t="s">
        <v>306</v>
      </c>
      <c r="M8" s="21" t="s">
        <v>307</v>
      </c>
      <c r="N8" s="4"/>
      <c r="O8" s="4"/>
      <c r="P8" s="21" t="s">
        <v>307</v>
      </c>
      <c r="Q8" s="21" t="s">
        <v>306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306</v>
      </c>
      <c r="AC8" s="21" t="s">
        <v>307</v>
      </c>
      <c r="AD8" s="4"/>
      <c r="AE8" s="4"/>
      <c r="AF8" s="21" t="s">
        <v>307</v>
      </c>
      <c r="AG8" s="21" t="s">
        <v>306</v>
      </c>
      <c r="AH8" s="4"/>
      <c r="AI8" s="4"/>
      <c r="AJ8" s="21" t="s">
        <v>306</v>
      </c>
      <c r="AK8" s="21" t="s">
        <v>307</v>
      </c>
      <c r="AL8" s="4"/>
      <c r="AM8" s="4"/>
      <c r="AN8" s="21" t="s">
        <v>307</v>
      </c>
      <c r="AO8" s="21" t="s">
        <v>306</v>
      </c>
      <c r="AP8" s="1"/>
      <c r="AQ8" s="22"/>
      <c r="AT8" s="15"/>
      <c r="AV8" s="21" t="s">
        <v>306</v>
      </c>
      <c r="AW8" s="21" t="s">
        <v>307</v>
      </c>
      <c r="AX8" s="4"/>
      <c r="AY8" s="4"/>
      <c r="AZ8" s="21" t="s">
        <v>307</v>
      </c>
      <c r="BA8" s="21" t="s">
        <v>306</v>
      </c>
      <c r="BB8" s="4"/>
      <c r="BC8" s="4"/>
      <c r="BD8" s="21" t="s">
        <v>306</v>
      </c>
      <c r="BE8" s="21" t="s">
        <v>307</v>
      </c>
      <c r="BF8" s="4"/>
      <c r="BG8" s="4"/>
      <c r="BH8" s="21" t="s">
        <v>307</v>
      </c>
      <c r="BI8" s="21" t="s">
        <v>306</v>
      </c>
      <c r="BJ8" s="4"/>
      <c r="BK8" s="4"/>
      <c r="BL8" s="21" t="s">
        <v>306</v>
      </c>
      <c r="BM8" s="21" t="s">
        <v>307</v>
      </c>
      <c r="BN8" s="4"/>
      <c r="BO8" s="4"/>
      <c r="BP8" s="21" t="s">
        <v>307</v>
      </c>
      <c r="BQ8" s="21" t="s">
        <v>306</v>
      </c>
      <c r="BR8" s="4"/>
      <c r="BS8" s="4"/>
      <c r="BT8" s="21" t="s">
        <v>306</v>
      </c>
      <c r="BU8" s="21" t="s">
        <v>308</v>
      </c>
      <c r="BV8" s="4"/>
      <c r="BW8" s="4"/>
      <c r="BX8" s="21" t="s">
        <v>309</v>
      </c>
      <c r="BY8" s="21" t="s">
        <v>310</v>
      </c>
      <c r="BZ8" s="4"/>
      <c r="CA8" s="4"/>
      <c r="CB8" s="21" t="s">
        <v>306</v>
      </c>
      <c r="CC8" s="21" t="s">
        <v>307</v>
      </c>
      <c r="CD8" s="4"/>
      <c r="CE8" s="4"/>
      <c r="CF8" s="21" t="s">
        <v>307</v>
      </c>
      <c r="CG8" s="21" t="s">
        <v>311</v>
      </c>
      <c r="CH8" s="1"/>
      <c r="CI8" s="22"/>
    </row>
    <row r="9" spans="2:87" x14ac:dyDescent="0.25">
      <c r="B9" s="15"/>
      <c r="D9" s="152" t="s">
        <v>246</v>
      </c>
      <c r="E9" s="153"/>
      <c r="F9" s="23"/>
      <c r="G9" s="23"/>
      <c r="H9" s="152" t="s">
        <v>230</v>
      </c>
      <c r="I9" s="153"/>
      <c r="L9" s="152" t="s">
        <v>212</v>
      </c>
      <c r="M9" s="153"/>
      <c r="N9" s="23"/>
      <c r="O9" s="23"/>
      <c r="P9" s="152" t="s">
        <v>196</v>
      </c>
      <c r="Q9" s="153"/>
      <c r="T9" s="152" t="s">
        <v>178</v>
      </c>
      <c r="U9" s="153"/>
      <c r="V9" s="23"/>
      <c r="W9" s="23"/>
      <c r="X9" s="152" t="s">
        <v>162</v>
      </c>
      <c r="Y9" s="153"/>
      <c r="AB9" s="152" t="s">
        <v>143</v>
      </c>
      <c r="AC9" s="153"/>
      <c r="AD9" s="23"/>
      <c r="AE9" s="23"/>
      <c r="AF9" s="152" t="s">
        <v>126</v>
      </c>
      <c r="AG9" s="153"/>
      <c r="AJ9" s="152" t="s">
        <v>105</v>
      </c>
      <c r="AK9" s="153"/>
      <c r="AL9" s="23"/>
      <c r="AM9" s="23"/>
      <c r="AN9" s="152" t="s">
        <v>87</v>
      </c>
      <c r="AO9" s="153"/>
      <c r="AP9" s="1"/>
      <c r="AQ9" s="22"/>
      <c r="AT9" s="15"/>
      <c r="AV9" s="154" t="s">
        <v>87</v>
      </c>
      <c r="AW9" s="154"/>
      <c r="AX9" s="23"/>
      <c r="AY9" s="23"/>
      <c r="AZ9" s="152" t="s">
        <v>105</v>
      </c>
      <c r="BA9" s="153"/>
      <c r="BD9" s="152" t="s">
        <v>126</v>
      </c>
      <c r="BE9" s="153"/>
      <c r="BF9" s="23"/>
      <c r="BG9" s="23"/>
      <c r="BH9" s="152" t="s">
        <v>143</v>
      </c>
      <c r="BI9" s="153"/>
      <c r="BL9" s="152" t="s">
        <v>162</v>
      </c>
      <c r="BM9" s="153"/>
      <c r="BN9" s="23"/>
      <c r="BO9" s="23"/>
      <c r="BP9" s="152" t="s">
        <v>178</v>
      </c>
      <c r="BQ9" s="153"/>
      <c r="BT9" s="152" t="s">
        <v>196</v>
      </c>
      <c r="BU9" s="153"/>
      <c r="BV9" s="23"/>
      <c r="BW9" s="23"/>
      <c r="BX9" s="152" t="s">
        <v>212</v>
      </c>
      <c r="BY9" s="153"/>
      <c r="CB9" s="152" t="s">
        <v>230</v>
      </c>
      <c r="CC9" s="153"/>
      <c r="CD9" s="23"/>
      <c r="CE9" s="23"/>
      <c r="CF9" s="152" t="s">
        <v>246</v>
      </c>
      <c r="CG9" s="153"/>
      <c r="CH9" s="1"/>
      <c r="CI9" s="22"/>
    </row>
    <row r="10" spans="2:87" x14ac:dyDescent="0.25">
      <c r="B10" s="15"/>
      <c r="D10" s="152" t="s">
        <v>247</v>
      </c>
      <c r="E10" s="153"/>
      <c r="F10" s="23"/>
      <c r="G10" s="23"/>
      <c r="H10" s="152" t="s">
        <v>231</v>
      </c>
      <c r="I10" s="153"/>
      <c r="L10" s="152" t="s">
        <v>213</v>
      </c>
      <c r="M10" s="153"/>
      <c r="N10" s="23"/>
      <c r="O10" s="23"/>
      <c r="P10" s="152" t="s">
        <v>197</v>
      </c>
      <c r="Q10" s="153"/>
      <c r="T10" s="152" t="s">
        <v>179</v>
      </c>
      <c r="U10" s="153"/>
      <c r="V10" s="23"/>
      <c r="W10" s="23"/>
      <c r="X10" s="152" t="s">
        <v>163</v>
      </c>
      <c r="Y10" s="153"/>
      <c r="AB10" s="152" t="s">
        <v>144</v>
      </c>
      <c r="AC10" s="153"/>
      <c r="AD10" s="23"/>
      <c r="AE10" s="23"/>
      <c r="AF10" s="152" t="s">
        <v>128</v>
      </c>
      <c r="AG10" s="153"/>
      <c r="AJ10" s="152" t="s">
        <v>109</v>
      </c>
      <c r="AK10" s="153"/>
      <c r="AL10" s="23"/>
      <c r="AM10" s="23"/>
      <c r="AN10" s="152" t="s">
        <v>89</v>
      </c>
      <c r="AO10" s="153"/>
      <c r="AP10" s="1"/>
      <c r="AQ10" s="22"/>
      <c r="AR10" s="24"/>
      <c r="AT10" s="15"/>
      <c r="AV10" s="154" t="s">
        <v>89</v>
      </c>
      <c r="AW10" s="154"/>
      <c r="AX10" s="23"/>
      <c r="AY10" s="23"/>
      <c r="AZ10" s="154" t="s">
        <v>109</v>
      </c>
      <c r="BA10" s="154"/>
      <c r="BD10" s="152" t="s">
        <v>128</v>
      </c>
      <c r="BE10" s="153"/>
      <c r="BF10" s="23"/>
      <c r="BG10" s="23"/>
      <c r="BH10" s="152" t="s">
        <v>144</v>
      </c>
      <c r="BI10" s="153"/>
      <c r="BL10" s="152" t="s">
        <v>163</v>
      </c>
      <c r="BM10" s="153"/>
      <c r="BN10" s="23"/>
      <c r="BO10" s="23"/>
      <c r="BP10" s="152" t="s">
        <v>179</v>
      </c>
      <c r="BQ10" s="153"/>
      <c r="BT10" s="152" t="s">
        <v>197</v>
      </c>
      <c r="BU10" s="153"/>
      <c r="BV10" s="23"/>
      <c r="BW10" s="23"/>
      <c r="BX10" s="152" t="s">
        <v>213</v>
      </c>
      <c r="BY10" s="153"/>
      <c r="CB10" s="152" t="s">
        <v>231</v>
      </c>
      <c r="CC10" s="153"/>
      <c r="CD10" s="23"/>
      <c r="CE10" s="23"/>
      <c r="CF10" s="152" t="s">
        <v>247</v>
      </c>
      <c r="CG10" s="153"/>
      <c r="CH10" s="1"/>
      <c r="CI10" s="22"/>
    </row>
    <row r="11" spans="2:87" x14ac:dyDescent="0.25">
      <c r="B11" s="15"/>
      <c r="D11" s="152" t="s">
        <v>248</v>
      </c>
      <c r="E11" s="153"/>
      <c r="F11" s="23"/>
      <c r="G11" s="23"/>
      <c r="H11" s="152" t="s">
        <v>232</v>
      </c>
      <c r="I11" s="153"/>
      <c r="L11" s="152" t="s">
        <v>214</v>
      </c>
      <c r="M11" s="153"/>
      <c r="N11" s="23"/>
      <c r="O11" s="23"/>
      <c r="P11" s="152" t="s">
        <v>198</v>
      </c>
      <c r="Q11" s="153"/>
      <c r="T11" s="152" t="s">
        <v>180</v>
      </c>
      <c r="U11" s="153"/>
      <c r="V11" s="23"/>
      <c r="W11" s="23"/>
      <c r="X11" s="152" t="s">
        <v>164</v>
      </c>
      <c r="Y11" s="153"/>
      <c r="AB11" s="152" t="s">
        <v>145</v>
      </c>
      <c r="AC11" s="153"/>
      <c r="AD11" s="23"/>
      <c r="AE11" s="23"/>
      <c r="AF11" s="152" t="s">
        <v>129</v>
      </c>
      <c r="AG11" s="153"/>
      <c r="AJ11" s="152" t="s">
        <v>110</v>
      </c>
      <c r="AK11" s="153"/>
      <c r="AL11" s="23"/>
      <c r="AM11" s="23"/>
      <c r="AN11" s="152" t="s">
        <v>91</v>
      </c>
      <c r="AO11" s="153"/>
      <c r="AP11" s="1"/>
      <c r="AQ11" s="22"/>
      <c r="AT11" s="15"/>
      <c r="AV11" s="154" t="s">
        <v>91</v>
      </c>
      <c r="AW11" s="154"/>
      <c r="AX11" s="23"/>
      <c r="AY11" s="23"/>
      <c r="AZ11" s="154" t="s">
        <v>110</v>
      </c>
      <c r="BA11" s="154"/>
      <c r="BD11" s="152" t="s">
        <v>129</v>
      </c>
      <c r="BE11" s="153"/>
      <c r="BF11" s="23"/>
      <c r="BG11" s="23"/>
      <c r="BH11" s="152" t="s">
        <v>145</v>
      </c>
      <c r="BI11" s="153"/>
      <c r="BL11" s="152" t="s">
        <v>164</v>
      </c>
      <c r="BM11" s="153"/>
      <c r="BN11" s="23"/>
      <c r="BO11" s="23"/>
      <c r="BP11" s="152" t="s">
        <v>180</v>
      </c>
      <c r="BQ11" s="153"/>
      <c r="BT11" s="152" t="s">
        <v>198</v>
      </c>
      <c r="BU11" s="153"/>
      <c r="BV11" s="23"/>
      <c r="BW11" s="23"/>
      <c r="BX11" s="152" t="s">
        <v>214</v>
      </c>
      <c r="BY11" s="153"/>
      <c r="CB11" s="152" t="s">
        <v>232</v>
      </c>
      <c r="CC11" s="153"/>
      <c r="CD11" s="23"/>
      <c r="CE11" s="23"/>
      <c r="CF11" s="152" t="s">
        <v>248</v>
      </c>
      <c r="CG11" s="153"/>
      <c r="CH11" s="1"/>
      <c r="CI11" s="22"/>
    </row>
    <row r="12" spans="2:87" x14ac:dyDescent="0.25">
      <c r="B12" s="15"/>
      <c r="D12" s="152" t="s">
        <v>249</v>
      </c>
      <c r="E12" s="153"/>
      <c r="F12" s="23"/>
      <c r="G12" s="23"/>
      <c r="H12" s="152" t="s">
        <v>233</v>
      </c>
      <c r="I12" s="153"/>
      <c r="L12" s="152" t="s">
        <v>215</v>
      </c>
      <c r="M12" s="153"/>
      <c r="N12" s="23"/>
      <c r="O12" s="23"/>
      <c r="P12" s="152" t="s">
        <v>199</v>
      </c>
      <c r="Q12" s="153"/>
      <c r="T12" s="152" t="s">
        <v>181</v>
      </c>
      <c r="U12" s="153"/>
      <c r="V12" s="23"/>
      <c r="W12" s="23"/>
      <c r="X12" s="152" t="s">
        <v>165</v>
      </c>
      <c r="Y12" s="153"/>
      <c r="AB12" s="152" t="s">
        <v>147</v>
      </c>
      <c r="AC12" s="153"/>
      <c r="AD12" s="23"/>
      <c r="AE12" s="23"/>
      <c r="AF12" s="152" t="s">
        <v>130</v>
      </c>
      <c r="AG12" s="153"/>
      <c r="AJ12" s="152" t="s">
        <v>111</v>
      </c>
      <c r="AK12" s="153"/>
      <c r="AL12" s="23"/>
      <c r="AM12" s="23"/>
      <c r="AN12" s="152" t="s">
        <v>92</v>
      </c>
      <c r="AO12" s="153"/>
      <c r="AP12" s="1"/>
      <c r="AQ12" s="22"/>
      <c r="AT12" s="15"/>
      <c r="AV12" s="154" t="s">
        <v>92</v>
      </c>
      <c r="AW12" s="154"/>
      <c r="AX12" s="23"/>
      <c r="AY12" s="23"/>
      <c r="AZ12" s="154" t="s">
        <v>111</v>
      </c>
      <c r="BA12" s="154"/>
      <c r="BD12" s="152" t="s">
        <v>130</v>
      </c>
      <c r="BE12" s="153"/>
      <c r="BF12" s="23"/>
      <c r="BG12" s="23"/>
      <c r="BH12" s="152" t="s">
        <v>147</v>
      </c>
      <c r="BI12" s="153"/>
      <c r="BL12" s="152" t="s">
        <v>165</v>
      </c>
      <c r="BM12" s="153"/>
      <c r="BN12" s="23"/>
      <c r="BO12" s="23"/>
      <c r="BP12" s="152" t="s">
        <v>181</v>
      </c>
      <c r="BQ12" s="153"/>
      <c r="BT12" s="152" t="s">
        <v>199</v>
      </c>
      <c r="BU12" s="153"/>
      <c r="BV12" s="23"/>
      <c r="BW12" s="23"/>
      <c r="BX12" s="152" t="s">
        <v>215</v>
      </c>
      <c r="BY12" s="153"/>
      <c r="CB12" s="152" t="s">
        <v>233</v>
      </c>
      <c r="CC12" s="153"/>
      <c r="CD12" s="23"/>
      <c r="CE12" s="23"/>
      <c r="CF12" s="152" t="s">
        <v>249</v>
      </c>
      <c r="CG12" s="153"/>
      <c r="CH12" s="1"/>
      <c r="CI12" s="22"/>
    </row>
    <row r="13" spans="2:87" x14ac:dyDescent="0.25">
      <c r="B13" s="15"/>
      <c r="D13" s="152" t="s">
        <v>250</v>
      </c>
      <c r="E13" s="153"/>
      <c r="F13" s="23"/>
      <c r="G13" s="23"/>
      <c r="H13" s="152" t="s">
        <v>234</v>
      </c>
      <c r="I13" s="153"/>
      <c r="L13" s="152" t="s">
        <v>216</v>
      </c>
      <c r="M13" s="153"/>
      <c r="N13" s="23"/>
      <c r="O13" s="23"/>
      <c r="P13" s="152" t="s">
        <v>200</v>
      </c>
      <c r="Q13" s="153"/>
      <c r="T13" s="152" t="s">
        <v>182</v>
      </c>
      <c r="U13" s="153"/>
      <c r="V13" s="23"/>
      <c r="W13" s="23"/>
      <c r="X13" s="152" t="s">
        <v>166</v>
      </c>
      <c r="Y13" s="153"/>
      <c r="AB13" s="152" t="s">
        <v>148</v>
      </c>
      <c r="AC13" s="153"/>
      <c r="AD13" s="23"/>
      <c r="AE13" s="23"/>
      <c r="AF13" s="152" t="s">
        <v>131</v>
      </c>
      <c r="AG13" s="153"/>
      <c r="AJ13" s="152" t="s">
        <v>112</v>
      </c>
      <c r="AK13" s="153"/>
      <c r="AL13" s="23"/>
      <c r="AM13" s="23"/>
      <c r="AN13" s="152" t="s">
        <v>93</v>
      </c>
      <c r="AO13" s="153"/>
      <c r="AP13" s="1"/>
      <c r="AQ13" s="22"/>
      <c r="AT13" s="15"/>
      <c r="AV13" s="154" t="s">
        <v>93</v>
      </c>
      <c r="AW13" s="154"/>
      <c r="AX13" s="23"/>
      <c r="AY13" s="23"/>
      <c r="AZ13" s="154" t="s">
        <v>112</v>
      </c>
      <c r="BA13" s="154"/>
      <c r="BD13" s="152" t="s">
        <v>131</v>
      </c>
      <c r="BE13" s="153"/>
      <c r="BF13" s="23"/>
      <c r="BG13" s="23"/>
      <c r="BH13" s="152" t="s">
        <v>148</v>
      </c>
      <c r="BI13" s="153"/>
      <c r="BL13" s="152" t="s">
        <v>166</v>
      </c>
      <c r="BM13" s="153"/>
      <c r="BN13" s="23"/>
      <c r="BO13" s="23"/>
      <c r="BP13" s="152" t="s">
        <v>182</v>
      </c>
      <c r="BQ13" s="153"/>
      <c r="BT13" s="152" t="s">
        <v>200</v>
      </c>
      <c r="BU13" s="153"/>
      <c r="BV13" s="23"/>
      <c r="BW13" s="23"/>
      <c r="BX13" s="152" t="s">
        <v>216</v>
      </c>
      <c r="BY13" s="153"/>
      <c r="CB13" s="152" t="s">
        <v>234</v>
      </c>
      <c r="CC13" s="153"/>
      <c r="CD13" s="23"/>
      <c r="CE13" s="23"/>
      <c r="CF13" s="152" t="s">
        <v>250</v>
      </c>
      <c r="CG13" s="153"/>
      <c r="CH13" s="1"/>
      <c r="CI13" s="22"/>
    </row>
    <row r="14" spans="2:87" x14ac:dyDescent="0.25">
      <c r="B14" s="15"/>
      <c r="D14" s="152" t="s">
        <v>251</v>
      </c>
      <c r="E14" s="153"/>
      <c r="F14" s="23"/>
      <c r="G14" s="23"/>
      <c r="H14" s="152" t="s">
        <v>235</v>
      </c>
      <c r="I14" s="153"/>
      <c r="L14" s="152" t="s">
        <v>217</v>
      </c>
      <c r="M14" s="153"/>
      <c r="N14" s="23"/>
      <c r="O14" s="23"/>
      <c r="P14" s="152" t="s">
        <v>201</v>
      </c>
      <c r="Q14" s="153"/>
      <c r="T14" s="152" t="s">
        <v>183</v>
      </c>
      <c r="U14" s="153"/>
      <c r="V14" s="23"/>
      <c r="W14" s="23"/>
      <c r="X14" s="152" t="s">
        <v>167</v>
      </c>
      <c r="Y14" s="153"/>
      <c r="AB14" s="152" t="s">
        <v>149</v>
      </c>
      <c r="AC14" s="153"/>
      <c r="AD14" s="23"/>
      <c r="AE14" s="23"/>
      <c r="AF14" s="152" t="s">
        <v>132</v>
      </c>
      <c r="AG14" s="153"/>
      <c r="AJ14" s="152" t="s">
        <v>113</v>
      </c>
      <c r="AK14" s="153"/>
      <c r="AL14" s="23"/>
      <c r="AM14" s="23"/>
      <c r="AN14" s="152" t="s">
        <v>94</v>
      </c>
      <c r="AO14" s="153"/>
      <c r="AP14" s="1"/>
      <c r="AQ14" s="22"/>
      <c r="AT14" s="15"/>
      <c r="AV14" s="154" t="s">
        <v>94</v>
      </c>
      <c r="AW14" s="154"/>
      <c r="AX14" s="23"/>
      <c r="AY14" s="23"/>
      <c r="AZ14" s="154" t="s">
        <v>113</v>
      </c>
      <c r="BA14" s="154"/>
      <c r="BD14" s="152" t="s">
        <v>132</v>
      </c>
      <c r="BE14" s="153"/>
      <c r="BF14" s="23"/>
      <c r="BG14" s="23"/>
      <c r="BH14" s="152" t="s">
        <v>149</v>
      </c>
      <c r="BI14" s="153"/>
      <c r="BL14" s="152" t="s">
        <v>167</v>
      </c>
      <c r="BM14" s="153"/>
      <c r="BN14" s="23"/>
      <c r="BO14" s="23"/>
      <c r="BP14" s="152" t="s">
        <v>183</v>
      </c>
      <c r="BQ14" s="153"/>
      <c r="BT14" s="152" t="s">
        <v>201</v>
      </c>
      <c r="BU14" s="153"/>
      <c r="BV14" s="23"/>
      <c r="BW14" s="23"/>
      <c r="BX14" s="152" t="s">
        <v>217</v>
      </c>
      <c r="BY14" s="153"/>
      <c r="CB14" s="152" t="s">
        <v>235</v>
      </c>
      <c r="CC14" s="153"/>
      <c r="CD14" s="23"/>
      <c r="CE14" s="23"/>
      <c r="CF14" s="152" t="s">
        <v>251</v>
      </c>
      <c r="CG14" s="153"/>
      <c r="CH14" s="1"/>
      <c r="CI14" s="22"/>
    </row>
    <row r="15" spans="2:87" x14ac:dyDescent="0.25">
      <c r="B15" s="15"/>
      <c r="D15" s="152" t="s">
        <v>252</v>
      </c>
      <c r="E15" s="153"/>
      <c r="F15" s="23"/>
      <c r="G15" s="23"/>
      <c r="H15" s="152" t="s">
        <v>236</v>
      </c>
      <c r="I15" s="153"/>
      <c r="L15" s="152" t="s">
        <v>218</v>
      </c>
      <c r="M15" s="153"/>
      <c r="N15" s="23"/>
      <c r="O15" s="23"/>
      <c r="P15" s="152" t="s">
        <v>202</v>
      </c>
      <c r="Q15" s="153"/>
      <c r="T15" s="152" t="s">
        <v>184</v>
      </c>
      <c r="U15" s="153"/>
      <c r="V15" s="23"/>
      <c r="W15" s="23"/>
      <c r="X15" s="152" t="s">
        <v>168</v>
      </c>
      <c r="Y15" s="153"/>
      <c r="AB15" s="152" t="s">
        <v>150</v>
      </c>
      <c r="AC15" s="153"/>
      <c r="AD15" s="23"/>
      <c r="AE15" s="23"/>
      <c r="AF15" s="152" t="s">
        <v>133</v>
      </c>
      <c r="AG15" s="153"/>
      <c r="AJ15" s="152" t="s">
        <v>114</v>
      </c>
      <c r="AK15" s="153"/>
      <c r="AL15" s="23"/>
      <c r="AM15" s="23"/>
      <c r="AN15" s="152" t="s">
        <v>95</v>
      </c>
      <c r="AO15" s="153"/>
      <c r="AP15" s="1"/>
      <c r="AQ15" s="22"/>
      <c r="AT15" s="15"/>
      <c r="AV15" s="154" t="s">
        <v>95</v>
      </c>
      <c r="AW15" s="154"/>
      <c r="AX15" s="23"/>
      <c r="AY15" s="23"/>
      <c r="AZ15" s="154" t="s">
        <v>114</v>
      </c>
      <c r="BA15" s="154"/>
      <c r="BD15" s="152" t="s">
        <v>133</v>
      </c>
      <c r="BE15" s="153"/>
      <c r="BF15" s="23"/>
      <c r="BG15" s="23"/>
      <c r="BH15" s="152" t="s">
        <v>150</v>
      </c>
      <c r="BI15" s="153"/>
      <c r="BL15" s="152" t="s">
        <v>168</v>
      </c>
      <c r="BM15" s="153"/>
      <c r="BN15" s="23"/>
      <c r="BO15" s="23"/>
      <c r="BP15" s="152" t="s">
        <v>184</v>
      </c>
      <c r="BQ15" s="153"/>
      <c r="BT15" s="152" t="s">
        <v>202</v>
      </c>
      <c r="BU15" s="153"/>
      <c r="BV15" s="23"/>
      <c r="BW15" s="23"/>
      <c r="BX15" s="152" t="s">
        <v>218</v>
      </c>
      <c r="BY15" s="153"/>
      <c r="CB15" s="152" t="s">
        <v>236</v>
      </c>
      <c r="CC15" s="153"/>
      <c r="CD15" s="23"/>
      <c r="CE15" s="23"/>
      <c r="CF15" s="152" t="s">
        <v>252</v>
      </c>
      <c r="CG15" s="153"/>
      <c r="CH15" s="1"/>
      <c r="CI15" s="22"/>
    </row>
    <row r="16" spans="2:87" x14ac:dyDescent="0.25">
      <c r="B16" s="15"/>
      <c r="D16" s="152" t="s">
        <v>253</v>
      </c>
      <c r="E16" s="153"/>
      <c r="F16" s="23"/>
      <c r="G16" s="23"/>
      <c r="H16" s="152" t="s">
        <v>237</v>
      </c>
      <c r="I16" s="153"/>
      <c r="L16" s="152" t="s">
        <v>219</v>
      </c>
      <c r="M16" s="153"/>
      <c r="N16" s="23"/>
      <c r="O16" s="23"/>
      <c r="P16" s="152" t="s">
        <v>203</v>
      </c>
      <c r="Q16" s="153"/>
      <c r="T16" s="152" t="s">
        <v>185</v>
      </c>
      <c r="U16" s="153"/>
      <c r="V16" s="23"/>
      <c r="W16" s="23"/>
      <c r="X16" s="152" t="s">
        <v>169</v>
      </c>
      <c r="Y16" s="153"/>
      <c r="AB16" s="152" t="s">
        <v>151</v>
      </c>
      <c r="AC16" s="153"/>
      <c r="AD16" s="23"/>
      <c r="AE16" s="23"/>
      <c r="AF16" s="152" t="s">
        <v>134</v>
      </c>
      <c r="AG16" s="153"/>
      <c r="AJ16" s="152" t="s">
        <v>115</v>
      </c>
      <c r="AK16" s="153"/>
      <c r="AL16" s="23"/>
      <c r="AM16" s="23"/>
      <c r="AN16" s="152" t="s">
        <v>96</v>
      </c>
      <c r="AO16" s="153"/>
      <c r="AP16" s="1"/>
      <c r="AQ16" s="22"/>
      <c r="AT16" s="15"/>
      <c r="AV16" s="154" t="s">
        <v>96</v>
      </c>
      <c r="AW16" s="154"/>
      <c r="AX16" s="23"/>
      <c r="AY16" s="23"/>
      <c r="AZ16" s="154" t="s">
        <v>115</v>
      </c>
      <c r="BA16" s="154"/>
      <c r="BD16" s="152" t="s">
        <v>134</v>
      </c>
      <c r="BE16" s="153"/>
      <c r="BF16" s="23"/>
      <c r="BG16" s="23"/>
      <c r="BH16" s="152" t="s">
        <v>151</v>
      </c>
      <c r="BI16" s="153"/>
      <c r="BL16" s="152" t="s">
        <v>169</v>
      </c>
      <c r="BM16" s="153"/>
      <c r="BN16" s="23"/>
      <c r="BO16" s="23"/>
      <c r="BP16" s="152" t="s">
        <v>185</v>
      </c>
      <c r="BQ16" s="153"/>
      <c r="BT16" s="152" t="s">
        <v>203</v>
      </c>
      <c r="BU16" s="153"/>
      <c r="BV16" s="23"/>
      <c r="BW16" s="23"/>
      <c r="BX16" s="152" t="s">
        <v>219</v>
      </c>
      <c r="BY16" s="153"/>
      <c r="CB16" s="152" t="s">
        <v>237</v>
      </c>
      <c r="CC16" s="153"/>
      <c r="CD16" s="23"/>
      <c r="CE16" s="23"/>
      <c r="CF16" s="152" t="s">
        <v>253</v>
      </c>
      <c r="CG16" s="153"/>
      <c r="CH16" s="1"/>
      <c r="CI16" s="22"/>
    </row>
    <row r="17" spans="2:87" x14ac:dyDescent="0.25">
      <c r="B17" s="15"/>
      <c r="D17" s="152" t="s">
        <v>254</v>
      </c>
      <c r="E17" s="153"/>
      <c r="F17" s="23"/>
      <c r="G17" s="23"/>
      <c r="H17" s="152" t="s">
        <v>238</v>
      </c>
      <c r="I17" s="153"/>
      <c r="L17" s="152" t="s">
        <v>220</v>
      </c>
      <c r="M17" s="153"/>
      <c r="N17" s="23"/>
      <c r="O17" s="23"/>
      <c r="P17" s="152" t="s">
        <v>204</v>
      </c>
      <c r="Q17" s="153"/>
      <c r="T17" s="152" t="s">
        <v>186</v>
      </c>
      <c r="U17" s="153"/>
      <c r="V17" s="23"/>
      <c r="W17" s="23"/>
      <c r="X17" s="152" t="s">
        <v>170</v>
      </c>
      <c r="Y17" s="153"/>
      <c r="AB17" s="152" t="s">
        <v>152</v>
      </c>
      <c r="AC17" s="153"/>
      <c r="AD17" s="23"/>
      <c r="AE17" s="23"/>
      <c r="AF17" s="152" t="s">
        <v>135</v>
      </c>
      <c r="AG17" s="153"/>
      <c r="AJ17" s="152" t="s">
        <v>116</v>
      </c>
      <c r="AK17" s="153"/>
      <c r="AL17" s="23"/>
      <c r="AM17" s="23"/>
      <c r="AN17" s="152" t="s">
        <v>97</v>
      </c>
      <c r="AO17" s="153"/>
      <c r="AP17" s="1"/>
      <c r="AQ17" s="22"/>
      <c r="AT17" s="15"/>
      <c r="AV17" s="154" t="s">
        <v>97</v>
      </c>
      <c r="AW17" s="154"/>
      <c r="AX17" s="23"/>
      <c r="AY17" s="23"/>
      <c r="AZ17" s="154" t="s">
        <v>116</v>
      </c>
      <c r="BA17" s="154"/>
      <c r="BD17" s="152" t="s">
        <v>135</v>
      </c>
      <c r="BE17" s="153"/>
      <c r="BF17" s="23"/>
      <c r="BG17" s="23"/>
      <c r="BH17" s="152" t="s">
        <v>152</v>
      </c>
      <c r="BI17" s="153"/>
      <c r="BL17" s="152" t="s">
        <v>170</v>
      </c>
      <c r="BM17" s="153"/>
      <c r="BN17" s="23"/>
      <c r="BO17" s="23"/>
      <c r="BP17" s="152" t="s">
        <v>186</v>
      </c>
      <c r="BQ17" s="153"/>
      <c r="BT17" s="152" t="s">
        <v>204</v>
      </c>
      <c r="BU17" s="153"/>
      <c r="BV17" s="23"/>
      <c r="BW17" s="23"/>
      <c r="BX17" s="152" t="s">
        <v>220</v>
      </c>
      <c r="BY17" s="153"/>
      <c r="CB17" s="152" t="s">
        <v>238</v>
      </c>
      <c r="CC17" s="153"/>
      <c r="CD17" s="23"/>
      <c r="CE17" s="23"/>
      <c r="CF17" s="152" t="s">
        <v>254</v>
      </c>
      <c r="CG17" s="153"/>
      <c r="CH17" s="1"/>
      <c r="CI17" s="22"/>
    </row>
    <row r="18" spans="2:87" x14ac:dyDescent="0.25">
      <c r="B18" s="15"/>
      <c r="D18" s="152" t="s">
        <v>255</v>
      </c>
      <c r="E18" s="153"/>
      <c r="F18" s="23"/>
      <c r="G18" s="23"/>
      <c r="H18" s="152" t="s">
        <v>239</v>
      </c>
      <c r="I18" s="153"/>
      <c r="L18" s="152" t="s">
        <v>221</v>
      </c>
      <c r="M18" s="153"/>
      <c r="N18" s="23"/>
      <c r="O18" s="23"/>
      <c r="P18" s="152" t="s">
        <v>205</v>
      </c>
      <c r="Q18" s="153"/>
      <c r="T18" s="152" t="s">
        <v>187</v>
      </c>
      <c r="U18" s="153"/>
      <c r="V18" s="23"/>
      <c r="W18" s="23"/>
      <c r="X18" s="152" t="s">
        <v>171</v>
      </c>
      <c r="Y18" s="153"/>
      <c r="AB18" s="152" t="s">
        <v>153</v>
      </c>
      <c r="AC18" s="153"/>
      <c r="AD18" s="23"/>
      <c r="AE18" s="23"/>
      <c r="AF18" s="152" t="s">
        <v>136</v>
      </c>
      <c r="AG18" s="153"/>
      <c r="AJ18" s="152" t="s">
        <v>117</v>
      </c>
      <c r="AK18" s="153"/>
      <c r="AL18" s="23"/>
      <c r="AM18" s="23"/>
      <c r="AN18" s="152" t="s">
        <v>98</v>
      </c>
      <c r="AO18" s="153"/>
      <c r="AP18" s="1"/>
      <c r="AQ18" s="22"/>
      <c r="AT18" s="15"/>
      <c r="AV18" s="154" t="s">
        <v>98</v>
      </c>
      <c r="AW18" s="154"/>
      <c r="AX18" s="23"/>
      <c r="AY18" s="23"/>
      <c r="AZ18" s="154" t="s">
        <v>117</v>
      </c>
      <c r="BA18" s="154"/>
      <c r="BD18" s="152" t="s">
        <v>136</v>
      </c>
      <c r="BE18" s="153"/>
      <c r="BF18" s="23"/>
      <c r="BG18" s="23"/>
      <c r="BH18" s="152" t="s">
        <v>153</v>
      </c>
      <c r="BI18" s="153"/>
      <c r="BL18" s="152" t="s">
        <v>171</v>
      </c>
      <c r="BM18" s="153"/>
      <c r="BN18" s="23"/>
      <c r="BO18" s="23"/>
      <c r="BP18" s="152" t="s">
        <v>187</v>
      </c>
      <c r="BQ18" s="153"/>
      <c r="BT18" s="152" t="s">
        <v>205</v>
      </c>
      <c r="BU18" s="153"/>
      <c r="BV18" s="23"/>
      <c r="BW18" s="23"/>
      <c r="BX18" s="152" t="s">
        <v>221</v>
      </c>
      <c r="BY18" s="153"/>
      <c r="CB18" s="152" t="s">
        <v>239</v>
      </c>
      <c r="CC18" s="153"/>
      <c r="CD18" s="23"/>
      <c r="CE18" s="23"/>
      <c r="CF18" s="152" t="s">
        <v>255</v>
      </c>
      <c r="CG18" s="153"/>
      <c r="CH18" s="1"/>
      <c r="CI18" s="22"/>
    </row>
    <row r="19" spans="2:87" x14ac:dyDescent="0.25">
      <c r="B19" s="15"/>
      <c r="D19" s="152" t="s">
        <v>256</v>
      </c>
      <c r="E19" s="153"/>
      <c r="F19" s="23"/>
      <c r="G19" s="23"/>
      <c r="H19" s="155"/>
      <c r="I19" s="155"/>
      <c r="L19" s="152" t="s">
        <v>222</v>
      </c>
      <c r="M19" s="153"/>
      <c r="N19" s="23"/>
      <c r="O19" s="23"/>
      <c r="P19" s="155"/>
      <c r="Q19" s="155"/>
      <c r="T19" s="152" t="s">
        <v>188</v>
      </c>
      <c r="U19" s="153"/>
      <c r="V19" s="23"/>
      <c r="W19" s="23"/>
      <c r="X19" s="155"/>
      <c r="Y19" s="155"/>
      <c r="AB19" s="152" t="s">
        <v>154</v>
      </c>
      <c r="AC19" s="153"/>
      <c r="AD19" s="23"/>
      <c r="AE19" s="23"/>
      <c r="AF19" s="155"/>
      <c r="AG19" s="155"/>
      <c r="AJ19" s="152" t="s">
        <v>118</v>
      </c>
      <c r="AK19" s="153"/>
      <c r="AL19" s="23"/>
      <c r="AM19" s="23"/>
      <c r="AN19" s="155"/>
      <c r="AO19" s="155"/>
      <c r="AP19" s="1"/>
      <c r="AQ19" s="22"/>
      <c r="AT19" s="15"/>
      <c r="AV19" s="155"/>
      <c r="AW19" s="155"/>
      <c r="AX19" s="23"/>
      <c r="AY19" s="23"/>
      <c r="AZ19" s="154" t="s">
        <v>118</v>
      </c>
      <c r="BA19" s="154"/>
      <c r="BD19" s="155"/>
      <c r="BE19" s="155"/>
      <c r="BF19" s="23"/>
      <c r="BG19" s="23"/>
      <c r="BH19" s="152" t="s">
        <v>154</v>
      </c>
      <c r="BI19" s="153"/>
      <c r="BL19" s="155"/>
      <c r="BM19" s="155"/>
      <c r="BN19" s="23"/>
      <c r="BO19" s="23"/>
      <c r="BP19" s="154" t="s">
        <v>188</v>
      </c>
      <c r="BQ19" s="154"/>
      <c r="BT19" s="155"/>
      <c r="BU19" s="155"/>
      <c r="BV19" s="23"/>
      <c r="BW19" s="23"/>
      <c r="BX19" s="154" t="s">
        <v>222</v>
      </c>
      <c r="BY19" s="154"/>
      <c r="CB19" s="155"/>
      <c r="CC19" s="155"/>
      <c r="CD19" s="23"/>
      <c r="CE19" s="23"/>
      <c r="CF19" s="154" t="s">
        <v>256</v>
      </c>
      <c r="CG19" s="154"/>
      <c r="CH19" s="1"/>
      <c r="CI19" s="22"/>
    </row>
    <row r="20" spans="2:87" x14ac:dyDescent="0.25">
      <c r="B20" s="15"/>
      <c r="D20" s="152" t="s">
        <v>257</v>
      </c>
      <c r="E20" s="153"/>
      <c r="F20" s="23"/>
      <c r="G20" s="23"/>
      <c r="H20" s="155"/>
      <c r="I20" s="155"/>
      <c r="L20" s="152" t="s">
        <v>223</v>
      </c>
      <c r="M20" s="153"/>
      <c r="N20" s="23"/>
      <c r="O20" s="23"/>
      <c r="P20" s="155"/>
      <c r="Q20" s="155"/>
      <c r="T20" s="152" t="s">
        <v>189</v>
      </c>
      <c r="U20" s="153"/>
      <c r="V20" s="23"/>
      <c r="W20" s="23"/>
      <c r="X20" s="155"/>
      <c r="Y20" s="155"/>
      <c r="AB20" s="152" t="s">
        <v>155</v>
      </c>
      <c r="AC20" s="153"/>
      <c r="AD20" s="23"/>
      <c r="AE20" s="23"/>
      <c r="AF20" s="155"/>
      <c r="AG20" s="155"/>
      <c r="AJ20" s="154" t="s">
        <v>119</v>
      </c>
      <c r="AK20" s="154"/>
      <c r="AL20" s="23"/>
      <c r="AM20" s="23"/>
      <c r="AN20" s="155"/>
      <c r="AO20" s="155"/>
      <c r="AP20" s="25"/>
      <c r="AQ20" s="22"/>
      <c r="AT20" s="15"/>
      <c r="AV20" s="155"/>
      <c r="AW20" s="155"/>
      <c r="AX20" s="23"/>
      <c r="AY20" s="23"/>
      <c r="AZ20" s="154" t="s">
        <v>119</v>
      </c>
      <c r="BA20" s="154"/>
      <c r="BD20" s="155"/>
      <c r="BE20" s="155"/>
      <c r="BF20" s="23"/>
      <c r="BG20" s="23"/>
      <c r="BH20" s="154" t="s">
        <v>155</v>
      </c>
      <c r="BI20" s="154"/>
      <c r="BL20" s="155"/>
      <c r="BM20" s="155"/>
      <c r="BN20" s="23"/>
      <c r="BO20" s="23"/>
      <c r="BP20" s="154" t="s">
        <v>189</v>
      </c>
      <c r="BQ20" s="154"/>
      <c r="BT20" s="155"/>
      <c r="BU20" s="155"/>
      <c r="BV20" s="23"/>
      <c r="BW20" s="23"/>
      <c r="BX20" s="154" t="s">
        <v>223</v>
      </c>
      <c r="BY20" s="154"/>
      <c r="CB20" s="155"/>
      <c r="CC20" s="155"/>
      <c r="CD20" s="23"/>
      <c r="CE20" s="23"/>
      <c r="CF20" s="154" t="s">
        <v>257</v>
      </c>
      <c r="CG20" s="154"/>
      <c r="CH20" s="25"/>
      <c r="CI20" s="22"/>
    </row>
    <row r="21" spans="2:87" x14ac:dyDescent="0.25">
      <c r="B21" s="15"/>
      <c r="D21" s="152" t="s">
        <v>258</v>
      </c>
      <c r="E21" s="153"/>
      <c r="F21" s="23"/>
      <c r="G21" s="23"/>
      <c r="H21" s="152" t="s">
        <v>240</v>
      </c>
      <c r="I21" s="153"/>
      <c r="L21" s="152" t="s">
        <v>224</v>
      </c>
      <c r="M21" s="153"/>
      <c r="N21" s="23"/>
      <c r="O21" s="23"/>
      <c r="P21" s="152" t="s">
        <v>206</v>
      </c>
      <c r="Q21" s="153"/>
      <c r="T21" s="152" t="s">
        <v>190</v>
      </c>
      <c r="U21" s="153"/>
      <c r="V21" s="23"/>
      <c r="W21" s="23"/>
      <c r="X21" s="152" t="s">
        <v>172</v>
      </c>
      <c r="Y21" s="153"/>
      <c r="AB21" s="152" t="s">
        <v>156</v>
      </c>
      <c r="AC21" s="153"/>
      <c r="AD21" s="23"/>
      <c r="AE21" s="23"/>
      <c r="AF21" s="154" t="s">
        <v>137</v>
      </c>
      <c r="AG21" s="154"/>
      <c r="AJ21" s="154" t="s">
        <v>120</v>
      </c>
      <c r="AK21" s="154"/>
      <c r="AL21" s="23"/>
      <c r="AM21" s="23"/>
      <c r="AN21" s="154" t="s">
        <v>99</v>
      </c>
      <c r="AO21" s="154"/>
      <c r="AP21" s="1"/>
      <c r="AQ21" s="22"/>
      <c r="AT21" s="15"/>
      <c r="AV21" s="154" t="s">
        <v>99</v>
      </c>
      <c r="AW21" s="154"/>
      <c r="AX21" s="23"/>
      <c r="AY21" s="23"/>
      <c r="AZ21" s="161" t="s">
        <v>120</v>
      </c>
      <c r="BA21" s="154"/>
      <c r="BD21" s="154" t="s">
        <v>137</v>
      </c>
      <c r="BE21" s="154"/>
      <c r="BF21" s="23"/>
      <c r="BG21" s="23"/>
      <c r="BH21" s="154" t="s">
        <v>156</v>
      </c>
      <c r="BI21" s="154"/>
      <c r="BL21" s="154" t="s">
        <v>172</v>
      </c>
      <c r="BM21" s="154"/>
      <c r="BN21" s="23"/>
      <c r="BO21" s="23"/>
      <c r="BP21" s="154" t="s">
        <v>190</v>
      </c>
      <c r="BQ21" s="154"/>
      <c r="BT21" s="154" t="s">
        <v>206</v>
      </c>
      <c r="BU21" s="154"/>
      <c r="BV21" s="23"/>
      <c r="BW21" s="23"/>
      <c r="BX21" s="154" t="s">
        <v>224</v>
      </c>
      <c r="BY21" s="154"/>
      <c r="CB21" s="154" t="s">
        <v>240</v>
      </c>
      <c r="CC21" s="154"/>
      <c r="CD21" s="23"/>
      <c r="CE21" s="23"/>
      <c r="CF21" s="154" t="s">
        <v>258</v>
      </c>
      <c r="CG21" s="154"/>
      <c r="CH21" s="1"/>
      <c r="CI21" s="22"/>
    </row>
    <row r="22" spans="2:87" x14ac:dyDescent="0.25">
      <c r="B22" s="15"/>
      <c r="D22" s="152" t="s">
        <v>259</v>
      </c>
      <c r="E22" s="153"/>
      <c r="F22" s="23"/>
      <c r="G22" s="23"/>
      <c r="H22" s="152" t="s">
        <v>241</v>
      </c>
      <c r="I22" s="153"/>
      <c r="L22" s="152" t="s">
        <v>225</v>
      </c>
      <c r="M22" s="153"/>
      <c r="N22" s="23"/>
      <c r="O22" s="23"/>
      <c r="P22" s="152" t="s">
        <v>207</v>
      </c>
      <c r="Q22" s="153"/>
      <c r="T22" s="152" t="s">
        <v>191</v>
      </c>
      <c r="U22" s="153"/>
      <c r="V22" s="23"/>
      <c r="W22" s="23"/>
      <c r="X22" s="152" t="s">
        <v>173</v>
      </c>
      <c r="Y22" s="153"/>
      <c r="AB22" s="152" t="s">
        <v>157</v>
      </c>
      <c r="AC22" s="153"/>
      <c r="AD22" s="23"/>
      <c r="AE22" s="23"/>
      <c r="AF22" s="154" t="s">
        <v>138</v>
      </c>
      <c r="AG22" s="154"/>
      <c r="AJ22" s="154" t="s">
        <v>121</v>
      </c>
      <c r="AK22" s="154"/>
      <c r="AL22" s="23"/>
      <c r="AM22" s="23"/>
      <c r="AN22" s="154" t="s">
        <v>100</v>
      </c>
      <c r="AO22" s="154"/>
      <c r="AP22" s="1"/>
      <c r="AQ22" s="22"/>
      <c r="AT22" s="15"/>
      <c r="AV22" s="154" t="s">
        <v>100</v>
      </c>
      <c r="AW22" s="154"/>
      <c r="AX22" s="23"/>
      <c r="AY22" s="23"/>
      <c r="AZ22" s="154" t="s">
        <v>121</v>
      </c>
      <c r="BA22" s="154"/>
      <c r="BD22" s="154" t="s">
        <v>138</v>
      </c>
      <c r="BE22" s="154"/>
      <c r="BF22" s="23"/>
      <c r="BG22" s="23"/>
      <c r="BH22" s="154" t="s">
        <v>157</v>
      </c>
      <c r="BI22" s="154"/>
      <c r="BL22" s="154" t="s">
        <v>173</v>
      </c>
      <c r="BM22" s="154"/>
      <c r="BN22" s="23"/>
      <c r="BO22" s="23"/>
      <c r="BP22" s="154" t="s">
        <v>191</v>
      </c>
      <c r="BQ22" s="154"/>
      <c r="BT22" s="154" t="s">
        <v>207</v>
      </c>
      <c r="BU22" s="154"/>
      <c r="BV22" s="23"/>
      <c r="BW22" s="23"/>
      <c r="BX22" s="154" t="s">
        <v>225</v>
      </c>
      <c r="BY22" s="154"/>
      <c r="CB22" s="154" t="s">
        <v>241</v>
      </c>
      <c r="CC22" s="154"/>
      <c r="CD22" s="23"/>
      <c r="CE22" s="23"/>
      <c r="CF22" s="154" t="s">
        <v>259</v>
      </c>
      <c r="CG22" s="154"/>
      <c r="CH22" s="1"/>
      <c r="CI22" s="22"/>
    </row>
    <row r="23" spans="2:87" x14ac:dyDescent="0.25">
      <c r="B23" s="15"/>
      <c r="D23" s="152" t="s">
        <v>260</v>
      </c>
      <c r="E23" s="153"/>
      <c r="F23" s="23"/>
      <c r="G23" s="23"/>
      <c r="H23" s="152" t="s">
        <v>242</v>
      </c>
      <c r="I23" s="153"/>
      <c r="L23" s="152" t="s">
        <v>226</v>
      </c>
      <c r="M23" s="153"/>
      <c r="N23" s="23"/>
      <c r="O23" s="23"/>
      <c r="P23" s="152" t="s">
        <v>208</v>
      </c>
      <c r="Q23" s="153"/>
      <c r="T23" s="152" t="s">
        <v>192</v>
      </c>
      <c r="U23" s="153"/>
      <c r="V23" s="23"/>
      <c r="W23" s="23"/>
      <c r="X23" s="152" t="s">
        <v>174</v>
      </c>
      <c r="Y23" s="153"/>
      <c r="AB23" s="152" t="s">
        <v>158</v>
      </c>
      <c r="AC23" s="153"/>
      <c r="AD23" s="23"/>
      <c r="AE23" s="23"/>
      <c r="AF23" s="154" t="s">
        <v>139</v>
      </c>
      <c r="AG23" s="154"/>
      <c r="AJ23" s="154" t="s">
        <v>122</v>
      </c>
      <c r="AK23" s="154"/>
      <c r="AL23" s="23"/>
      <c r="AM23" s="23"/>
      <c r="AN23" s="154" t="s">
        <v>101</v>
      </c>
      <c r="AO23" s="154"/>
      <c r="AP23" s="1"/>
      <c r="AQ23" s="22"/>
      <c r="AT23" s="15"/>
      <c r="AV23" s="154" t="s">
        <v>101</v>
      </c>
      <c r="AW23" s="154"/>
      <c r="AX23" s="23"/>
      <c r="AY23" s="23"/>
      <c r="AZ23" s="154" t="s">
        <v>122</v>
      </c>
      <c r="BA23" s="154"/>
      <c r="BD23" s="154" t="s">
        <v>139</v>
      </c>
      <c r="BE23" s="154"/>
      <c r="BF23" s="23"/>
      <c r="BG23" s="23"/>
      <c r="BH23" s="154" t="s">
        <v>158</v>
      </c>
      <c r="BI23" s="154"/>
      <c r="BL23" s="154" t="s">
        <v>174</v>
      </c>
      <c r="BM23" s="154"/>
      <c r="BN23" s="23"/>
      <c r="BO23" s="23"/>
      <c r="BP23" s="154" t="s">
        <v>192</v>
      </c>
      <c r="BQ23" s="154"/>
      <c r="BT23" s="154" t="s">
        <v>208</v>
      </c>
      <c r="BU23" s="154"/>
      <c r="BV23" s="23"/>
      <c r="BW23" s="23"/>
      <c r="BX23" s="154" t="s">
        <v>226</v>
      </c>
      <c r="BY23" s="154"/>
      <c r="CB23" s="154" t="s">
        <v>242</v>
      </c>
      <c r="CC23" s="154"/>
      <c r="CD23" s="23"/>
      <c r="CE23" s="23"/>
      <c r="CF23" s="154" t="s">
        <v>260</v>
      </c>
      <c r="CG23" s="154"/>
      <c r="CH23" s="1"/>
      <c r="CI23" s="22"/>
    </row>
    <row r="24" spans="2:87" x14ac:dyDescent="0.25">
      <c r="B24" s="15"/>
      <c r="D24" s="152" t="s">
        <v>261</v>
      </c>
      <c r="E24" s="153"/>
      <c r="F24" s="23"/>
      <c r="G24" s="23"/>
      <c r="H24" s="152" t="s">
        <v>243</v>
      </c>
      <c r="I24" s="153"/>
      <c r="L24" s="152" t="s">
        <v>227</v>
      </c>
      <c r="M24" s="153"/>
      <c r="N24" s="23"/>
      <c r="O24" s="23"/>
      <c r="P24" s="152" t="s">
        <v>209</v>
      </c>
      <c r="Q24" s="153"/>
      <c r="T24" s="152" t="s">
        <v>193</v>
      </c>
      <c r="U24" s="153"/>
      <c r="V24" s="23"/>
      <c r="W24" s="23"/>
      <c r="X24" s="152" t="s">
        <v>175</v>
      </c>
      <c r="Y24" s="153"/>
      <c r="AB24" s="152" t="s">
        <v>159</v>
      </c>
      <c r="AC24" s="153"/>
      <c r="AD24" s="23"/>
      <c r="AE24" s="23"/>
      <c r="AF24" s="154" t="s">
        <v>140</v>
      </c>
      <c r="AG24" s="154"/>
      <c r="AJ24" s="154" t="s">
        <v>123</v>
      </c>
      <c r="AK24" s="154"/>
      <c r="AL24" s="23"/>
      <c r="AM24" s="23"/>
      <c r="AN24" s="154" t="s">
        <v>102</v>
      </c>
      <c r="AO24" s="154"/>
      <c r="AP24" s="1"/>
      <c r="AQ24" s="22"/>
      <c r="AT24" s="15"/>
      <c r="AV24" s="154" t="s">
        <v>102</v>
      </c>
      <c r="AW24" s="154"/>
      <c r="AX24" s="23"/>
      <c r="AY24" s="23"/>
      <c r="AZ24" s="154" t="s">
        <v>123</v>
      </c>
      <c r="BA24" s="154"/>
      <c r="BD24" s="154" t="s">
        <v>140</v>
      </c>
      <c r="BE24" s="154"/>
      <c r="BF24" s="23"/>
      <c r="BG24" s="23"/>
      <c r="BH24" s="154" t="s">
        <v>159</v>
      </c>
      <c r="BI24" s="154"/>
      <c r="BL24" s="154" t="s">
        <v>175</v>
      </c>
      <c r="BM24" s="154"/>
      <c r="BN24" s="23"/>
      <c r="BO24" s="23"/>
      <c r="BP24" s="154" t="s">
        <v>193</v>
      </c>
      <c r="BQ24" s="154"/>
      <c r="BT24" s="154" t="s">
        <v>209</v>
      </c>
      <c r="BU24" s="154"/>
      <c r="BV24" s="23"/>
      <c r="BW24" s="23"/>
      <c r="BX24" s="154" t="s">
        <v>227</v>
      </c>
      <c r="BY24" s="154"/>
      <c r="CB24" s="154" t="s">
        <v>243</v>
      </c>
      <c r="CC24" s="154"/>
      <c r="CD24" s="23"/>
      <c r="CE24" s="23"/>
      <c r="CF24" s="154" t="s">
        <v>261</v>
      </c>
      <c r="CG24" s="154"/>
      <c r="CH24" s="1"/>
      <c r="CI24" s="22"/>
    </row>
    <row r="25" spans="2:87" x14ac:dyDescent="0.25">
      <c r="B25" s="15"/>
      <c r="D25" s="152" t="s">
        <v>262</v>
      </c>
      <c r="E25" s="153"/>
      <c r="F25" s="23"/>
      <c r="G25" s="23"/>
      <c r="H25" s="152" t="s">
        <v>244</v>
      </c>
      <c r="I25" s="153"/>
      <c r="L25" s="152" t="s">
        <v>228</v>
      </c>
      <c r="M25" s="153"/>
      <c r="N25" s="23"/>
      <c r="O25" s="23"/>
      <c r="P25" s="152" t="s">
        <v>210</v>
      </c>
      <c r="Q25" s="153"/>
      <c r="T25" s="152" t="s">
        <v>194</v>
      </c>
      <c r="U25" s="153"/>
      <c r="V25" s="23"/>
      <c r="W25" s="23"/>
      <c r="X25" s="152" t="s">
        <v>176</v>
      </c>
      <c r="Y25" s="153"/>
      <c r="AB25" s="152" t="s">
        <v>160</v>
      </c>
      <c r="AC25" s="153"/>
      <c r="AD25" s="23"/>
      <c r="AE25" s="23"/>
      <c r="AF25" s="154" t="s">
        <v>141</v>
      </c>
      <c r="AG25" s="154"/>
      <c r="AJ25" s="154" t="s">
        <v>124</v>
      </c>
      <c r="AK25" s="154"/>
      <c r="AL25" s="23"/>
      <c r="AM25" s="23"/>
      <c r="AN25" s="154" t="s">
        <v>103</v>
      </c>
      <c r="AO25" s="154"/>
      <c r="AP25" s="1"/>
      <c r="AQ25" s="22"/>
      <c r="AT25" s="15"/>
      <c r="AV25" s="154" t="s">
        <v>103</v>
      </c>
      <c r="AW25" s="154"/>
      <c r="AX25" s="23"/>
      <c r="AY25" s="23"/>
      <c r="AZ25" s="154" t="s">
        <v>124</v>
      </c>
      <c r="BA25" s="154"/>
      <c r="BD25" s="154" t="s">
        <v>141</v>
      </c>
      <c r="BE25" s="154"/>
      <c r="BF25" s="23"/>
      <c r="BG25" s="23"/>
      <c r="BH25" s="154" t="s">
        <v>160</v>
      </c>
      <c r="BI25" s="154"/>
      <c r="BL25" s="154" t="s">
        <v>176</v>
      </c>
      <c r="BM25" s="154"/>
      <c r="BN25" s="23"/>
      <c r="BO25" s="23"/>
      <c r="BP25" s="154" t="s">
        <v>194</v>
      </c>
      <c r="BQ25" s="154"/>
      <c r="BT25" s="154" t="s">
        <v>210</v>
      </c>
      <c r="BU25" s="154"/>
      <c r="BV25" s="23"/>
      <c r="BW25" s="23"/>
      <c r="BX25" s="154" t="s">
        <v>228</v>
      </c>
      <c r="BY25" s="154"/>
      <c r="CB25" s="154" t="s">
        <v>244</v>
      </c>
      <c r="CC25" s="154"/>
      <c r="CD25" s="23"/>
      <c r="CE25" s="23"/>
      <c r="CF25" s="154" t="s">
        <v>262</v>
      </c>
      <c r="CG25" s="154"/>
      <c r="CH25" s="1"/>
      <c r="CI25" s="22"/>
    </row>
    <row r="26" spans="2:87" x14ac:dyDescent="0.25">
      <c r="B26" s="15"/>
      <c r="D26" s="162" t="s">
        <v>263</v>
      </c>
      <c r="E26" s="163"/>
      <c r="F26" s="23"/>
      <c r="G26" s="23"/>
      <c r="H26" s="152" t="s">
        <v>245</v>
      </c>
      <c r="I26" s="153"/>
      <c r="L26" s="152" t="s">
        <v>229</v>
      </c>
      <c r="M26" s="153"/>
      <c r="N26" s="23"/>
      <c r="O26" s="23"/>
      <c r="P26" s="154" t="s">
        <v>211</v>
      </c>
      <c r="Q26" s="154"/>
      <c r="T26" s="152" t="s">
        <v>195</v>
      </c>
      <c r="U26" s="153"/>
      <c r="V26" s="23"/>
      <c r="W26" s="23"/>
      <c r="X26" s="154" t="s">
        <v>177</v>
      </c>
      <c r="Y26" s="154"/>
      <c r="AB26" s="154" t="s">
        <v>161</v>
      </c>
      <c r="AC26" s="154"/>
      <c r="AD26" s="23"/>
      <c r="AE26" s="23"/>
      <c r="AF26" s="154" t="s">
        <v>142</v>
      </c>
      <c r="AG26" s="154"/>
      <c r="AJ26" s="154" t="s">
        <v>125</v>
      </c>
      <c r="AK26" s="154"/>
      <c r="AL26" s="23"/>
      <c r="AM26" s="23"/>
      <c r="AN26" s="154" t="s">
        <v>104</v>
      </c>
      <c r="AO26" s="154"/>
      <c r="AP26" s="1"/>
      <c r="AQ26" s="22"/>
      <c r="AT26" s="15"/>
      <c r="AV26" s="154" t="s">
        <v>104</v>
      </c>
      <c r="AW26" s="154"/>
      <c r="AX26" s="23"/>
      <c r="AY26" s="23"/>
      <c r="AZ26" s="154" t="s">
        <v>125</v>
      </c>
      <c r="BA26" s="154"/>
      <c r="BD26" s="154" t="s">
        <v>142</v>
      </c>
      <c r="BE26" s="154"/>
      <c r="BF26" s="23"/>
      <c r="BG26" s="23"/>
      <c r="BH26" s="154" t="s">
        <v>161</v>
      </c>
      <c r="BI26" s="154"/>
      <c r="BL26" s="154" t="s">
        <v>177</v>
      </c>
      <c r="BM26" s="154"/>
      <c r="BN26" s="23"/>
      <c r="BO26" s="23"/>
      <c r="BP26" s="154" t="s">
        <v>195</v>
      </c>
      <c r="BQ26" s="154"/>
      <c r="BT26" s="154" t="s">
        <v>211</v>
      </c>
      <c r="BU26" s="154"/>
      <c r="BV26" s="23"/>
      <c r="BW26" s="23"/>
      <c r="BX26" s="154" t="s">
        <v>229</v>
      </c>
      <c r="BY26" s="154"/>
      <c r="CB26" s="154" t="s">
        <v>245</v>
      </c>
      <c r="CC26" s="154"/>
      <c r="CD26" s="23"/>
      <c r="CE26" s="23"/>
      <c r="CF26" s="154" t="s">
        <v>263</v>
      </c>
      <c r="CG26" s="154"/>
      <c r="CH26" s="1"/>
      <c r="CI26" s="22"/>
    </row>
    <row r="27" spans="2:8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  <c r="AT27" s="12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4"/>
    </row>
    <row r="28" spans="2:87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  <c r="AT28" s="7"/>
      <c r="AU28" s="8"/>
      <c r="AV28" s="8"/>
      <c r="AW28" s="8"/>
      <c r="AX28" s="8"/>
      <c r="AY28" s="149" t="s">
        <v>291</v>
      </c>
      <c r="AZ28" s="150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149" t="s">
        <v>292</v>
      </c>
      <c r="BP28" s="150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149" t="s">
        <v>293</v>
      </c>
      <c r="CF28" s="150"/>
      <c r="CG28" s="8"/>
      <c r="CH28" s="8"/>
      <c r="CI28" s="9"/>
    </row>
    <row r="29" spans="2:87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  <c r="AT29" s="15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4"/>
    </row>
    <row r="30" spans="2:87" ht="24" customHeight="1" x14ac:dyDescent="0.25">
      <c r="B30" s="143" t="s">
        <v>312</v>
      </c>
      <c r="C30" s="144"/>
      <c r="D30" s="1"/>
      <c r="E30" s="1"/>
      <c r="F30" s="1"/>
      <c r="G30" s="1"/>
      <c r="H30" s="1"/>
      <c r="I30" s="143" t="s">
        <v>313</v>
      </c>
      <c r="J30" s="144"/>
      <c r="K30" s="143" t="s">
        <v>314</v>
      </c>
      <c r="L30" s="144"/>
      <c r="M30" s="1"/>
      <c r="N30" s="1"/>
      <c r="O30" s="1"/>
      <c r="P30" s="143" t="s">
        <v>315</v>
      </c>
      <c r="Q30" s="144"/>
      <c r="R30" s="1"/>
      <c r="S30" s="1"/>
      <c r="T30" s="143" t="s">
        <v>316</v>
      </c>
      <c r="U30" s="144"/>
      <c r="V30" s="1"/>
      <c r="W30" s="1"/>
      <c r="X30" s="1"/>
      <c r="Y30" s="143" t="s">
        <v>317</v>
      </c>
      <c r="Z30" s="144"/>
      <c r="AA30" s="143" t="s">
        <v>318</v>
      </c>
      <c r="AB30" s="144"/>
      <c r="AC30" s="1"/>
      <c r="AD30" s="1"/>
      <c r="AE30" s="1"/>
      <c r="AF30" s="1"/>
      <c r="AG30" s="143" t="s">
        <v>319</v>
      </c>
      <c r="AH30" s="144"/>
      <c r="AI30" s="1"/>
      <c r="AJ30" s="1"/>
      <c r="AK30" s="143" t="s">
        <v>320</v>
      </c>
      <c r="AL30" s="144"/>
      <c r="AM30" s="1"/>
      <c r="AN30" s="1"/>
      <c r="AO30" s="1"/>
      <c r="AP30" s="143" t="s">
        <v>321</v>
      </c>
      <c r="AQ30" s="144"/>
      <c r="AT30" s="143" t="s">
        <v>322</v>
      </c>
      <c r="AU30" s="144"/>
      <c r="AV30" s="1"/>
      <c r="AW30" s="1"/>
      <c r="AX30" s="1"/>
      <c r="AY30" s="1"/>
      <c r="AZ30" s="1"/>
      <c r="BA30" s="143" t="s">
        <v>323</v>
      </c>
      <c r="BB30" s="144"/>
      <c r="BC30" s="143" t="s">
        <v>324</v>
      </c>
      <c r="BD30" s="144"/>
      <c r="BE30" s="1"/>
      <c r="BF30" s="1"/>
      <c r="BG30" s="1"/>
      <c r="BH30" s="143" t="s">
        <v>325</v>
      </c>
      <c r="BI30" s="144"/>
      <c r="BJ30" s="1"/>
      <c r="BK30" s="1"/>
      <c r="BL30" s="143" t="s">
        <v>326</v>
      </c>
      <c r="BM30" s="144"/>
      <c r="BN30" s="1"/>
      <c r="BO30" s="1"/>
      <c r="BP30" s="1"/>
      <c r="BQ30" s="143" t="s">
        <v>327</v>
      </c>
      <c r="BR30" s="144"/>
      <c r="BS30" s="143" t="s">
        <v>328</v>
      </c>
      <c r="BT30" s="144"/>
      <c r="BU30" s="1"/>
      <c r="BV30" s="1"/>
      <c r="BW30" s="1"/>
      <c r="BX30" s="1"/>
      <c r="BY30" s="143" t="s">
        <v>329</v>
      </c>
      <c r="BZ30" s="144"/>
      <c r="CA30" s="1"/>
      <c r="CB30" s="1"/>
      <c r="CC30" s="143" t="s">
        <v>330</v>
      </c>
      <c r="CD30" s="144"/>
      <c r="CE30" s="1"/>
      <c r="CF30" s="1"/>
      <c r="CG30" s="1"/>
      <c r="CH30" s="143" t="s">
        <v>331</v>
      </c>
      <c r="CI30" s="144"/>
    </row>
    <row r="31" spans="2:8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  <c r="AT31" s="12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4"/>
    </row>
    <row r="32" spans="2:8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4"/>
    </row>
    <row r="33" spans="2:55" x14ac:dyDescent="0.25">
      <c r="AT33" s="159" t="s">
        <v>332</v>
      </c>
      <c r="AU33" s="159"/>
      <c r="AV33" s="159"/>
      <c r="AW33" s="159"/>
      <c r="AX33" s="159"/>
      <c r="AY33" s="26"/>
      <c r="AZ33" s="35" t="e">
        <f>getcolorcount($D$9:$AO$26,AY33)</f>
        <v>#NAME?</v>
      </c>
    </row>
    <row r="34" spans="2:55" ht="14.1" customHeight="1" x14ac:dyDescent="0.25">
      <c r="B34" s="159" t="s">
        <v>332</v>
      </c>
      <c r="C34" s="159"/>
      <c r="D34" s="159"/>
      <c r="E34" s="159"/>
      <c r="F34" s="159"/>
      <c r="G34" s="26"/>
      <c r="H34" s="27">
        <f>getcolorcount($D$9:$AO$31,G34)</f>
        <v>46</v>
      </c>
      <c r="AT34" s="159"/>
      <c r="AU34" s="159"/>
      <c r="AV34" s="159"/>
      <c r="AW34" s="159"/>
      <c r="AX34" s="159"/>
      <c r="AY34" s="28"/>
      <c r="AZ34" s="35" t="e">
        <f>getcolorcount($D$9:$AO$26,AY34)</f>
        <v>#NAME?</v>
      </c>
    </row>
    <row r="35" spans="2:55" x14ac:dyDescent="0.25">
      <c r="B35" s="159"/>
      <c r="C35" s="159"/>
      <c r="D35" s="159"/>
      <c r="E35" s="159"/>
      <c r="F35" s="159"/>
      <c r="G35" s="28"/>
      <c r="H35" s="27">
        <f>getcolorcount($D$9:$AO$31,G35)</f>
        <v>294</v>
      </c>
      <c r="AT35" s="159"/>
      <c r="AU35" s="159"/>
      <c r="AV35" s="159"/>
      <c r="AW35" s="159"/>
      <c r="AX35" s="159"/>
      <c r="AY35" s="29"/>
      <c r="AZ35" s="35" t="e">
        <f>getcolorcount($D$9:$AO$26,AY35)</f>
        <v>#NAME?</v>
      </c>
    </row>
    <row r="36" spans="2:55" x14ac:dyDescent="0.25">
      <c r="B36" s="159"/>
      <c r="C36" s="159"/>
      <c r="D36" s="159"/>
      <c r="E36" s="159"/>
      <c r="F36" s="159"/>
      <c r="G36" s="29"/>
      <c r="H36" s="27">
        <f>getcolorcount($D$9:$AO$31,G36)</f>
        <v>46</v>
      </c>
      <c r="AT36" s="159"/>
      <c r="AU36" s="159"/>
      <c r="AV36" s="159"/>
      <c r="AW36" s="159"/>
      <c r="AX36" s="159"/>
      <c r="AY36" s="30"/>
      <c r="AZ36" s="35" t="e">
        <f>getcolorcount($D$9:$AO$26,AY36)</f>
        <v>#NAME?</v>
      </c>
      <c r="BB36" s="2"/>
      <c r="BC36" s="31"/>
    </row>
    <row r="37" spans="2:55" x14ac:dyDescent="0.25">
      <c r="B37" s="159"/>
      <c r="C37" s="159"/>
      <c r="D37" s="159"/>
      <c r="E37" s="159"/>
      <c r="F37" s="159"/>
      <c r="G37" s="30"/>
      <c r="H37" s="27">
        <f>getcolorcount($D$9:$AO$31,G37)</f>
        <v>294</v>
      </c>
      <c r="I37" s="1"/>
      <c r="J37" s="2"/>
      <c r="K37" s="31"/>
      <c r="AT37" s="160"/>
      <c r="AU37" s="160"/>
      <c r="AV37" s="160"/>
      <c r="AW37" s="160"/>
      <c r="AX37" s="160"/>
      <c r="AY37" s="32"/>
      <c r="BB37" s="24"/>
      <c r="BC37" s="31"/>
    </row>
    <row r="38" spans="2:55" x14ac:dyDescent="0.25">
      <c r="B38" s="160"/>
      <c r="C38" s="160"/>
      <c r="D38" s="160"/>
      <c r="E38" s="160"/>
      <c r="F38" s="160"/>
      <c r="G38" s="32"/>
      <c r="H38" s="1"/>
      <c r="I38" s="1"/>
      <c r="J38" s="24"/>
      <c r="K38" s="31"/>
    </row>
    <row r="39" spans="2:55" x14ac:dyDescent="0.25">
      <c r="B39" s="157" t="s">
        <v>333</v>
      </c>
      <c r="C39" s="157"/>
      <c r="D39" s="157"/>
      <c r="E39" s="157"/>
      <c r="F39" s="27">
        <v>170</v>
      </c>
      <c r="G39" s="1"/>
      <c r="H39" s="1"/>
      <c r="I39" s="1"/>
    </row>
    <row r="40" spans="2:55" x14ac:dyDescent="0.25">
      <c r="B40" s="157" t="s">
        <v>334</v>
      </c>
      <c r="C40" s="157"/>
      <c r="D40" s="157"/>
      <c r="E40" s="157"/>
      <c r="F40" s="27">
        <f>H37/2</f>
        <v>147</v>
      </c>
      <c r="G40" s="34"/>
      <c r="H40" s="1"/>
      <c r="I40" s="1"/>
    </row>
    <row r="41" spans="2:55" x14ac:dyDescent="0.25">
      <c r="B41" s="157" t="s">
        <v>335</v>
      </c>
      <c r="C41" s="157"/>
      <c r="D41" s="157"/>
      <c r="E41" s="157"/>
      <c r="F41" s="27">
        <f>F39-F40</f>
        <v>23</v>
      </c>
      <c r="G41" s="29"/>
      <c r="H41" s="1"/>
      <c r="I41" s="1"/>
    </row>
  </sheetData>
  <mergeCells count="458">
    <mergeCell ref="BY30:BZ30"/>
    <mergeCell ref="CC30:CD30"/>
    <mergeCell ref="CH30:CI30"/>
    <mergeCell ref="B39:E39"/>
    <mergeCell ref="B40:E40"/>
    <mergeCell ref="B41:E41"/>
    <mergeCell ref="AS1:AS5"/>
    <mergeCell ref="AT33:AX37"/>
    <mergeCell ref="B34:F38"/>
    <mergeCell ref="CB26:CC26"/>
    <mergeCell ref="CF26:CG26"/>
    <mergeCell ref="G28:H28"/>
    <mergeCell ref="W28:X28"/>
    <mergeCell ref="AM28:AN28"/>
    <mergeCell ref="AY28:AZ28"/>
    <mergeCell ref="BO28:BP28"/>
    <mergeCell ref="CE28:CF28"/>
    <mergeCell ref="B30:C30"/>
    <mergeCell ref="I30:J30"/>
    <mergeCell ref="K30:L30"/>
    <mergeCell ref="P30:Q30"/>
    <mergeCell ref="T30:U30"/>
    <mergeCell ref="Y30:Z30"/>
    <mergeCell ref="AA30:AB30"/>
    <mergeCell ref="BS30:BT30"/>
    <mergeCell ref="AG30:AH30"/>
    <mergeCell ref="AK30:AL30"/>
    <mergeCell ref="AP30:AQ30"/>
    <mergeCell ref="AT30:AU30"/>
    <mergeCell ref="BA30:BB30"/>
    <mergeCell ref="BC30:BD30"/>
    <mergeCell ref="BH30:BI30"/>
    <mergeCell ref="BL30:BM30"/>
    <mergeCell ref="BQ30:BR30"/>
    <mergeCell ref="BX26:BY26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AV26:AW26"/>
    <mergeCell ref="AZ26:BA26"/>
    <mergeCell ref="BD26:BE26"/>
    <mergeCell ref="BH26:BI26"/>
    <mergeCell ref="BL26:BM26"/>
    <mergeCell ref="BP26:BQ26"/>
    <mergeCell ref="BT26:BU26"/>
    <mergeCell ref="CB24:CC24"/>
    <mergeCell ref="CF24:CG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AV25:AW25"/>
    <mergeCell ref="AZ25:BA25"/>
    <mergeCell ref="BD25:BE25"/>
    <mergeCell ref="BH25:BI25"/>
    <mergeCell ref="BL25:BM25"/>
    <mergeCell ref="BP25:BQ25"/>
    <mergeCell ref="BT25:BU25"/>
    <mergeCell ref="BX25:BY25"/>
    <mergeCell ref="CB25:CC25"/>
    <mergeCell ref="CF25:CG25"/>
    <mergeCell ref="AN24:AO24"/>
    <mergeCell ref="AV24:AW24"/>
    <mergeCell ref="AZ24:BA24"/>
    <mergeCell ref="BD24:BE24"/>
    <mergeCell ref="BH24:BI24"/>
    <mergeCell ref="BL24:BM24"/>
    <mergeCell ref="BP24:BQ24"/>
    <mergeCell ref="BT24:BU24"/>
    <mergeCell ref="BX24:BY24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CB22:CC22"/>
    <mergeCell ref="CF22:CG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AV23:AW23"/>
    <mergeCell ref="AZ23:BA23"/>
    <mergeCell ref="BD23:BE23"/>
    <mergeCell ref="BH23:BI23"/>
    <mergeCell ref="BL23:BM23"/>
    <mergeCell ref="BP23:BQ23"/>
    <mergeCell ref="BT23:BU23"/>
    <mergeCell ref="BX23:BY23"/>
    <mergeCell ref="CB23:CC23"/>
    <mergeCell ref="CF23:CG23"/>
    <mergeCell ref="AN22:AO22"/>
    <mergeCell ref="AV22:AW22"/>
    <mergeCell ref="AZ22:BA22"/>
    <mergeCell ref="BD22:BE22"/>
    <mergeCell ref="BH22:BI22"/>
    <mergeCell ref="BL22:BM22"/>
    <mergeCell ref="BP22:BQ22"/>
    <mergeCell ref="BT22:BU22"/>
    <mergeCell ref="BX22:BY22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CB20:CC20"/>
    <mergeCell ref="CF20:CG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AV21:AW21"/>
    <mergeCell ref="AZ21:BA21"/>
    <mergeCell ref="BD21:BE21"/>
    <mergeCell ref="BH21:BI21"/>
    <mergeCell ref="BL21:BM21"/>
    <mergeCell ref="BP21:BQ21"/>
    <mergeCell ref="BT21:BU21"/>
    <mergeCell ref="BX21:BY21"/>
    <mergeCell ref="CB21:CC21"/>
    <mergeCell ref="CF21:CG21"/>
    <mergeCell ref="AN20:AO20"/>
    <mergeCell ref="AV20:AW20"/>
    <mergeCell ref="AZ20:BA20"/>
    <mergeCell ref="BD20:BE20"/>
    <mergeCell ref="BH20:BI20"/>
    <mergeCell ref="BL20:BM20"/>
    <mergeCell ref="BP20:BQ20"/>
    <mergeCell ref="BT20:BU20"/>
    <mergeCell ref="BX20:BY20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CB18:CC18"/>
    <mergeCell ref="CF18:CG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AV19:AW19"/>
    <mergeCell ref="AZ19:BA19"/>
    <mergeCell ref="BD19:BE19"/>
    <mergeCell ref="BH19:BI19"/>
    <mergeCell ref="BL19:BM19"/>
    <mergeCell ref="BP19:BQ19"/>
    <mergeCell ref="BT19:BU19"/>
    <mergeCell ref="BX19:BY19"/>
    <mergeCell ref="CB19:CC19"/>
    <mergeCell ref="CF19:CG19"/>
    <mergeCell ref="AN18:AO18"/>
    <mergeCell ref="AV18:AW18"/>
    <mergeCell ref="AZ18:BA18"/>
    <mergeCell ref="BD18:BE18"/>
    <mergeCell ref="BH18:BI18"/>
    <mergeCell ref="BL18:BM18"/>
    <mergeCell ref="BP18:BQ18"/>
    <mergeCell ref="BT18:BU18"/>
    <mergeCell ref="BX18:BY18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CB16:CC16"/>
    <mergeCell ref="CF16:CG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AV17:AW17"/>
    <mergeCell ref="AZ17:BA17"/>
    <mergeCell ref="BD17:BE17"/>
    <mergeCell ref="BH17:BI17"/>
    <mergeCell ref="BL17:BM17"/>
    <mergeCell ref="BP17:BQ17"/>
    <mergeCell ref="BT17:BU17"/>
    <mergeCell ref="BX17:BY17"/>
    <mergeCell ref="CB17:CC17"/>
    <mergeCell ref="CF17:CG17"/>
    <mergeCell ref="AN16:AO16"/>
    <mergeCell ref="AV16:AW16"/>
    <mergeCell ref="AZ16:BA16"/>
    <mergeCell ref="BD16:BE16"/>
    <mergeCell ref="BH16:BI16"/>
    <mergeCell ref="BL16:BM16"/>
    <mergeCell ref="BP16:BQ16"/>
    <mergeCell ref="BT16:BU16"/>
    <mergeCell ref="BX16:BY16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CB14:CC14"/>
    <mergeCell ref="CF14:CG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AV15:AW15"/>
    <mergeCell ref="AZ15:BA15"/>
    <mergeCell ref="BD15:BE15"/>
    <mergeCell ref="BH15:BI15"/>
    <mergeCell ref="BL15:BM15"/>
    <mergeCell ref="BP15:BQ15"/>
    <mergeCell ref="BT15:BU15"/>
    <mergeCell ref="BX15:BY15"/>
    <mergeCell ref="CB15:CC15"/>
    <mergeCell ref="CF15:CG15"/>
    <mergeCell ref="AN14:AO14"/>
    <mergeCell ref="AV14:AW14"/>
    <mergeCell ref="AZ14:BA14"/>
    <mergeCell ref="BD14:BE14"/>
    <mergeCell ref="BH14:BI14"/>
    <mergeCell ref="BL14:BM14"/>
    <mergeCell ref="BP14:BQ14"/>
    <mergeCell ref="BT14:BU14"/>
    <mergeCell ref="BX14:BY14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CB12:CC12"/>
    <mergeCell ref="CF12:CG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AV13:AW13"/>
    <mergeCell ref="AZ13:BA13"/>
    <mergeCell ref="BD13:BE13"/>
    <mergeCell ref="BH13:BI13"/>
    <mergeCell ref="BL13:BM13"/>
    <mergeCell ref="BP13:BQ13"/>
    <mergeCell ref="BT13:BU13"/>
    <mergeCell ref="BX13:BY13"/>
    <mergeCell ref="CB13:CC13"/>
    <mergeCell ref="CF13:CG13"/>
    <mergeCell ref="AN12:AO12"/>
    <mergeCell ref="AV12:AW12"/>
    <mergeCell ref="AZ12:BA12"/>
    <mergeCell ref="BD12:BE12"/>
    <mergeCell ref="BH12:BI12"/>
    <mergeCell ref="BL12:BM12"/>
    <mergeCell ref="BP12:BQ12"/>
    <mergeCell ref="BT12:BU12"/>
    <mergeCell ref="BX12:BY12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CB10:CC10"/>
    <mergeCell ref="CF10:CG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AV11:AW11"/>
    <mergeCell ref="AZ11:BA11"/>
    <mergeCell ref="BD11:BE11"/>
    <mergeCell ref="BH11:BI11"/>
    <mergeCell ref="BL11:BM11"/>
    <mergeCell ref="BP11:BQ11"/>
    <mergeCell ref="BT11:BU11"/>
    <mergeCell ref="BX11:BY11"/>
    <mergeCell ref="CB11:CC11"/>
    <mergeCell ref="CF11:CG11"/>
    <mergeCell ref="AN10:AO10"/>
    <mergeCell ref="AV10:AW10"/>
    <mergeCell ref="AZ10:BA10"/>
    <mergeCell ref="BD10:BE10"/>
    <mergeCell ref="BH10:BI10"/>
    <mergeCell ref="BL10:BM10"/>
    <mergeCell ref="BP10:BQ10"/>
    <mergeCell ref="BT10:BU10"/>
    <mergeCell ref="BX10:BY10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CB7:CC7"/>
    <mergeCell ref="CF7:CG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AV9:AW9"/>
    <mergeCell ref="AZ9:BA9"/>
    <mergeCell ref="BD9:BE9"/>
    <mergeCell ref="BH9:BI9"/>
    <mergeCell ref="BL9:BM9"/>
    <mergeCell ref="BP9:BQ9"/>
    <mergeCell ref="BT9:BU9"/>
    <mergeCell ref="BX9:BY9"/>
    <mergeCell ref="CB9:CC9"/>
    <mergeCell ref="CF9:CG9"/>
    <mergeCell ref="H5:I5"/>
    <mergeCell ref="V5:W5"/>
    <mergeCell ref="AM5:AN5"/>
    <mergeCell ref="AZ5:BA5"/>
    <mergeCell ref="BN5:BO5"/>
    <mergeCell ref="CE5:CF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V7:AW7"/>
    <mergeCell ref="AZ7:BA7"/>
    <mergeCell ref="BD7:BE7"/>
    <mergeCell ref="BH7:BI7"/>
    <mergeCell ref="BL7:BM7"/>
    <mergeCell ref="BP7:BQ7"/>
    <mergeCell ref="BT7:BU7"/>
    <mergeCell ref="BX7:BY7"/>
    <mergeCell ref="CC3:CD3"/>
    <mergeCell ref="CH3:CI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AT4:AU4"/>
    <mergeCell ref="BA4:BB4"/>
    <mergeCell ref="BC4:BD4"/>
    <mergeCell ref="BH4:BI4"/>
    <mergeCell ref="BL4:BM4"/>
    <mergeCell ref="BQ4:BR4"/>
    <mergeCell ref="BS4:BT4"/>
    <mergeCell ref="BY4:BZ4"/>
    <mergeCell ref="CC4:CD4"/>
    <mergeCell ref="CH4:CI4"/>
    <mergeCell ref="AP3:AQ3"/>
    <mergeCell ref="AT3:AU3"/>
    <mergeCell ref="BA3:BB3"/>
    <mergeCell ref="BC3:BD3"/>
    <mergeCell ref="BH3:BI3"/>
    <mergeCell ref="BL3:BM3"/>
    <mergeCell ref="BQ3:BR3"/>
    <mergeCell ref="BS3:BT3"/>
    <mergeCell ref="BY3:BZ3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X40"/>
  <sheetViews>
    <sheetView showGridLines="0" topLeftCell="A7" zoomScale="85" zoomScaleNormal="85" workbookViewId="0">
      <selection activeCell="AN25" sqref="AN25:AO25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6.77734375" customWidth="1"/>
    <col min="7" max="7" width="3.6640625" customWidth="1"/>
    <col min="8" max="8" width="5.554687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5.44140625" customWidth="1"/>
    <col min="21" max="21" width="5.10937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16.109375" style="3" customWidth="1"/>
    <col min="47" max="47" width="16.109375" style="4" customWidth="1"/>
    <col min="48" max="48" width="4.44140625" style="4" customWidth="1"/>
    <col min="49" max="49" width="5.109375" customWidth="1"/>
  </cols>
  <sheetData>
    <row r="1" spans="2:50" x14ac:dyDescent="0.25">
      <c r="AS1" s="158"/>
      <c r="AU1" s="5"/>
      <c r="AV1" s="5"/>
      <c r="AW1" s="1"/>
      <c r="AX1" s="1"/>
    </row>
    <row r="2" spans="2:50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U2" s="5"/>
      <c r="AV2" s="5"/>
      <c r="AW2" s="6"/>
      <c r="AX2" s="1"/>
    </row>
    <row r="3" spans="2:50" ht="25.05" customHeight="1" x14ac:dyDescent="0.25">
      <c r="B3" s="143" t="s">
        <v>336</v>
      </c>
      <c r="C3" s="144"/>
      <c r="D3" s="1"/>
      <c r="E3" s="1"/>
      <c r="F3" s="1"/>
      <c r="G3" s="1"/>
      <c r="H3" s="1"/>
      <c r="I3" s="143" t="s">
        <v>337</v>
      </c>
      <c r="J3" s="144"/>
      <c r="K3" s="143" t="s">
        <v>338</v>
      </c>
      <c r="L3" s="144"/>
      <c r="M3" s="1"/>
      <c r="N3" s="1"/>
      <c r="O3" s="1"/>
      <c r="P3" s="143" t="s">
        <v>339</v>
      </c>
      <c r="Q3" s="144"/>
      <c r="R3" s="1"/>
      <c r="S3" s="1"/>
      <c r="T3" s="143" t="s">
        <v>340</v>
      </c>
      <c r="U3" s="144"/>
      <c r="V3" s="1"/>
      <c r="W3" s="1"/>
      <c r="X3" s="1"/>
      <c r="Y3" s="143" t="s">
        <v>341</v>
      </c>
      <c r="Z3" s="144"/>
      <c r="AA3" s="143" t="s">
        <v>342</v>
      </c>
      <c r="AB3" s="144"/>
      <c r="AC3" s="1"/>
      <c r="AD3" s="1"/>
      <c r="AE3" s="1"/>
      <c r="AF3" s="1"/>
      <c r="AG3" s="143" t="s">
        <v>343</v>
      </c>
      <c r="AH3" s="144"/>
      <c r="AI3" s="1"/>
      <c r="AJ3" s="1"/>
      <c r="AK3" s="143" t="s">
        <v>344</v>
      </c>
      <c r="AL3" s="144"/>
      <c r="AM3" s="1"/>
      <c r="AN3" s="1"/>
      <c r="AO3" s="1"/>
      <c r="AP3" s="143" t="s">
        <v>345</v>
      </c>
      <c r="AQ3" s="144"/>
      <c r="AR3" s="10"/>
      <c r="AS3" s="158"/>
      <c r="AU3" s="5"/>
      <c r="AX3" s="1"/>
    </row>
    <row r="4" spans="2:50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3"/>
      <c r="AU4" s="5"/>
    </row>
    <row r="5" spans="2:50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U5" s="5"/>
      <c r="AV5" s="5"/>
      <c r="AW5" s="11"/>
    </row>
    <row r="6" spans="2:50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16" t="s">
        <v>346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U6" s="5"/>
      <c r="AV6" s="5"/>
      <c r="AW6" s="1"/>
    </row>
    <row r="7" spans="2:50" x14ac:dyDescent="0.25">
      <c r="B7" s="17"/>
      <c r="C7" s="18"/>
      <c r="D7" s="151" t="s">
        <v>305</v>
      </c>
      <c r="E7" s="151"/>
      <c r="F7" s="18"/>
      <c r="G7" s="18"/>
      <c r="H7" s="151" t="s">
        <v>304</v>
      </c>
      <c r="I7" s="151"/>
      <c r="J7" s="18"/>
      <c r="K7" s="18"/>
      <c r="L7" s="151" t="s">
        <v>303</v>
      </c>
      <c r="M7" s="151"/>
      <c r="N7" s="18"/>
      <c r="O7" s="18"/>
      <c r="P7" s="151" t="s">
        <v>302</v>
      </c>
      <c r="Q7" s="151"/>
      <c r="R7" s="18"/>
      <c r="S7" s="18"/>
      <c r="T7" s="151" t="s">
        <v>301</v>
      </c>
      <c r="U7" s="151"/>
      <c r="V7" s="18"/>
      <c r="W7" s="18"/>
      <c r="X7" s="151" t="s">
        <v>300</v>
      </c>
      <c r="Y7" s="151"/>
      <c r="Z7" s="18"/>
      <c r="AA7" s="18"/>
      <c r="AB7" s="151" t="s">
        <v>299</v>
      </c>
      <c r="AC7" s="151"/>
      <c r="AD7" s="18"/>
      <c r="AE7" s="18"/>
      <c r="AF7" s="151" t="s">
        <v>298</v>
      </c>
      <c r="AG7" s="151"/>
      <c r="AH7" s="18"/>
      <c r="AI7" s="18"/>
      <c r="AJ7" s="151" t="s">
        <v>297</v>
      </c>
      <c r="AK7" s="151"/>
      <c r="AL7" s="18"/>
      <c r="AM7" s="18"/>
      <c r="AN7" s="151" t="s">
        <v>296</v>
      </c>
      <c r="AO7" s="151"/>
      <c r="AP7" s="18"/>
      <c r="AQ7" s="19"/>
      <c r="AR7" s="20"/>
      <c r="AU7" s="5"/>
      <c r="AV7" s="5"/>
      <c r="AW7" s="1"/>
    </row>
    <row r="8" spans="2:50" x14ac:dyDescent="0.25">
      <c r="B8" s="15"/>
      <c r="D8" s="21" t="s">
        <v>307</v>
      </c>
      <c r="E8" s="21" t="s">
        <v>307</v>
      </c>
      <c r="F8" s="4"/>
      <c r="G8" s="4"/>
      <c r="H8" s="21" t="s">
        <v>307</v>
      </c>
      <c r="I8" s="21" t="s">
        <v>307</v>
      </c>
      <c r="J8" s="4"/>
      <c r="K8" s="4"/>
      <c r="L8" s="21" t="s">
        <v>307</v>
      </c>
      <c r="M8" s="21" t="s">
        <v>307</v>
      </c>
      <c r="N8" s="4"/>
      <c r="O8" s="4"/>
      <c r="P8" s="21" t="s">
        <v>307</v>
      </c>
      <c r="Q8" s="21" t="s">
        <v>307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306</v>
      </c>
      <c r="AC8" s="21" t="s">
        <v>307</v>
      </c>
      <c r="AD8" s="4"/>
      <c r="AE8" s="4"/>
      <c r="AF8" s="21" t="s">
        <v>307</v>
      </c>
      <c r="AG8" s="21" t="s">
        <v>306</v>
      </c>
      <c r="AH8" s="4"/>
      <c r="AI8" s="4"/>
      <c r="AJ8" s="21" t="s">
        <v>306</v>
      </c>
      <c r="AK8" s="21" t="s">
        <v>307</v>
      </c>
      <c r="AL8" s="4"/>
      <c r="AM8" s="4"/>
      <c r="AN8" s="21" t="s">
        <v>307</v>
      </c>
      <c r="AO8" s="21" t="s">
        <v>306</v>
      </c>
      <c r="AP8" s="1"/>
      <c r="AQ8" s="22"/>
      <c r="AU8" s="5"/>
      <c r="AV8" s="5"/>
      <c r="AW8" s="1"/>
    </row>
    <row r="9" spans="2:50" x14ac:dyDescent="0.25">
      <c r="B9" s="15"/>
      <c r="D9" s="154" t="s">
        <v>87</v>
      </c>
      <c r="E9" s="154"/>
      <c r="F9" s="23"/>
      <c r="G9" s="23"/>
      <c r="H9" s="154" t="s">
        <v>105</v>
      </c>
      <c r="I9" s="154"/>
      <c r="L9" s="164" t="s">
        <v>126</v>
      </c>
      <c r="M9" s="164"/>
      <c r="N9" s="23"/>
      <c r="O9" s="23"/>
      <c r="P9" s="164" t="s">
        <v>143</v>
      </c>
      <c r="Q9" s="164"/>
      <c r="T9" s="152" t="s">
        <v>162</v>
      </c>
      <c r="U9" s="153"/>
      <c r="V9" s="23"/>
      <c r="W9" s="23"/>
      <c r="X9" s="164" t="s">
        <v>178</v>
      </c>
      <c r="Y9" s="164"/>
      <c r="AB9" s="164" t="s">
        <v>196</v>
      </c>
      <c r="AC9" s="164"/>
      <c r="AD9" s="23"/>
      <c r="AE9" s="23"/>
      <c r="AF9" s="164" t="s">
        <v>212</v>
      </c>
      <c r="AG9" s="164"/>
      <c r="AJ9" s="164" t="s">
        <v>230</v>
      </c>
      <c r="AK9" s="164"/>
      <c r="AL9" s="23"/>
      <c r="AM9" s="23"/>
      <c r="AN9" s="164" t="s">
        <v>246</v>
      </c>
      <c r="AO9" s="164"/>
      <c r="AP9" s="1"/>
      <c r="AQ9" s="22"/>
      <c r="AU9" s="5"/>
      <c r="AV9" s="5"/>
      <c r="AW9" s="1"/>
    </row>
    <row r="10" spans="2:50" x14ac:dyDescent="0.25">
      <c r="B10" s="15"/>
      <c r="D10" s="164" t="s">
        <v>89</v>
      </c>
      <c r="E10" s="164"/>
      <c r="F10" s="23"/>
      <c r="G10" s="23"/>
      <c r="H10" s="164" t="s">
        <v>109</v>
      </c>
      <c r="I10" s="164"/>
      <c r="L10" s="154" t="s">
        <v>128</v>
      </c>
      <c r="M10" s="154"/>
      <c r="N10" s="23"/>
      <c r="O10" s="23"/>
      <c r="P10" s="154" t="s">
        <v>144</v>
      </c>
      <c r="Q10" s="154"/>
      <c r="T10" s="152" t="s">
        <v>163</v>
      </c>
      <c r="U10" s="153"/>
      <c r="V10" s="23"/>
      <c r="W10" s="23"/>
      <c r="X10" s="164" t="s">
        <v>179</v>
      </c>
      <c r="Y10" s="164"/>
      <c r="AB10" s="164" t="s">
        <v>197</v>
      </c>
      <c r="AC10" s="164"/>
      <c r="AD10" s="23"/>
      <c r="AE10" s="23"/>
      <c r="AF10" s="164" t="s">
        <v>213</v>
      </c>
      <c r="AG10" s="164"/>
      <c r="AJ10" s="164" t="s">
        <v>231</v>
      </c>
      <c r="AK10" s="164"/>
      <c r="AL10" s="23"/>
      <c r="AM10" s="23"/>
      <c r="AN10" s="164" t="s">
        <v>247</v>
      </c>
      <c r="AO10" s="164"/>
      <c r="AP10" s="1"/>
      <c r="AQ10" s="22"/>
      <c r="AR10" s="24"/>
      <c r="AU10" s="5"/>
    </row>
    <row r="11" spans="2:50" x14ac:dyDescent="0.25">
      <c r="B11" s="15"/>
      <c r="D11" s="154" t="s">
        <v>91</v>
      </c>
      <c r="E11" s="154"/>
      <c r="F11" s="23"/>
      <c r="G11" s="23"/>
      <c r="H11" s="154" t="s">
        <v>110</v>
      </c>
      <c r="I11" s="154"/>
      <c r="L11" s="154" t="s">
        <v>129</v>
      </c>
      <c r="M11" s="154"/>
      <c r="N11" s="23"/>
      <c r="O11" s="23"/>
      <c r="P11" s="154" t="s">
        <v>145</v>
      </c>
      <c r="Q11" s="154"/>
      <c r="T11" s="152" t="s">
        <v>164</v>
      </c>
      <c r="U11" s="153"/>
      <c r="V11" s="23"/>
      <c r="W11" s="23"/>
      <c r="X11" s="164" t="s">
        <v>180</v>
      </c>
      <c r="Y11" s="164"/>
      <c r="AB11" s="164" t="s">
        <v>198</v>
      </c>
      <c r="AC11" s="164"/>
      <c r="AD11" s="23"/>
      <c r="AE11" s="23"/>
      <c r="AF11" s="164" t="s">
        <v>214</v>
      </c>
      <c r="AG11" s="164"/>
      <c r="AJ11" s="164" t="s">
        <v>232</v>
      </c>
      <c r="AK11" s="164"/>
      <c r="AL11" s="23"/>
      <c r="AM11" s="23"/>
      <c r="AN11" s="164" t="s">
        <v>248</v>
      </c>
      <c r="AO11" s="164"/>
      <c r="AP11" s="1"/>
      <c r="AQ11" s="22"/>
      <c r="AU11" s="5"/>
    </row>
    <row r="12" spans="2:50" x14ac:dyDescent="0.25">
      <c r="B12" s="15"/>
      <c r="D12" s="154" t="s">
        <v>92</v>
      </c>
      <c r="E12" s="154"/>
      <c r="F12" s="23"/>
      <c r="G12" s="23"/>
      <c r="H12" s="154" t="s">
        <v>111</v>
      </c>
      <c r="I12" s="154"/>
      <c r="L12" s="154" t="s">
        <v>130</v>
      </c>
      <c r="M12" s="154"/>
      <c r="N12" s="23"/>
      <c r="O12" s="23"/>
      <c r="P12" s="154" t="s">
        <v>147</v>
      </c>
      <c r="Q12" s="154"/>
      <c r="T12" s="152" t="s">
        <v>165</v>
      </c>
      <c r="U12" s="153"/>
      <c r="V12" s="23"/>
      <c r="W12" s="23"/>
      <c r="X12" s="164" t="s">
        <v>181</v>
      </c>
      <c r="Y12" s="164"/>
      <c r="AB12" s="164" t="s">
        <v>199</v>
      </c>
      <c r="AC12" s="164"/>
      <c r="AD12" s="23"/>
      <c r="AE12" s="23"/>
      <c r="AF12" s="164" t="s">
        <v>215</v>
      </c>
      <c r="AG12" s="164"/>
      <c r="AJ12" s="164" t="s">
        <v>233</v>
      </c>
      <c r="AK12" s="164"/>
      <c r="AL12" s="23"/>
      <c r="AM12" s="23"/>
      <c r="AN12" s="164" t="s">
        <v>249</v>
      </c>
      <c r="AO12" s="164"/>
      <c r="AP12" s="1"/>
      <c r="AQ12" s="22"/>
      <c r="AU12" s="5"/>
    </row>
    <row r="13" spans="2:50" x14ac:dyDescent="0.25">
      <c r="B13" s="15"/>
      <c r="D13" s="154" t="s">
        <v>93</v>
      </c>
      <c r="E13" s="154"/>
      <c r="F13" s="23"/>
      <c r="G13" s="23"/>
      <c r="H13" s="154" t="s">
        <v>112</v>
      </c>
      <c r="I13" s="154"/>
      <c r="L13" s="154" t="s">
        <v>131</v>
      </c>
      <c r="M13" s="154"/>
      <c r="N13" s="23"/>
      <c r="O13" s="23"/>
      <c r="P13" s="154" t="s">
        <v>148</v>
      </c>
      <c r="Q13" s="154"/>
      <c r="T13" s="152" t="s">
        <v>166</v>
      </c>
      <c r="U13" s="153"/>
      <c r="V13" s="23"/>
      <c r="W13" s="23"/>
      <c r="X13" s="164" t="s">
        <v>182</v>
      </c>
      <c r="Y13" s="164"/>
      <c r="AB13" s="164" t="s">
        <v>200</v>
      </c>
      <c r="AC13" s="164"/>
      <c r="AD13" s="23"/>
      <c r="AE13" s="23"/>
      <c r="AF13" s="164" t="s">
        <v>216</v>
      </c>
      <c r="AG13" s="164"/>
      <c r="AJ13" s="164" t="s">
        <v>234</v>
      </c>
      <c r="AK13" s="164"/>
      <c r="AL13" s="23"/>
      <c r="AM13" s="23"/>
      <c r="AN13" s="164" t="s">
        <v>250</v>
      </c>
      <c r="AO13" s="164"/>
      <c r="AP13" s="1"/>
      <c r="AQ13" s="22"/>
    </row>
    <row r="14" spans="2:50" x14ac:dyDescent="0.25">
      <c r="B14" s="15"/>
      <c r="D14" s="154" t="s">
        <v>94</v>
      </c>
      <c r="E14" s="154"/>
      <c r="F14" s="23"/>
      <c r="G14" s="23"/>
      <c r="H14" s="154" t="s">
        <v>113</v>
      </c>
      <c r="I14" s="154"/>
      <c r="L14" s="154" t="s">
        <v>132</v>
      </c>
      <c r="M14" s="154"/>
      <c r="N14" s="23"/>
      <c r="O14" s="23"/>
      <c r="P14" s="154" t="s">
        <v>149</v>
      </c>
      <c r="Q14" s="154"/>
      <c r="T14" s="152" t="s">
        <v>167</v>
      </c>
      <c r="U14" s="153"/>
      <c r="V14" s="23"/>
      <c r="W14" s="23"/>
      <c r="X14" s="164" t="s">
        <v>183</v>
      </c>
      <c r="Y14" s="164"/>
      <c r="AB14" s="164" t="s">
        <v>201</v>
      </c>
      <c r="AC14" s="164"/>
      <c r="AD14" s="23"/>
      <c r="AE14" s="23"/>
      <c r="AF14" s="164" t="s">
        <v>217</v>
      </c>
      <c r="AG14" s="164"/>
      <c r="AJ14" s="164" t="s">
        <v>235</v>
      </c>
      <c r="AK14" s="164"/>
      <c r="AL14" s="23"/>
      <c r="AM14" s="23"/>
      <c r="AN14" s="164" t="s">
        <v>251</v>
      </c>
      <c r="AO14" s="164"/>
      <c r="AP14" s="1"/>
      <c r="AQ14" s="22"/>
    </row>
    <row r="15" spans="2:50" x14ac:dyDescent="0.25">
      <c r="B15" s="15"/>
      <c r="D15" s="154" t="s">
        <v>95</v>
      </c>
      <c r="E15" s="154"/>
      <c r="F15" s="23"/>
      <c r="G15" s="23"/>
      <c r="H15" s="154" t="s">
        <v>114</v>
      </c>
      <c r="I15" s="154"/>
      <c r="L15" s="154" t="s">
        <v>133</v>
      </c>
      <c r="M15" s="154"/>
      <c r="N15" s="23"/>
      <c r="O15" s="23"/>
      <c r="P15" s="154" t="s">
        <v>150</v>
      </c>
      <c r="Q15" s="154"/>
      <c r="T15" s="152" t="s">
        <v>168</v>
      </c>
      <c r="U15" s="153"/>
      <c r="V15" s="23"/>
      <c r="W15" s="23"/>
      <c r="X15" s="164" t="s">
        <v>184</v>
      </c>
      <c r="Y15" s="164"/>
      <c r="AB15" s="164" t="s">
        <v>202</v>
      </c>
      <c r="AC15" s="164"/>
      <c r="AD15" s="23"/>
      <c r="AE15" s="23"/>
      <c r="AF15" s="164" t="s">
        <v>218</v>
      </c>
      <c r="AG15" s="164"/>
      <c r="AJ15" s="164" t="s">
        <v>236</v>
      </c>
      <c r="AK15" s="164"/>
      <c r="AL15" s="23"/>
      <c r="AM15" s="23"/>
      <c r="AN15" s="164" t="s">
        <v>252</v>
      </c>
      <c r="AO15" s="164"/>
      <c r="AP15" s="1"/>
      <c r="AQ15" s="22"/>
    </row>
    <row r="16" spans="2:50" x14ac:dyDescent="0.25">
      <c r="B16" s="15"/>
      <c r="D16" s="164" t="s">
        <v>96</v>
      </c>
      <c r="E16" s="164"/>
      <c r="F16" s="23"/>
      <c r="G16" s="23"/>
      <c r="H16" s="164" t="s">
        <v>115</v>
      </c>
      <c r="I16" s="164"/>
      <c r="L16" s="165" t="s">
        <v>134</v>
      </c>
      <c r="M16" s="165"/>
      <c r="N16" s="23"/>
      <c r="O16" s="23"/>
      <c r="P16" s="165" t="s">
        <v>151</v>
      </c>
      <c r="Q16" s="165"/>
      <c r="T16" s="152" t="s">
        <v>169</v>
      </c>
      <c r="U16" s="153"/>
      <c r="V16" s="23"/>
      <c r="W16" s="23"/>
      <c r="X16" s="164" t="s">
        <v>185</v>
      </c>
      <c r="Y16" s="164"/>
      <c r="AB16" s="164" t="s">
        <v>203</v>
      </c>
      <c r="AC16" s="164"/>
      <c r="AD16" s="23"/>
      <c r="AE16" s="23"/>
      <c r="AF16" s="164" t="s">
        <v>219</v>
      </c>
      <c r="AG16" s="164"/>
      <c r="AJ16" s="164" t="s">
        <v>237</v>
      </c>
      <c r="AK16" s="164"/>
      <c r="AL16" s="23"/>
      <c r="AM16" s="23"/>
      <c r="AN16" s="164" t="s">
        <v>253</v>
      </c>
      <c r="AO16" s="164"/>
      <c r="AP16" s="1"/>
      <c r="AQ16" s="22"/>
    </row>
    <row r="17" spans="2:43" x14ac:dyDescent="0.25">
      <c r="B17" s="15"/>
      <c r="D17" s="164" t="s">
        <v>97</v>
      </c>
      <c r="E17" s="164"/>
      <c r="F17" s="23"/>
      <c r="G17" s="23"/>
      <c r="H17" s="154" t="s">
        <v>116</v>
      </c>
      <c r="I17" s="154"/>
      <c r="L17" s="154" t="s">
        <v>135</v>
      </c>
      <c r="M17" s="154"/>
      <c r="N17" s="23"/>
      <c r="O17" s="23"/>
      <c r="P17" s="154" t="s">
        <v>152</v>
      </c>
      <c r="Q17" s="154"/>
      <c r="T17" s="152" t="s">
        <v>170</v>
      </c>
      <c r="U17" s="153"/>
      <c r="V17" s="23"/>
      <c r="W17" s="23"/>
      <c r="X17" s="164" t="s">
        <v>186</v>
      </c>
      <c r="Y17" s="164"/>
      <c r="AB17" s="164" t="s">
        <v>204</v>
      </c>
      <c r="AC17" s="164"/>
      <c r="AD17" s="23"/>
      <c r="AE17" s="23"/>
      <c r="AF17" s="164" t="s">
        <v>220</v>
      </c>
      <c r="AG17" s="164"/>
      <c r="AJ17" s="164" t="s">
        <v>238</v>
      </c>
      <c r="AK17" s="164"/>
      <c r="AL17" s="23"/>
      <c r="AM17" s="23"/>
      <c r="AN17" s="164" t="s">
        <v>254</v>
      </c>
      <c r="AO17" s="164"/>
      <c r="AP17" s="1"/>
      <c r="AQ17" s="22"/>
    </row>
    <row r="18" spans="2:43" x14ac:dyDescent="0.25">
      <c r="B18" s="15"/>
      <c r="D18" s="164" t="s">
        <v>98</v>
      </c>
      <c r="E18" s="164"/>
      <c r="F18" s="23"/>
      <c r="G18" s="23"/>
      <c r="H18" s="164" t="s">
        <v>117</v>
      </c>
      <c r="I18" s="164"/>
      <c r="L18" s="154" t="s">
        <v>136</v>
      </c>
      <c r="M18" s="154"/>
      <c r="N18" s="23"/>
      <c r="O18" s="23"/>
      <c r="P18" s="165" t="s">
        <v>153</v>
      </c>
      <c r="Q18" s="165"/>
      <c r="T18" s="152" t="s">
        <v>171</v>
      </c>
      <c r="U18" s="153"/>
      <c r="V18" s="23"/>
      <c r="W18" s="23"/>
      <c r="X18" s="164" t="s">
        <v>187</v>
      </c>
      <c r="Y18" s="164"/>
      <c r="AB18" s="164" t="s">
        <v>205</v>
      </c>
      <c r="AC18" s="164"/>
      <c r="AD18" s="23"/>
      <c r="AE18" s="23"/>
      <c r="AF18" s="164" t="s">
        <v>221</v>
      </c>
      <c r="AG18" s="164"/>
      <c r="AJ18" s="164" t="s">
        <v>239</v>
      </c>
      <c r="AK18" s="164"/>
      <c r="AL18" s="23"/>
      <c r="AM18" s="23"/>
      <c r="AN18" s="164" t="s">
        <v>255</v>
      </c>
      <c r="AO18" s="164"/>
      <c r="AP18" s="1"/>
      <c r="AQ18" s="22"/>
    </row>
    <row r="19" spans="2:43" x14ac:dyDescent="0.25">
      <c r="B19" s="15"/>
      <c r="D19" s="155"/>
      <c r="E19" s="155"/>
      <c r="F19" s="23"/>
      <c r="G19" s="23"/>
      <c r="H19" s="164" t="s">
        <v>118</v>
      </c>
      <c r="I19" s="164"/>
      <c r="L19" s="155"/>
      <c r="M19" s="155"/>
      <c r="N19" s="23"/>
      <c r="O19" s="23"/>
      <c r="P19" s="154" t="s">
        <v>154</v>
      </c>
      <c r="Q19" s="154"/>
      <c r="T19" s="155"/>
      <c r="U19" s="155"/>
      <c r="V19" s="23"/>
      <c r="W19" s="23"/>
      <c r="X19" s="164" t="s">
        <v>188</v>
      </c>
      <c r="Y19" s="164"/>
      <c r="AB19" s="155"/>
      <c r="AC19" s="155"/>
      <c r="AD19" s="23"/>
      <c r="AE19" s="23"/>
      <c r="AF19" s="164" t="s">
        <v>222</v>
      </c>
      <c r="AG19" s="164"/>
      <c r="AJ19" s="155"/>
      <c r="AK19" s="155"/>
      <c r="AL19" s="23"/>
      <c r="AM19" s="23"/>
      <c r="AN19" s="164" t="s">
        <v>256</v>
      </c>
      <c r="AO19" s="164"/>
      <c r="AP19" s="1"/>
      <c r="AQ19" s="22"/>
    </row>
    <row r="20" spans="2:43" x14ac:dyDescent="0.25">
      <c r="B20" s="15"/>
      <c r="D20" s="155"/>
      <c r="E20" s="155"/>
      <c r="F20" s="23"/>
      <c r="G20" s="23"/>
      <c r="H20" s="164" t="s">
        <v>119</v>
      </c>
      <c r="I20" s="164"/>
      <c r="L20" s="155"/>
      <c r="M20" s="155"/>
      <c r="N20" s="23"/>
      <c r="O20" s="23"/>
      <c r="P20" s="154" t="s">
        <v>155</v>
      </c>
      <c r="Q20" s="154"/>
      <c r="T20" s="155"/>
      <c r="U20" s="155"/>
      <c r="V20" s="23"/>
      <c r="W20" s="23"/>
      <c r="X20" s="164" t="s">
        <v>189</v>
      </c>
      <c r="Y20" s="164"/>
      <c r="AB20" s="155"/>
      <c r="AC20" s="155"/>
      <c r="AD20" s="23"/>
      <c r="AE20" s="23"/>
      <c r="AF20" s="164" t="s">
        <v>223</v>
      </c>
      <c r="AG20" s="164"/>
      <c r="AJ20" s="155"/>
      <c r="AK20" s="155"/>
      <c r="AL20" s="23"/>
      <c r="AM20" s="23"/>
      <c r="AN20" s="164" t="s">
        <v>257</v>
      </c>
      <c r="AO20" s="164"/>
      <c r="AP20" s="25"/>
      <c r="AQ20" s="22"/>
    </row>
    <row r="21" spans="2:43" x14ac:dyDescent="0.25">
      <c r="B21" s="15"/>
      <c r="D21" s="167" t="s">
        <v>99</v>
      </c>
      <c r="E21" s="167"/>
      <c r="F21" s="23"/>
      <c r="G21" s="23"/>
      <c r="H21" s="164" t="s">
        <v>120</v>
      </c>
      <c r="I21" s="164"/>
      <c r="L21" s="165" t="s">
        <v>137</v>
      </c>
      <c r="M21" s="165"/>
      <c r="N21" s="23"/>
      <c r="O21" s="23"/>
      <c r="P21" s="165" t="s">
        <v>156</v>
      </c>
      <c r="Q21" s="165"/>
      <c r="T21" s="164" t="s">
        <v>172</v>
      </c>
      <c r="U21" s="164"/>
      <c r="V21" s="23"/>
      <c r="W21" s="23"/>
      <c r="X21" s="164" t="s">
        <v>190</v>
      </c>
      <c r="Y21" s="164"/>
      <c r="AB21" s="164" t="s">
        <v>206</v>
      </c>
      <c r="AC21" s="164"/>
      <c r="AD21" s="23"/>
      <c r="AE21" s="23"/>
      <c r="AF21" s="164" t="s">
        <v>224</v>
      </c>
      <c r="AG21" s="164"/>
      <c r="AJ21" s="164" t="s">
        <v>240</v>
      </c>
      <c r="AK21" s="164"/>
      <c r="AL21" s="23"/>
      <c r="AM21" s="23"/>
      <c r="AN21" s="164" t="s">
        <v>258</v>
      </c>
      <c r="AO21" s="164"/>
      <c r="AP21" s="1"/>
      <c r="AQ21" s="22"/>
    </row>
    <row r="22" spans="2:43" x14ac:dyDescent="0.25">
      <c r="B22" s="15"/>
      <c r="D22" s="166" t="s">
        <v>100</v>
      </c>
      <c r="E22" s="166"/>
      <c r="F22" s="23"/>
      <c r="G22" s="23"/>
      <c r="H22" s="165" t="s">
        <v>121</v>
      </c>
      <c r="I22" s="165"/>
      <c r="L22" s="165" t="s">
        <v>138</v>
      </c>
      <c r="M22" s="165"/>
      <c r="N22" s="23"/>
      <c r="O22" s="23"/>
      <c r="P22" s="165" t="s">
        <v>157</v>
      </c>
      <c r="Q22" s="165"/>
      <c r="T22" s="164" t="s">
        <v>173</v>
      </c>
      <c r="U22" s="164"/>
      <c r="V22" s="23"/>
      <c r="W22" s="23"/>
      <c r="X22" s="164" t="s">
        <v>191</v>
      </c>
      <c r="Y22" s="164"/>
      <c r="AB22" s="164" t="s">
        <v>207</v>
      </c>
      <c r="AC22" s="164"/>
      <c r="AD22" s="23"/>
      <c r="AE22" s="23"/>
      <c r="AF22" s="164" t="s">
        <v>225</v>
      </c>
      <c r="AG22" s="164"/>
      <c r="AJ22" s="164" t="s">
        <v>241</v>
      </c>
      <c r="AK22" s="164"/>
      <c r="AL22" s="23"/>
      <c r="AM22" s="23"/>
      <c r="AN22" s="164" t="s">
        <v>259</v>
      </c>
      <c r="AO22" s="164"/>
      <c r="AP22" s="1"/>
      <c r="AQ22" s="22"/>
    </row>
    <row r="23" spans="2:43" x14ac:dyDescent="0.25">
      <c r="B23" s="15"/>
      <c r="D23" s="168"/>
      <c r="E23" s="168"/>
      <c r="F23" s="2"/>
      <c r="G23" s="2"/>
      <c r="H23" s="168"/>
      <c r="I23" s="168"/>
      <c r="J23" s="2"/>
      <c r="K23" s="2"/>
      <c r="L23" s="168"/>
      <c r="M23" s="168"/>
      <c r="N23" s="2"/>
      <c r="O23" s="2"/>
      <c r="P23" s="168"/>
      <c r="Q23" s="168"/>
      <c r="T23" s="164" t="s">
        <v>174</v>
      </c>
      <c r="U23" s="164"/>
      <c r="V23" s="23"/>
      <c r="W23" s="23"/>
      <c r="X23" s="164" t="s">
        <v>192</v>
      </c>
      <c r="Y23" s="164"/>
      <c r="AB23" s="164" t="s">
        <v>208</v>
      </c>
      <c r="AC23" s="164"/>
      <c r="AD23" s="23"/>
      <c r="AE23" s="23"/>
      <c r="AF23" s="164" t="s">
        <v>226</v>
      </c>
      <c r="AG23" s="164"/>
      <c r="AJ23" s="164" t="s">
        <v>242</v>
      </c>
      <c r="AK23" s="164"/>
      <c r="AL23" s="23"/>
      <c r="AM23" s="23"/>
      <c r="AN23" s="164" t="s">
        <v>260</v>
      </c>
      <c r="AO23" s="164"/>
      <c r="AP23" s="1"/>
      <c r="AQ23" s="22"/>
    </row>
    <row r="24" spans="2:43" x14ac:dyDescent="0.25">
      <c r="B24" s="15"/>
      <c r="D24" s="168"/>
      <c r="E24" s="168"/>
      <c r="F24" s="2"/>
      <c r="G24" s="2"/>
      <c r="H24" s="168"/>
      <c r="I24" s="168"/>
      <c r="J24" s="2"/>
      <c r="K24" s="2"/>
      <c r="L24" s="168"/>
      <c r="M24" s="168"/>
      <c r="N24" s="2"/>
      <c r="O24" s="2"/>
      <c r="P24" s="168"/>
      <c r="Q24" s="168"/>
      <c r="T24" s="164" t="s">
        <v>175</v>
      </c>
      <c r="U24" s="164"/>
      <c r="V24" s="23"/>
      <c r="W24" s="23"/>
      <c r="X24" s="154" t="s">
        <v>193</v>
      </c>
      <c r="Y24" s="154"/>
      <c r="AB24" s="164" t="s">
        <v>209</v>
      </c>
      <c r="AC24" s="164"/>
      <c r="AD24" s="23"/>
      <c r="AE24" s="23"/>
      <c r="AF24" s="164" t="s">
        <v>227</v>
      </c>
      <c r="AG24" s="164"/>
      <c r="AJ24" s="164" t="s">
        <v>243</v>
      </c>
      <c r="AK24" s="164"/>
      <c r="AL24" s="23"/>
      <c r="AM24" s="23"/>
      <c r="AN24" s="164" t="s">
        <v>261</v>
      </c>
      <c r="AO24" s="164"/>
      <c r="AP24" s="1"/>
      <c r="AQ24" s="22"/>
    </row>
    <row r="25" spans="2:43" x14ac:dyDescent="0.25">
      <c r="B25" s="15"/>
      <c r="D25" s="168"/>
      <c r="E25" s="168"/>
      <c r="F25" s="2"/>
      <c r="G25" s="2"/>
      <c r="H25" s="168"/>
      <c r="I25" s="168"/>
      <c r="J25" s="2"/>
      <c r="K25" s="2"/>
      <c r="L25" s="168"/>
      <c r="M25" s="168"/>
      <c r="N25" s="2"/>
      <c r="O25" s="2"/>
      <c r="P25" s="168"/>
      <c r="Q25" s="168"/>
      <c r="T25" s="154" t="s">
        <v>176</v>
      </c>
      <c r="U25" s="154"/>
      <c r="V25" s="23"/>
      <c r="W25" s="23"/>
      <c r="X25" s="154" t="s">
        <v>194</v>
      </c>
      <c r="Y25" s="154"/>
      <c r="AB25" s="164" t="s">
        <v>210</v>
      </c>
      <c r="AC25" s="164"/>
      <c r="AD25" s="23"/>
      <c r="AE25" s="23"/>
      <c r="AF25" s="164" t="s">
        <v>228</v>
      </c>
      <c r="AG25" s="164"/>
      <c r="AJ25" s="164" t="s">
        <v>244</v>
      </c>
      <c r="AK25" s="164"/>
      <c r="AL25" s="23"/>
      <c r="AM25" s="23"/>
      <c r="AN25" s="164" t="s">
        <v>262</v>
      </c>
      <c r="AO25" s="164"/>
      <c r="AP25" s="1"/>
      <c r="AQ25" s="22"/>
    </row>
    <row r="26" spans="2:43" x14ac:dyDescent="0.25">
      <c r="B26" s="15"/>
      <c r="D26" s="168"/>
      <c r="E26" s="168"/>
      <c r="F26" s="2"/>
      <c r="G26" s="2"/>
      <c r="H26" s="168"/>
      <c r="I26" s="168"/>
      <c r="J26" s="2"/>
      <c r="K26" s="2"/>
      <c r="L26" s="168"/>
      <c r="M26" s="168"/>
      <c r="N26" s="2"/>
      <c r="O26" s="2"/>
      <c r="P26" s="168"/>
      <c r="Q26" s="168"/>
      <c r="T26" s="154" t="s">
        <v>177</v>
      </c>
      <c r="U26" s="154"/>
      <c r="V26" s="23"/>
      <c r="W26" s="23"/>
      <c r="X26" s="154" t="s">
        <v>195</v>
      </c>
      <c r="Y26" s="154"/>
      <c r="AB26" s="154" t="s">
        <v>211</v>
      </c>
      <c r="AC26" s="154"/>
      <c r="AD26" s="23"/>
      <c r="AE26" s="23"/>
      <c r="AF26" s="164" t="s">
        <v>229</v>
      </c>
      <c r="AG26" s="164"/>
      <c r="AJ26" s="154" t="s">
        <v>245</v>
      </c>
      <c r="AK26" s="154"/>
      <c r="AL26" s="23"/>
      <c r="AM26" s="23"/>
      <c r="AN26" s="154" t="s">
        <v>263</v>
      </c>
      <c r="AO26" s="154"/>
      <c r="AP26" s="1"/>
      <c r="AQ26" s="22"/>
    </row>
    <row r="27" spans="2:4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</row>
    <row r="28" spans="2:43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</row>
    <row r="29" spans="2:43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</row>
    <row r="30" spans="2:43" ht="23.4" customHeight="1" x14ac:dyDescent="0.25">
      <c r="B30" s="143" t="s">
        <v>347</v>
      </c>
      <c r="C30" s="144"/>
      <c r="D30" s="1"/>
      <c r="E30" s="1"/>
      <c r="F30" s="1"/>
      <c r="G30" s="1"/>
      <c r="H30" s="1"/>
      <c r="I30" s="143" t="s">
        <v>348</v>
      </c>
      <c r="J30" s="144"/>
      <c r="K30" s="143" t="s">
        <v>349</v>
      </c>
      <c r="L30" s="144"/>
      <c r="M30" s="1"/>
      <c r="N30" s="1"/>
      <c r="O30" s="1"/>
      <c r="P30" s="143" t="s">
        <v>350</v>
      </c>
      <c r="Q30" s="144"/>
      <c r="R30" s="1"/>
      <c r="S30" s="1"/>
      <c r="T30" s="143" t="s">
        <v>351</v>
      </c>
      <c r="U30" s="144"/>
      <c r="V30" s="1"/>
      <c r="W30" s="1"/>
      <c r="X30" s="1"/>
      <c r="Y30" s="143" t="s">
        <v>352</v>
      </c>
      <c r="Z30" s="144"/>
      <c r="AA30" s="143" t="s">
        <v>353</v>
      </c>
      <c r="AB30" s="144"/>
      <c r="AC30" s="1"/>
      <c r="AD30" s="1"/>
      <c r="AE30" s="1"/>
      <c r="AF30" s="1"/>
      <c r="AG30" s="143" t="s">
        <v>354</v>
      </c>
      <c r="AH30" s="144"/>
      <c r="AI30" s="1"/>
      <c r="AJ30" s="1"/>
      <c r="AK30" s="143" t="s">
        <v>355</v>
      </c>
      <c r="AL30" s="144"/>
      <c r="AM30" s="1"/>
      <c r="AN30" s="1"/>
      <c r="AO30" s="1"/>
      <c r="AP30" s="143" t="s">
        <v>356</v>
      </c>
      <c r="AQ30" s="144"/>
    </row>
    <row r="31" spans="2:43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</row>
    <row r="33" spans="2:11" ht="14.1" customHeight="1" x14ac:dyDescent="0.25">
      <c r="B33" s="159" t="s">
        <v>332</v>
      </c>
      <c r="C33" s="159"/>
      <c r="D33" s="159"/>
      <c r="E33" s="159"/>
      <c r="F33" s="159"/>
      <c r="G33" s="26"/>
      <c r="H33" s="35">
        <f>getcolorcount($D$9:$AO$26,G33)</f>
        <v>76</v>
      </c>
    </row>
    <row r="34" spans="2:11" x14ac:dyDescent="0.25">
      <c r="B34" s="159"/>
      <c r="C34" s="159"/>
      <c r="D34" s="159"/>
      <c r="E34" s="159"/>
      <c r="F34" s="159"/>
      <c r="G34" s="28"/>
      <c r="H34" s="35">
        <f>getcolorcount($D$9:$AO$26,G34)</f>
        <v>232</v>
      </c>
    </row>
    <row r="35" spans="2:11" x14ac:dyDescent="0.25">
      <c r="B35" s="159"/>
      <c r="C35" s="159"/>
      <c r="D35" s="159"/>
      <c r="E35" s="159"/>
      <c r="F35" s="159"/>
      <c r="G35" s="29"/>
      <c r="H35" s="35">
        <f>getcolorcount($D$9:$AO$26,G35)</f>
        <v>76</v>
      </c>
    </row>
    <row r="36" spans="2:11" x14ac:dyDescent="0.25">
      <c r="B36" s="159"/>
      <c r="C36" s="159"/>
      <c r="D36" s="159"/>
      <c r="E36" s="159"/>
      <c r="F36" s="159"/>
      <c r="G36" s="30"/>
      <c r="H36" s="35">
        <f>getcolorcount($D$9:$AO$26,G36)</f>
        <v>232</v>
      </c>
      <c r="J36" s="2"/>
      <c r="K36" s="31"/>
    </row>
    <row r="37" spans="2:11" x14ac:dyDescent="0.25">
      <c r="B37" s="160"/>
      <c r="C37" s="160"/>
      <c r="D37" s="160"/>
      <c r="E37" s="160"/>
      <c r="F37" s="160"/>
      <c r="G37" s="32"/>
      <c r="J37" s="24"/>
      <c r="K37" s="31"/>
    </row>
    <row r="38" spans="2:11" x14ac:dyDescent="0.25">
      <c r="B38" s="157" t="s">
        <v>333</v>
      </c>
      <c r="C38" s="157"/>
      <c r="D38" s="157"/>
      <c r="E38" s="157"/>
      <c r="F38" s="33">
        <v>154</v>
      </c>
      <c r="G38" s="1"/>
      <c r="H38" s="1"/>
    </row>
    <row r="39" spans="2:11" x14ac:dyDescent="0.25">
      <c r="B39" s="157" t="s">
        <v>334</v>
      </c>
      <c r="C39" s="157"/>
      <c r="D39" s="157"/>
      <c r="E39" s="157"/>
      <c r="F39" s="33">
        <f>H36/2</f>
        <v>116</v>
      </c>
      <c r="G39" s="34"/>
      <c r="H39" s="1"/>
    </row>
    <row r="40" spans="2:11" x14ac:dyDescent="0.25">
      <c r="B40" s="157" t="s">
        <v>335</v>
      </c>
      <c r="C40" s="157"/>
      <c r="D40" s="157"/>
      <c r="E40" s="157"/>
      <c r="F40" s="33">
        <f>F38-F39</f>
        <v>38</v>
      </c>
      <c r="G40" s="29"/>
      <c r="H40" s="1"/>
    </row>
  </sheetData>
  <mergeCells count="231"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X40"/>
  <sheetViews>
    <sheetView showGridLines="0" zoomScale="85" zoomScaleNormal="85" workbookViewId="0">
      <selection activeCell="AS17" sqref="AS17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7.44140625" customWidth="1"/>
    <col min="7" max="7" width="3.6640625" customWidth="1"/>
    <col min="8" max="8" width="7.4414062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4.44140625" customWidth="1"/>
    <col min="21" max="21" width="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16.109375" style="3" customWidth="1"/>
    <col min="47" max="47" width="16.109375" style="4" customWidth="1"/>
    <col min="48" max="48" width="4.44140625" style="4" customWidth="1"/>
    <col min="49" max="49" width="5.109375" customWidth="1"/>
  </cols>
  <sheetData>
    <row r="1" spans="2:50" x14ac:dyDescent="0.25">
      <c r="AS1" s="158"/>
      <c r="AU1" s="5"/>
      <c r="AV1" s="5"/>
      <c r="AW1" s="6"/>
      <c r="AX1" s="1"/>
    </row>
    <row r="2" spans="2:50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U2" s="5"/>
      <c r="AX2" s="1"/>
    </row>
    <row r="3" spans="2:50" ht="25.05" customHeight="1" x14ac:dyDescent="0.25">
      <c r="B3" s="143" t="s">
        <v>357</v>
      </c>
      <c r="C3" s="144"/>
      <c r="D3" s="1"/>
      <c r="E3" s="1"/>
      <c r="F3" s="1"/>
      <c r="G3" s="1"/>
      <c r="H3" s="1"/>
      <c r="I3" s="143" t="s">
        <v>358</v>
      </c>
      <c r="J3" s="144"/>
      <c r="K3" s="143" t="s">
        <v>359</v>
      </c>
      <c r="L3" s="144"/>
      <c r="M3" s="1"/>
      <c r="N3" s="1"/>
      <c r="O3" s="1"/>
      <c r="P3" s="143" t="s">
        <v>360</v>
      </c>
      <c r="Q3" s="144"/>
      <c r="R3" s="1"/>
      <c r="S3" s="1"/>
      <c r="T3" s="143" t="s">
        <v>361</v>
      </c>
      <c r="U3" s="144"/>
      <c r="V3" s="1"/>
      <c r="W3" s="1"/>
      <c r="X3" s="1"/>
      <c r="Y3" s="143" t="s">
        <v>362</v>
      </c>
      <c r="Z3" s="144"/>
      <c r="AA3" s="143" t="s">
        <v>363</v>
      </c>
      <c r="AB3" s="144"/>
      <c r="AC3" s="1"/>
      <c r="AD3" s="1"/>
      <c r="AE3" s="1"/>
      <c r="AF3" s="1"/>
      <c r="AG3" s="143" t="s">
        <v>364</v>
      </c>
      <c r="AH3" s="144"/>
      <c r="AI3" s="1"/>
      <c r="AJ3" s="1"/>
      <c r="AK3" s="143" t="s">
        <v>365</v>
      </c>
      <c r="AL3" s="144"/>
      <c r="AM3" s="1"/>
      <c r="AN3" s="1"/>
      <c r="AO3" s="1"/>
      <c r="AP3" s="143" t="s">
        <v>366</v>
      </c>
      <c r="AQ3" s="144"/>
      <c r="AR3" s="10"/>
      <c r="AS3" s="158"/>
      <c r="AU3" s="5"/>
      <c r="AX3" s="1"/>
    </row>
    <row r="4" spans="2:50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3"/>
      <c r="AU4" s="5"/>
      <c r="AV4" s="5"/>
      <c r="AW4" s="11"/>
      <c r="AX4"/>
    </row>
    <row r="5" spans="2:50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U5" s="5"/>
      <c r="AV5" s="5"/>
      <c r="AW5" s="1"/>
    </row>
    <row r="6" spans="2:50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16" t="s">
        <v>367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U6" s="5"/>
      <c r="AV6" s="5"/>
      <c r="AW6" s="1"/>
    </row>
    <row r="7" spans="2:50" x14ac:dyDescent="0.25">
      <c r="B7" s="17"/>
      <c r="C7" s="18"/>
      <c r="D7" s="151" t="s">
        <v>296</v>
      </c>
      <c r="E7" s="151"/>
      <c r="F7" s="18"/>
      <c r="G7" s="18"/>
      <c r="H7" s="151" t="s">
        <v>297</v>
      </c>
      <c r="I7" s="151"/>
      <c r="J7" s="18"/>
      <c r="K7" s="18"/>
      <c r="L7" s="151" t="s">
        <v>298</v>
      </c>
      <c r="M7" s="151"/>
      <c r="N7" s="18"/>
      <c r="O7" s="18"/>
      <c r="P7" s="151" t="s">
        <v>299</v>
      </c>
      <c r="Q7" s="151"/>
      <c r="R7" s="18"/>
      <c r="S7" s="18"/>
      <c r="T7" s="151" t="s">
        <v>300</v>
      </c>
      <c r="U7" s="151"/>
      <c r="V7" s="18"/>
      <c r="W7" s="18"/>
      <c r="X7" s="151" t="s">
        <v>301</v>
      </c>
      <c r="Y7" s="151"/>
      <c r="Z7" s="18"/>
      <c r="AA7" s="18"/>
      <c r="AB7" s="151" t="s">
        <v>302</v>
      </c>
      <c r="AC7" s="151"/>
      <c r="AD7" s="18"/>
      <c r="AE7" s="18"/>
      <c r="AF7" s="151" t="s">
        <v>303</v>
      </c>
      <c r="AG7" s="151"/>
      <c r="AH7" s="18"/>
      <c r="AI7" s="18"/>
      <c r="AJ7" s="151" t="s">
        <v>304</v>
      </c>
      <c r="AK7" s="151"/>
      <c r="AL7" s="18"/>
      <c r="AM7" s="18"/>
      <c r="AN7" s="151" t="s">
        <v>305</v>
      </c>
      <c r="AO7" s="151"/>
      <c r="AP7" s="18"/>
      <c r="AQ7" s="19"/>
      <c r="AR7" s="20"/>
      <c r="AU7" s="5"/>
      <c r="AV7" s="5"/>
      <c r="AW7" s="1"/>
    </row>
    <row r="8" spans="2:50" ht="14.25" customHeight="1" x14ac:dyDescent="0.25">
      <c r="B8" s="15"/>
      <c r="D8" s="21" t="s">
        <v>306</v>
      </c>
      <c r="E8" s="21" t="s">
        <v>307</v>
      </c>
      <c r="F8" s="4"/>
      <c r="G8" s="4"/>
      <c r="H8" s="21" t="s">
        <v>307</v>
      </c>
      <c r="I8" s="21" t="s">
        <v>306</v>
      </c>
      <c r="J8" s="4"/>
      <c r="K8" s="4"/>
      <c r="L8" s="21" t="s">
        <v>306</v>
      </c>
      <c r="M8" s="21" t="s">
        <v>307</v>
      </c>
      <c r="N8" s="4"/>
      <c r="O8" s="4"/>
      <c r="P8" s="21" t="s">
        <v>307</v>
      </c>
      <c r="Q8" s="21" t="s">
        <v>306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307</v>
      </c>
      <c r="AC8" s="21" t="s">
        <v>307</v>
      </c>
      <c r="AD8" s="4"/>
      <c r="AE8" s="4"/>
      <c r="AF8" s="21" t="s">
        <v>307</v>
      </c>
      <c r="AG8" s="21" t="s">
        <v>307</v>
      </c>
      <c r="AH8" s="4"/>
      <c r="AI8" s="4"/>
      <c r="AJ8" s="21" t="s">
        <v>307</v>
      </c>
      <c r="AK8" s="21" t="s">
        <v>307</v>
      </c>
      <c r="AL8" s="4"/>
      <c r="AM8" s="4"/>
      <c r="AN8" s="21" t="s">
        <v>307</v>
      </c>
      <c r="AO8" s="21" t="s">
        <v>307</v>
      </c>
      <c r="AP8" s="1"/>
      <c r="AQ8" s="22"/>
      <c r="AU8" s="5"/>
      <c r="AV8" s="5"/>
      <c r="AW8" s="1"/>
    </row>
    <row r="9" spans="2:50" x14ac:dyDescent="0.25">
      <c r="B9" s="15"/>
      <c r="D9" s="154" t="s">
        <v>246</v>
      </c>
      <c r="E9" s="154"/>
      <c r="F9" s="23"/>
      <c r="G9" s="23"/>
      <c r="H9" s="154" t="s">
        <v>230</v>
      </c>
      <c r="I9" s="154"/>
      <c r="L9" s="154" t="s">
        <v>212</v>
      </c>
      <c r="M9" s="154"/>
      <c r="N9" s="23"/>
      <c r="O9" s="23"/>
      <c r="P9" s="164" t="s">
        <v>196</v>
      </c>
      <c r="Q9" s="164"/>
      <c r="T9" s="164" t="s">
        <v>178</v>
      </c>
      <c r="U9" s="164"/>
      <c r="V9" s="23"/>
      <c r="W9" s="23"/>
      <c r="X9" s="164" t="s">
        <v>162</v>
      </c>
      <c r="Y9" s="164"/>
      <c r="AB9" s="152" t="s">
        <v>143</v>
      </c>
      <c r="AC9" s="153"/>
      <c r="AD9" s="23"/>
      <c r="AE9" s="23"/>
      <c r="AF9" s="164" t="s">
        <v>126</v>
      </c>
      <c r="AG9" s="164"/>
      <c r="AJ9" s="164" t="s">
        <v>105</v>
      </c>
      <c r="AK9" s="164"/>
      <c r="AL9" s="23"/>
      <c r="AM9" s="23"/>
      <c r="AN9" s="164" t="s">
        <v>87</v>
      </c>
      <c r="AO9" s="164"/>
      <c r="AP9" s="1"/>
      <c r="AQ9" s="22"/>
      <c r="AU9" s="5"/>
    </row>
    <row r="10" spans="2:50" x14ac:dyDescent="0.25">
      <c r="B10" s="15"/>
      <c r="D10" s="154" t="s">
        <v>247</v>
      </c>
      <c r="E10" s="154"/>
      <c r="F10" s="23"/>
      <c r="G10" s="23"/>
      <c r="H10" s="154" t="s">
        <v>231</v>
      </c>
      <c r="I10" s="154"/>
      <c r="L10" s="154" t="s">
        <v>213</v>
      </c>
      <c r="M10" s="154"/>
      <c r="N10" s="23"/>
      <c r="O10" s="23"/>
      <c r="P10" s="164" t="s">
        <v>197</v>
      </c>
      <c r="Q10" s="164"/>
      <c r="T10" s="164" t="s">
        <v>179</v>
      </c>
      <c r="U10" s="164"/>
      <c r="V10" s="23"/>
      <c r="W10" s="23"/>
      <c r="X10" s="164" t="s">
        <v>163</v>
      </c>
      <c r="Y10" s="164"/>
      <c r="AB10" s="164" t="s">
        <v>144</v>
      </c>
      <c r="AC10" s="164"/>
      <c r="AD10" s="23"/>
      <c r="AE10" s="23"/>
      <c r="AF10" s="154" t="s">
        <v>128</v>
      </c>
      <c r="AG10" s="154"/>
      <c r="AJ10" s="164" t="s">
        <v>109</v>
      </c>
      <c r="AK10" s="164"/>
      <c r="AL10" s="23"/>
      <c r="AM10" s="23"/>
      <c r="AN10" s="154" t="s">
        <v>89</v>
      </c>
      <c r="AO10" s="154"/>
      <c r="AP10" s="1"/>
      <c r="AQ10" s="22"/>
      <c r="AR10" s="24"/>
      <c r="AU10" s="5"/>
    </row>
    <row r="11" spans="2:50" x14ac:dyDescent="0.25">
      <c r="B11" s="15"/>
      <c r="D11" s="154" t="s">
        <v>248</v>
      </c>
      <c r="E11" s="154"/>
      <c r="F11" s="23"/>
      <c r="G11" s="23"/>
      <c r="H11" s="154" t="s">
        <v>232</v>
      </c>
      <c r="I11" s="154"/>
      <c r="L11" s="154" t="s">
        <v>214</v>
      </c>
      <c r="M11" s="154"/>
      <c r="N11" s="23"/>
      <c r="O11" s="23"/>
      <c r="P11" s="164" t="s">
        <v>198</v>
      </c>
      <c r="Q11" s="164"/>
      <c r="T11" s="164" t="s">
        <v>180</v>
      </c>
      <c r="U11" s="164"/>
      <c r="V11" s="23"/>
      <c r="W11" s="23"/>
      <c r="X11" s="164" t="s">
        <v>164</v>
      </c>
      <c r="Y11" s="164"/>
      <c r="AB11" s="154" t="s">
        <v>145</v>
      </c>
      <c r="AC11" s="154"/>
      <c r="AD11" s="23"/>
      <c r="AE11" s="23"/>
      <c r="AF11" s="154" t="s">
        <v>129</v>
      </c>
      <c r="AG11" s="154"/>
      <c r="AJ11" s="154" t="s">
        <v>110</v>
      </c>
      <c r="AK11" s="154"/>
      <c r="AL11" s="23"/>
      <c r="AM11" s="23"/>
      <c r="AN11" s="154" t="s">
        <v>91</v>
      </c>
      <c r="AO11" s="154"/>
      <c r="AP11" s="1"/>
      <c r="AQ11" s="22"/>
      <c r="AU11" s="5"/>
    </row>
    <row r="12" spans="2:50" x14ac:dyDescent="0.25">
      <c r="B12" s="15"/>
      <c r="D12" s="154" t="s">
        <v>249</v>
      </c>
      <c r="E12" s="154"/>
      <c r="F12" s="23"/>
      <c r="G12" s="23"/>
      <c r="H12" s="154" t="s">
        <v>233</v>
      </c>
      <c r="I12" s="154"/>
      <c r="L12" s="154" t="s">
        <v>215</v>
      </c>
      <c r="M12" s="154"/>
      <c r="N12" s="23"/>
      <c r="O12" s="23"/>
      <c r="P12" s="164" t="s">
        <v>199</v>
      </c>
      <c r="Q12" s="164"/>
      <c r="T12" s="164" t="s">
        <v>181</v>
      </c>
      <c r="U12" s="164"/>
      <c r="V12" s="23"/>
      <c r="W12" s="23"/>
      <c r="X12" s="164" t="s">
        <v>165</v>
      </c>
      <c r="Y12" s="164"/>
      <c r="AB12" s="154" t="s">
        <v>147</v>
      </c>
      <c r="AC12" s="154"/>
      <c r="AD12" s="23"/>
      <c r="AE12" s="23"/>
      <c r="AF12" s="154" t="s">
        <v>130</v>
      </c>
      <c r="AG12" s="154"/>
      <c r="AJ12" s="154" t="s">
        <v>111</v>
      </c>
      <c r="AK12" s="154"/>
      <c r="AL12" s="23"/>
      <c r="AM12" s="23"/>
      <c r="AN12" s="154" t="s">
        <v>92</v>
      </c>
      <c r="AO12" s="154"/>
      <c r="AP12" s="1"/>
      <c r="AQ12" s="22"/>
      <c r="AU12" s="5"/>
    </row>
    <row r="13" spans="2:50" x14ac:dyDescent="0.25">
      <c r="B13" s="15"/>
      <c r="D13" s="154" t="s">
        <v>250</v>
      </c>
      <c r="E13" s="154"/>
      <c r="F13" s="23"/>
      <c r="G13" s="23"/>
      <c r="H13" s="154" t="s">
        <v>234</v>
      </c>
      <c r="I13" s="154"/>
      <c r="L13" s="154" t="s">
        <v>216</v>
      </c>
      <c r="M13" s="154"/>
      <c r="N13" s="23"/>
      <c r="O13" s="23"/>
      <c r="P13" s="164" t="s">
        <v>200</v>
      </c>
      <c r="Q13" s="164"/>
      <c r="T13" s="164" t="s">
        <v>182</v>
      </c>
      <c r="U13" s="164"/>
      <c r="V13" s="23"/>
      <c r="W13" s="23"/>
      <c r="X13" s="164" t="s">
        <v>166</v>
      </c>
      <c r="Y13" s="164"/>
      <c r="AB13" s="162" t="s">
        <v>148</v>
      </c>
      <c r="AC13" s="163"/>
      <c r="AD13" s="23"/>
      <c r="AE13" s="23"/>
      <c r="AF13" s="154" t="s">
        <v>131</v>
      </c>
      <c r="AG13" s="154"/>
      <c r="AJ13" s="154" t="s">
        <v>112</v>
      </c>
      <c r="AK13" s="154"/>
      <c r="AL13" s="23"/>
      <c r="AM13" s="23"/>
      <c r="AN13" s="154" t="s">
        <v>93</v>
      </c>
      <c r="AO13" s="154"/>
      <c r="AP13" s="1"/>
      <c r="AQ13" s="22"/>
    </row>
    <row r="14" spans="2:50" x14ac:dyDescent="0.25">
      <c r="B14" s="15"/>
      <c r="D14" s="154" t="s">
        <v>251</v>
      </c>
      <c r="E14" s="154"/>
      <c r="F14" s="23"/>
      <c r="G14" s="23"/>
      <c r="H14" s="154" t="s">
        <v>235</v>
      </c>
      <c r="I14" s="154"/>
      <c r="L14" s="154" t="s">
        <v>217</v>
      </c>
      <c r="M14" s="154"/>
      <c r="N14" s="23"/>
      <c r="O14" s="23"/>
      <c r="P14" s="164" t="s">
        <v>201</v>
      </c>
      <c r="Q14" s="164"/>
      <c r="T14" s="164" t="s">
        <v>183</v>
      </c>
      <c r="U14" s="164"/>
      <c r="V14" s="23"/>
      <c r="W14" s="23"/>
      <c r="X14" s="164" t="s">
        <v>167</v>
      </c>
      <c r="Y14" s="164"/>
      <c r="AB14" s="154" t="s">
        <v>149</v>
      </c>
      <c r="AC14" s="154"/>
      <c r="AD14" s="23"/>
      <c r="AE14" s="23"/>
      <c r="AF14" s="154" t="s">
        <v>132</v>
      </c>
      <c r="AG14" s="154"/>
      <c r="AJ14" s="154" t="s">
        <v>113</v>
      </c>
      <c r="AK14" s="154"/>
      <c r="AL14" s="23"/>
      <c r="AM14" s="23"/>
      <c r="AN14" s="154" t="s">
        <v>94</v>
      </c>
      <c r="AO14" s="154"/>
      <c r="AP14" s="1"/>
      <c r="AQ14" s="22"/>
    </row>
    <row r="15" spans="2:50" x14ac:dyDescent="0.25">
      <c r="B15" s="15"/>
      <c r="D15" s="154" t="s">
        <v>252</v>
      </c>
      <c r="E15" s="154"/>
      <c r="F15" s="23"/>
      <c r="G15" s="23"/>
      <c r="H15" s="154" t="s">
        <v>236</v>
      </c>
      <c r="I15" s="154"/>
      <c r="L15" s="154" t="s">
        <v>218</v>
      </c>
      <c r="M15" s="154"/>
      <c r="N15" s="23"/>
      <c r="O15" s="23"/>
      <c r="P15" s="164" t="s">
        <v>202</v>
      </c>
      <c r="Q15" s="164"/>
      <c r="T15" s="164" t="s">
        <v>184</v>
      </c>
      <c r="U15" s="164"/>
      <c r="V15" s="23"/>
      <c r="W15" s="23"/>
      <c r="X15" s="152" t="s">
        <v>168</v>
      </c>
      <c r="Y15" s="153"/>
      <c r="AB15" s="154" t="s">
        <v>150</v>
      </c>
      <c r="AC15" s="154"/>
      <c r="AD15" s="23"/>
      <c r="AE15" s="23"/>
      <c r="AF15" s="154" t="s">
        <v>133</v>
      </c>
      <c r="AG15" s="154"/>
      <c r="AJ15" s="154" t="s">
        <v>114</v>
      </c>
      <c r="AK15" s="154"/>
      <c r="AL15" s="23"/>
      <c r="AM15" s="23"/>
      <c r="AN15" s="154" t="s">
        <v>95</v>
      </c>
      <c r="AO15" s="154"/>
      <c r="AP15" s="1"/>
      <c r="AQ15" s="22"/>
    </row>
    <row r="16" spans="2:50" x14ac:dyDescent="0.25">
      <c r="B16" s="15"/>
      <c r="D16" s="154" t="s">
        <v>253</v>
      </c>
      <c r="E16" s="154"/>
      <c r="F16" s="23"/>
      <c r="G16" s="23"/>
      <c r="H16" s="154" t="s">
        <v>237</v>
      </c>
      <c r="I16" s="154"/>
      <c r="L16" s="154" t="s">
        <v>219</v>
      </c>
      <c r="M16" s="154"/>
      <c r="N16" s="23"/>
      <c r="O16" s="23"/>
      <c r="P16" s="164" t="s">
        <v>203</v>
      </c>
      <c r="Q16" s="164"/>
      <c r="T16" s="164" t="s">
        <v>185</v>
      </c>
      <c r="U16" s="164"/>
      <c r="V16" s="23"/>
      <c r="W16" s="23"/>
      <c r="X16" s="164" t="s">
        <v>169</v>
      </c>
      <c r="Y16" s="164"/>
      <c r="AB16" s="164" t="s">
        <v>151</v>
      </c>
      <c r="AC16" s="164"/>
      <c r="AD16" s="23"/>
      <c r="AE16" s="23"/>
      <c r="AF16" s="164" t="s">
        <v>134</v>
      </c>
      <c r="AG16" s="164"/>
      <c r="AJ16" s="164" t="s">
        <v>115</v>
      </c>
      <c r="AK16" s="164"/>
      <c r="AL16" s="23"/>
      <c r="AM16" s="23"/>
      <c r="AN16" s="164" t="s">
        <v>96</v>
      </c>
      <c r="AO16" s="164"/>
      <c r="AP16" s="1"/>
      <c r="AQ16" s="22"/>
    </row>
    <row r="17" spans="2:43" x14ac:dyDescent="0.25">
      <c r="B17" s="15"/>
      <c r="D17" s="154" t="s">
        <v>254</v>
      </c>
      <c r="E17" s="154"/>
      <c r="F17" s="23"/>
      <c r="G17" s="23"/>
      <c r="H17" s="154" t="s">
        <v>238</v>
      </c>
      <c r="I17" s="154"/>
      <c r="L17" s="154" t="s">
        <v>220</v>
      </c>
      <c r="M17" s="154"/>
      <c r="N17" s="23"/>
      <c r="O17" s="23"/>
      <c r="P17" s="164" t="s">
        <v>204</v>
      </c>
      <c r="Q17" s="164"/>
      <c r="T17" s="164" t="s">
        <v>186</v>
      </c>
      <c r="U17" s="164"/>
      <c r="V17" s="23"/>
      <c r="W17" s="23"/>
      <c r="X17" s="164" t="s">
        <v>170</v>
      </c>
      <c r="Y17" s="164"/>
      <c r="AB17" s="154" t="s">
        <v>152</v>
      </c>
      <c r="AC17" s="154"/>
      <c r="AD17" s="23"/>
      <c r="AE17" s="23"/>
      <c r="AF17" s="154" t="s">
        <v>135</v>
      </c>
      <c r="AG17" s="154"/>
      <c r="AJ17" s="154" t="s">
        <v>116</v>
      </c>
      <c r="AK17" s="154"/>
      <c r="AL17" s="23"/>
      <c r="AM17" s="23"/>
      <c r="AN17" s="164" t="s">
        <v>97</v>
      </c>
      <c r="AO17" s="164"/>
      <c r="AP17" s="1"/>
      <c r="AQ17" s="22"/>
    </row>
    <row r="18" spans="2:43" x14ac:dyDescent="0.25">
      <c r="B18" s="15"/>
      <c r="D18" s="154" t="s">
        <v>255</v>
      </c>
      <c r="E18" s="154"/>
      <c r="F18" s="23"/>
      <c r="G18" s="23"/>
      <c r="H18" s="154" t="s">
        <v>239</v>
      </c>
      <c r="I18" s="154"/>
      <c r="L18" s="154" t="s">
        <v>221</v>
      </c>
      <c r="M18" s="154"/>
      <c r="N18" s="23"/>
      <c r="O18" s="23"/>
      <c r="P18" s="154" t="s">
        <v>205</v>
      </c>
      <c r="Q18" s="154"/>
      <c r="T18" s="164" t="s">
        <v>187</v>
      </c>
      <c r="U18" s="164"/>
      <c r="V18" s="23"/>
      <c r="W18" s="23"/>
      <c r="X18" s="164" t="s">
        <v>171</v>
      </c>
      <c r="Y18" s="164"/>
      <c r="AB18" s="164" t="s">
        <v>153</v>
      </c>
      <c r="AC18" s="164"/>
      <c r="AD18" s="23"/>
      <c r="AE18" s="23"/>
      <c r="AF18" s="154" t="s">
        <v>136</v>
      </c>
      <c r="AG18" s="154"/>
      <c r="AJ18" s="164" t="s">
        <v>117</v>
      </c>
      <c r="AK18" s="164"/>
      <c r="AL18" s="23"/>
      <c r="AM18" s="23"/>
      <c r="AN18" s="164" t="s">
        <v>98</v>
      </c>
      <c r="AO18" s="164"/>
      <c r="AP18" s="1"/>
      <c r="AQ18" s="22"/>
    </row>
    <row r="19" spans="2:43" x14ac:dyDescent="0.25">
      <c r="B19" s="15"/>
      <c r="D19" s="154" t="s">
        <v>256</v>
      </c>
      <c r="E19" s="154"/>
      <c r="F19" s="23"/>
      <c r="G19" s="23"/>
      <c r="H19" s="155"/>
      <c r="I19" s="155"/>
      <c r="L19" s="154" t="s">
        <v>222</v>
      </c>
      <c r="M19" s="154"/>
      <c r="N19" s="23"/>
      <c r="O19" s="23"/>
      <c r="P19" s="155"/>
      <c r="Q19" s="155"/>
      <c r="T19" s="164" t="s">
        <v>188</v>
      </c>
      <c r="U19" s="164"/>
      <c r="V19" s="23"/>
      <c r="W19" s="23"/>
      <c r="X19" s="155"/>
      <c r="Y19" s="155"/>
      <c r="AB19" s="154" t="s">
        <v>154</v>
      </c>
      <c r="AC19" s="154"/>
      <c r="AD19" s="23"/>
      <c r="AE19" s="23"/>
      <c r="AF19" s="155"/>
      <c r="AG19" s="155"/>
      <c r="AJ19" s="164" t="s">
        <v>118</v>
      </c>
      <c r="AK19" s="164"/>
      <c r="AL19" s="23"/>
      <c r="AM19" s="23"/>
      <c r="AN19" s="155"/>
      <c r="AO19" s="155"/>
      <c r="AP19" s="1"/>
      <c r="AQ19" s="22"/>
    </row>
    <row r="20" spans="2:43" x14ac:dyDescent="0.25">
      <c r="B20" s="15"/>
      <c r="D20" s="154" t="s">
        <v>257</v>
      </c>
      <c r="E20" s="154"/>
      <c r="F20" s="23"/>
      <c r="G20" s="23"/>
      <c r="H20" s="155"/>
      <c r="I20" s="155"/>
      <c r="L20" s="154" t="s">
        <v>223</v>
      </c>
      <c r="M20" s="154"/>
      <c r="N20" s="23"/>
      <c r="O20" s="23"/>
      <c r="P20" s="155"/>
      <c r="Q20" s="155"/>
      <c r="T20" s="164" t="s">
        <v>189</v>
      </c>
      <c r="U20" s="164"/>
      <c r="V20" s="23"/>
      <c r="W20" s="23"/>
      <c r="X20" s="155"/>
      <c r="Y20" s="155"/>
      <c r="AB20" s="154" t="s">
        <v>155</v>
      </c>
      <c r="AC20" s="154"/>
      <c r="AD20" s="23"/>
      <c r="AE20" s="23"/>
      <c r="AF20" s="155"/>
      <c r="AG20" s="155"/>
      <c r="AJ20" s="164" t="s">
        <v>119</v>
      </c>
      <c r="AK20" s="164"/>
      <c r="AL20" s="23"/>
      <c r="AM20" s="23"/>
      <c r="AN20" s="155"/>
      <c r="AO20" s="155"/>
      <c r="AP20" s="25"/>
      <c r="AQ20" s="22"/>
    </row>
    <row r="21" spans="2:43" x14ac:dyDescent="0.25">
      <c r="B21" s="15"/>
      <c r="D21" s="154" t="s">
        <v>258</v>
      </c>
      <c r="E21" s="154"/>
      <c r="F21" s="23"/>
      <c r="G21" s="23"/>
      <c r="H21" s="154" t="s">
        <v>240</v>
      </c>
      <c r="I21" s="154"/>
      <c r="L21" s="154" t="s">
        <v>224</v>
      </c>
      <c r="M21" s="154"/>
      <c r="N21" s="23"/>
      <c r="O21" s="23"/>
      <c r="P21" s="154" t="s">
        <v>206</v>
      </c>
      <c r="Q21" s="154"/>
      <c r="T21" s="164" t="s">
        <v>190</v>
      </c>
      <c r="U21" s="164"/>
      <c r="V21" s="23"/>
      <c r="W21" s="23"/>
      <c r="X21" s="164" t="s">
        <v>172</v>
      </c>
      <c r="Y21" s="164"/>
      <c r="AB21" s="164" t="s">
        <v>156</v>
      </c>
      <c r="AC21" s="164"/>
      <c r="AD21" s="23"/>
      <c r="AE21" s="23"/>
      <c r="AF21" s="164" t="s">
        <v>137</v>
      </c>
      <c r="AG21" s="164"/>
      <c r="AJ21" s="164" t="s">
        <v>120</v>
      </c>
      <c r="AK21" s="164"/>
      <c r="AL21" s="23"/>
      <c r="AM21" s="23"/>
      <c r="AN21" s="164" t="s">
        <v>99</v>
      </c>
      <c r="AO21" s="164"/>
      <c r="AP21" s="1"/>
      <c r="AQ21" s="22"/>
    </row>
    <row r="22" spans="2:43" x14ac:dyDescent="0.25">
      <c r="B22" s="15"/>
      <c r="D22" s="154" t="s">
        <v>259</v>
      </c>
      <c r="E22" s="154"/>
      <c r="F22" s="23"/>
      <c r="G22" s="23"/>
      <c r="H22" s="154" t="s">
        <v>241</v>
      </c>
      <c r="I22" s="154"/>
      <c r="L22" s="154" t="s">
        <v>225</v>
      </c>
      <c r="M22" s="154"/>
      <c r="N22" s="23"/>
      <c r="O22" s="23"/>
      <c r="P22" s="154" t="s">
        <v>207</v>
      </c>
      <c r="Q22" s="154"/>
      <c r="T22" s="164" t="s">
        <v>191</v>
      </c>
      <c r="U22" s="164"/>
      <c r="V22" s="23"/>
      <c r="W22" s="23"/>
      <c r="X22" s="164" t="s">
        <v>173</v>
      </c>
      <c r="Y22" s="164"/>
      <c r="AB22" s="164" t="s">
        <v>157</v>
      </c>
      <c r="AC22" s="164"/>
      <c r="AD22" s="23"/>
      <c r="AE22" s="23"/>
      <c r="AF22" s="164" t="s">
        <v>138</v>
      </c>
      <c r="AG22" s="164"/>
      <c r="AH22" s="13"/>
      <c r="AI22" s="13"/>
      <c r="AJ22" s="164" t="s">
        <v>121</v>
      </c>
      <c r="AK22" s="164"/>
      <c r="AL22" s="23"/>
      <c r="AM22" s="23"/>
      <c r="AN22" s="164" t="s">
        <v>100</v>
      </c>
      <c r="AO22" s="164"/>
      <c r="AP22" s="1"/>
      <c r="AQ22" s="22"/>
    </row>
    <row r="23" spans="2:43" x14ac:dyDescent="0.25">
      <c r="B23" s="15"/>
      <c r="D23" s="154" t="s">
        <v>260</v>
      </c>
      <c r="E23" s="154"/>
      <c r="F23" s="23"/>
      <c r="G23" s="23"/>
      <c r="H23" s="154" t="s">
        <v>242</v>
      </c>
      <c r="I23" s="154"/>
      <c r="L23" s="154" t="s">
        <v>226</v>
      </c>
      <c r="M23" s="154"/>
      <c r="N23" s="23"/>
      <c r="O23" s="23"/>
      <c r="P23" s="154" t="s">
        <v>208</v>
      </c>
      <c r="Q23" s="154"/>
      <c r="T23" s="164" t="s">
        <v>192</v>
      </c>
      <c r="U23" s="164"/>
      <c r="V23" s="23"/>
      <c r="W23" s="23"/>
      <c r="X23" s="164" t="s">
        <v>174</v>
      </c>
      <c r="Y23" s="164"/>
      <c r="AB23" s="168"/>
      <c r="AC23" s="168"/>
      <c r="AD23" s="36"/>
      <c r="AE23" s="36"/>
      <c r="AF23" s="168"/>
      <c r="AG23" s="168"/>
      <c r="AH23" s="36"/>
      <c r="AI23" s="36"/>
      <c r="AJ23" s="168"/>
      <c r="AK23" s="168"/>
      <c r="AL23" s="36"/>
      <c r="AM23" s="36"/>
      <c r="AN23" s="168"/>
      <c r="AO23" s="168"/>
      <c r="AP23" s="1"/>
      <c r="AQ23" s="22"/>
    </row>
    <row r="24" spans="2:43" x14ac:dyDescent="0.25">
      <c r="B24" s="15"/>
      <c r="D24" s="154" t="s">
        <v>261</v>
      </c>
      <c r="E24" s="154"/>
      <c r="F24" s="23"/>
      <c r="G24" s="23"/>
      <c r="H24" s="154" t="s">
        <v>243</v>
      </c>
      <c r="I24" s="154"/>
      <c r="L24" s="154" t="s">
        <v>227</v>
      </c>
      <c r="M24" s="154"/>
      <c r="N24" s="23"/>
      <c r="O24" s="23"/>
      <c r="P24" s="154" t="s">
        <v>209</v>
      </c>
      <c r="Q24" s="154"/>
      <c r="T24" s="154" t="s">
        <v>193</v>
      </c>
      <c r="U24" s="154"/>
      <c r="V24" s="23"/>
      <c r="W24" s="23"/>
      <c r="X24" s="164" t="s">
        <v>175</v>
      </c>
      <c r="Y24" s="164"/>
      <c r="AB24" s="168"/>
      <c r="AC24" s="168"/>
      <c r="AD24" s="36"/>
      <c r="AE24" s="36"/>
      <c r="AF24" s="168"/>
      <c r="AG24" s="168"/>
      <c r="AH24" s="36"/>
      <c r="AI24" s="36"/>
      <c r="AJ24" s="168"/>
      <c r="AK24" s="168"/>
      <c r="AL24" s="36"/>
      <c r="AM24" s="36"/>
      <c r="AN24" s="168"/>
      <c r="AO24" s="168"/>
      <c r="AP24" s="1"/>
      <c r="AQ24" s="22"/>
    </row>
    <row r="25" spans="2:43" x14ac:dyDescent="0.25">
      <c r="B25" s="15"/>
      <c r="D25" s="154" t="s">
        <v>262</v>
      </c>
      <c r="E25" s="154"/>
      <c r="F25" s="23"/>
      <c r="G25" s="23"/>
      <c r="H25" s="154" t="s">
        <v>244</v>
      </c>
      <c r="I25" s="154"/>
      <c r="L25" s="154" t="s">
        <v>228</v>
      </c>
      <c r="M25" s="154"/>
      <c r="N25" s="23"/>
      <c r="O25" s="23"/>
      <c r="P25" s="154" t="s">
        <v>210</v>
      </c>
      <c r="Q25" s="154"/>
      <c r="T25" s="154" t="s">
        <v>194</v>
      </c>
      <c r="U25" s="154"/>
      <c r="V25" s="23"/>
      <c r="W25" s="23"/>
      <c r="X25" s="164" t="s">
        <v>176</v>
      </c>
      <c r="Y25" s="164"/>
      <c r="AB25" s="168"/>
      <c r="AC25" s="168"/>
      <c r="AD25" s="36"/>
      <c r="AE25" s="36"/>
      <c r="AF25" s="168"/>
      <c r="AG25" s="168"/>
      <c r="AH25" s="36"/>
      <c r="AI25" s="36"/>
      <c r="AJ25" s="168"/>
      <c r="AK25" s="168"/>
      <c r="AL25" s="36"/>
      <c r="AM25" s="36"/>
      <c r="AN25" s="168"/>
      <c r="AO25" s="168"/>
      <c r="AP25" s="1"/>
      <c r="AQ25" s="22"/>
    </row>
    <row r="26" spans="2:43" x14ac:dyDescent="0.25">
      <c r="B26" s="15"/>
      <c r="D26" s="154" t="s">
        <v>263</v>
      </c>
      <c r="E26" s="154"/>
      <c r="F26" s="23"/>
      <c r="G26" s="23"/>
      <c r="H26" s="154" t="s">
        <v>245</v>
      </c>
      <c r="I26" s="154"/>
      <c r="L26" s="154" t="s">
        <v>229</v>
      </c>
      <c r="M26" s="154"/>
      <c r="N26" s="23"/>
      <c r="O26" s="23"/>
      <c r="P26" s="154" t="s">
        <v>211</v>
      </c>
      <c r="Q26" s="154"/>
      <c r="T26" s="154" t="s">
        <v>195</v>
      </c>
      <c r="U26" s="154"/>
      <c r="V26" s="23"/>
      <c r="W26" s="23"/>
      <c r="X26" s="154" t="s">
        <v>177</v>
      </c>
      <c r="Y26" s="154"/>
      <c r="AB26" s="168"/>
      <c r="AC26" s="168"/>
      <c r="AD26" s="36"/>
      <c r="AE26" s="36"/>
      <c r="AF26" s="168"/>
      <c r="AG26" s="168"/>
      <c r="AH26" s="36"/>
      <c r="AI26" s="36"/>
      <c r="AJ26" s="168"/>
      <c r="AK26" s="168"/>
      <c r="AL26" s="36"/>
      <c r="AM26" s="36"/>
      <c r="AN26" s="168"/>
      <c r="AO26" s="168"/>
      <c r="AP26" s="1"/>
      <c r="AQ26" s="22"/>
    </row>
    <row r="27" spans="2:4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</row>
    <row r="28" spans="2:43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</row>
    <row r="29" spans="2:43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</row>
    <row r="30" spans="2:43" ht="24" customHeight="1" x14ac:dyDescent="0.25">
      <c r="B30" s="143" t="s">
        <v>368</v>
      </c>
      <c r="C30" s="144"/>
      <c r="D30" s="1"/>
      <c r="E30" s="1"/>
      <c r="F30" s="1"/>
      <c r="G30" s="1"/>
      <c r="H30" s="1"/>
      <c r="I30" s="143" t="s">
        <v>369</v>
      </c>
      <c r="J30" s="144"/>
      <c r="K30" s="143" t="s">
        <v>370</v>
      </c>
      <c r="L30" s="144"/>
      <c r="M30" s="1"/>
      <c r="N30" s="1"/>
      <c r="O30" s="1"/>
      <c r="P30" s="143" t="s">
        <v>371</v>
      </c>
      <c r="Q30" s="144"/>
      <c r="R30" s="1"/>
      <c r="S30" s="1"/>
      <c r="T30" s="143" t="s">
        <v>372</v>
      </c>
      <c r="U30" s="144"/>
      <c r="V30" s="1"/>
      <c r="W30" s="1"/>
      <c r="X30" s="1"/>
      <c r="Y30" s="143" t="s">
        <v>373</v>
      </c>
      <c r="Z30" s="144"/>
      <c r="AA30" s="143" t="s">
        <v>374</v>
      </c>
      <c r="AB30" s="144"/>
      <c r="AC30" s="1"/>
      <c r="AD30" s="1"/>
      <c r="AE30" s="1"/>
      <c r="AF30" s="1"/>
      <c r="AG30" s="143" t="s">
        <v>375</v>
      </c>
      <c r="AH30" s="144"/>
      <c r="AI30" s="1"/>
      <c r="AJ30" s="1"/>
      <c r="AK30" s="143" t="s">
        <v>376</v>
      </c>
      <c r="AL30" s="144"/>
      <c r="AM30" s="1"/>
      <c r="AN30" s="1"/>
      <c r="AO30" s="1"/>
      <c r="AP30" s="143" t="s">
        <v>377</v>
      </c>
      <c r="AQ30" s="144"/>
    </row>
    <row r="31" spans="2:43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</row>
    <row r="33" spans="2:11" ht="14.1" customHeight="1" x14ac:dyDescent="0.25">
      <c r="B33" s="159" t="s">
        <v>378</v>
      </c>
      <c r="C33" s="159"/>
      <c r="D33" s="159"/>
      <c r="E33" s="159"/>
      <c r="F33" s="159"/>
      <c r="G33" s="26"/>
      <c r="H33" s="37">
        <f>getcolorcount($D$9:$AO$26,G33)</f>
        <v>182</v>
      </c>
    </row>
    <row r="34" spans="2:11" x14ac:dyDescent="0.25">
      <c r="B34" s="159"/>
      <c r="C34" s="159"/>
      <c r="D34" s="159"/>
      <c r="E34" s="159"/>
      <c r="F34" s="159"/>
      <c r="G34" s="28"/>
      <c r="H34" s="37">
        <f>getcolorcount($D$9:$AO$26,G34)</f>
        <v>126</v>
      </c>
    </row>
    <row r="35" spans="2:11" x14ac:dyDescent="0.25">
      <c r="B35" s="159"/>
      <c r="C35" s="159"/>
      <c r="D35" s="159"/>
      <c r="E35" s="159"/>
      <c r="F35" s="159"/>
      <c r="G35" s="29"/>
      <c r="H35" s="37">
        <f>getcolorcount($D$9:$AO$26,G35)</f>
        <v>182</v>
      </c>
    </row>
    <row r="36" spans="2:11" x14ac:dyDescent="0.25">
      <c r="B36" s="159"/>
      <c r="C36" s="159"/>
      <c r="D36" s="159"/>
      <c r="E36" s="159"/>
      <c r="F36" s="159"/>
      <c r="G36" s="30"/>
      <c r="H36" s="37">
        <f>getcolorcount($D$9:$AO$26,G36)</f>
        <v>126</v>
      </c>
      <c r="I36" s="1"/>
      <c r="J36" s="2"/>
      <c r="K36" s="31"/>
    </row>
    <row r="37" spans="2:11" x14ac:dyDescent="0.25">
      <c r="B37" s="160"/>
      <c r="C37" s="160"/>
      <c r="D37" s="160"/>
      <c r="E37" s="160"/>
      <c r="F37" s="160"/>
      <c r="G37" s="32"/>
      <c r="H37" s="1"/>
      <c r="I37" s="1"/>
      <c r="J37" s="24"/>
      <c r="K37" s="31"/>
    </row>
    <row r="38" spans="2:11" x14ac:dyDescent="0.25">
      <c r="B38" s="157" t="s">
        <v>333</v>
      </c>
      <c r="C38" s="157"/>
      <c r="D38" s="157"/>
      <c r="E38" s="157"/>
      <c r="F38" s="27">
        <v>154</v>
      </c>
      <c r="G38" s="1"/>
      <c r="H38" s="1"/>
      <c r="I38" s="1"/>
    </row>
    <row r="39" spans="2:11" x14ac:dyDescent="0.25">
      <c r="B39" s="157" t="s">
        <v>334</v>
      </c>
      <c r="C39" s="157"/>
      <c r="D39" s="157"/>
      <c r="E39" s="157"/>
      <c r="F39" s="27">
        <f>H36/2</f>
        <v>63</v>
      </c>
      <c r="G39" s="34"/>
      <c r="H39" s="1"/>
      <c r="I39" s="1"/>
    </row>
    <row r="40" spans="2:11" x14ac:dyDescent="0.25">
      <c r="B40" s="157" t="s">
        <v>335</v>
      </c>
      <c r="C40" s="157"/>
      <c r="D40" s="157"/>
      <c r="E40" s="157"/>
      <c r="F40" s="27">
        <f>F38-F39</f>
        <v>91</v>
      </c>
      <c r="G40" s="29"/>
      <c r="H40" s="1"/>
      <c r="I40" s="1"/>
    </row>
  </sheetData>
  <mergeCells count="231"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AX40"/>
  <sheetViews>
    <sheetView showGridLines="0" zoomScale="85" zoomScaleNormal="85" workbookViewId="0">
      <selection activeCell="P39" sqref="P39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6.77734375" customWidth="1"/>
    <col min="7" max="7" width="3.6640625" customWidth="1"/>
    <col min="8" max="8" width="7.4414062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5.44140625" customWidth="1"/>
    <col min="21" max="21" width="5.10937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16.109375" style="3" customWidth="1"/>
    <col min="47" max="47" width="16.109375" style="4" customWidth="1"/>
    <col min="48" max="48" width="4.44140625" style="4" customWidth="1"/>
    <col min="49" max="49" width="5.109375" customWidth="1"/>
  </cols>
  <sheetData>
    <row r="1" spans="2:50" x14ac:dyDescent="0.25">
      <c r="AS1" s="158"/>
      <c r="AU1" s="5"/>
      <c r="AV1" s="5"/>
      <c r="AW1" s="1"/>
      <c r="AX1" s="1"/>
    </row>
    <row r="2" spans="2:50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U2" s="5"/>
      <c r="AV2" s="5"/>
      <c r="AW2" s="6"/>
      <c r="AX2" s="1"/>
    </row>
    <row r="3" spans="2:50" ht="25.05" customHeight="1" x14ac:dyDescent="0.25">
      <c r="B3" s="143" t="s">
        <v>379</v>
      </c>
      <c r="C3" s="144"/>
      <c r="D3" s="1"/>
      <c r="E3" s="1"/>
      <c r="F3" s="1"/>
      <c r="G3" s="1"/>
      <c r="H3" s="1"/>
      <c r="I3" s="143" t="s">
        <v>380</v>
      </c>
      <c r="J3" s="144"/>
      <c r="K3" s="143" t="s">
        <v>381</v>
      </c>
      <c r="L3" s="144"/>
      <c r="M3" s="1"/>
      <c r="N3" s="1"/>
      <c r="O3" s="1"/>
      <c r="P3" s="143" t="s">
        <v>382</v>
      </c>
      <c r="Q3" s="144"/>
      <c r="R3" s="1"/>
      <c r="S3" s="1"/>
      <c r="T3" s="143" t="s">
        <v>383</v>
      </c>
      <c r="U3" s="144"/>
      <c r="V3" s="1"/>
      <c r="W3" s="1"/>
      <c r="X3" s="1"/>
      <c r="Y3" s="143" t="s">
        <v>384</v>
      </c>
      <c r="Z3" s="144"/>
      <c r="AA3" s="143" t="s">
        <v>385</v>
      </c>
      <c r="AB3" s="144"/>
      <c r="AC3" s="1"/>
      <c r="AD3" s="1"/>
      <c r="AE3" s="1"/>
      <c r="AF3" s="1"/>
      <c r="AG3" s="143" t="s">
        <v>386</v>
      </c>
      <c r="AH3" s="144"/>
      <c r="AI3" s="1"/>
      <c r="AJ3" s="1"/>
      <c r="AK3" s="143" t="s">
        <v>387</v>
      </c>
      <c r="AL3" s="144"/>
      <c r="AM3" s="1"/>
      <c r="AN3" s="1"/>
      <c r="AO3" s="1"/>
      <c r="AP3" s="143" t="s">
        <v>388</v>
      </c>
      <c r="AQ3" s="144"/>
      <c r="AR3" s="10"/>
      <c r="AS3" s="158"/>
      <c r="AU3" s="5"/>
      <c r="AX3" s="1"/>
    </row>
    <row r="4" spans="2:50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3"/>
      <c r="AU4" s="5"/>
    </row>
    <row r="5" spans="2:50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U5" s="5"/>
      <c r="AV5" s="5"/>
      <c r="AW5" s="11"/>
    </row>
    <row r="6" spans="2:50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16" t="s">
        <v>389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U6" s="5"/>
      <c r="AV6" s="5"/>
      <c r="AW6" s="1"/>
    </row>
    <row r="7" spans="2:50" x14ac:dyDescent="0.25">
      <c r="B7" s="17"/>
      <c r="C7" s="18"/>
      <c r="D7" s="151" t="s">
        <v>305</v>
      </c>
      <c r="E7" s="151"/>
      <c r="F7" s="18"/>
      <c r="G7" s="18"/>
      <c r="H7" s="151" t="s">
        <v>304</v>
      </c>
      <c r="I7" s="151"/>
      <c r="J7" s="18"/>
      <c r="K7" s="18"/>
      <c r="L7" s="151" t="s">
        <v>303</v>
      </c>
      <c r="M7" s="151"/>
      <c r="N7" s="18"/>
      <c r="O7" s="18"/>
      <c r="P7" s="151" t="s">
        <v>302</v>
      </c>
      <c r="Q7" s="151"/>
      <c r="R7" s="18"/>
      <c r="S7" s="18"/>
      <c r="T7" s="151" t="s">
        <v>301</v>
      </c>
      <c r="U7" s="151"/>
      <c r="V7" s="18"/>
      <c r="W7" s="18"/>
      <c r="X7" s="151" t="s">
        <v>300</v>
      </c>
      <c r="Y7" s="151"/>
      <c r="Z7" s="18"/>
      <c r="AA7" s="18"/>
      <c r="AB7" s="151" t="s">
        <v>299</v>
      </c>
      <c r="AC7" s="151"/>
      <c r="AD7" s="18"/>
      <c r="AE7" s="18"/>
      <c r="AF7" s="151" t="s">
        <v>298</v>
      </c>
      <c r="AG7" s="151"/>
      <c r="AH7" s="18"/>
      <c r="AI7" s="18"/>
      <c r="AJ7" s="151" t="s">
        <v>297</v>
      </c>
      <c r="AK7" s="151"/>
      <c r="AL7" s="18"/>
      <c r="AM7" s="18"/>
      <c r="AN7" s="151" t="s">
        <v>296</v>
      </c>
      <c r="AO7" s="151"/>
      <c r="AP7" s="18"/>
      <c r="AQ7" s="19"/>
      <c r="AR7" s="20"/>
      <c r="AU7" s="5"/>
      <c r="AV7" s="5"/>
      <c r="AW7" s="1"/>
    </row>
    <row r="8" spans="2:50" x14ac:dyDescent="0.25">
      <c r="B8" s="15"/>
      <c r="D8" s="21" t="s">
        <v>306</v>
      </c>
      <c r="E8" s="21" t="s">
        <v>307</v>
      </c>
      <c r="F8" s="4"/>
      <c r="G8" s="4"/>
      <c r="H8" s="21" t="s">
        <v>307</v>
      </c>
      <c r="I8" s="21" t="s">
        <v>306</v>
      </c>
      <c r="J8" s="4"/>
      <c r="K8" s="4"/>
      <c r="L8" s="21" t="s">
        <v>306</v>
      </c>
      <c r="M8" s="21" t="s">
        <v>307</v>
      </c>
      <c r="N8" s="4"/>
      <c r="O8" s="4"/>
      <c r="P8" s="21" t="s">
        <v>307</v>
      </c>
      <c r="Q8" s="21" t="s">
        <v>306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306</v>
      </c>
      <c r="AC8" s="21" t="s">
        <v>307</v>
      </c>
      <c r="AD8" s="4"/>
      <c r="AE8" s="4"/>
      <c r="AF8" s="21" t="s">
        <v>307</v>
      </c>
      <c r="AG8" s="21" t="s">
        <v>306</v>
      </c>
      <c r="AH8" s="4"/>
      <c r="AI8" s="4"/>
      <c r="AJ8" s="21" t="s">
        <v>306</v>
      </c>
      <c r="AK8" s="21" t="s">
        <v>307</v>
      </c>
      <c r="AL8" s="4"/>
      <c r="AM8" s="4"/>
      <c r="AN8" s="21" t="s">
        <v>307</v>
      </c>
      <c r="AO8" s="21" t="s">
        <v>306</v>
      </c>
      <c r="AP8" s="1"/>
      <c r="AQ8" s="22"/>
      <c r="AU8" s="5"/>
      <c r="AV8" s="5"/>
      <c r="AW8" s="1"/>
    </row>
    <row r="9" spans="2:50" x14ac:dyDescent="0.25">
      <c r="B9" s="15"/>
      <c r="D9" s="164" t="s">
        <v>87</v>
      </c>
      <c r="E9" s="164"/>
      <c r="F9" s="23"/>
      <c r="G9" s="23"/>
      <c r="H9" s="164" t="s">
        <v>105</v>
      </c>
      <c r="I9" s="164"/>
      <c r="L9" s="154" t="s">
        <v>126</v>
      </c>
      <c r="M9" s="154"/>
      <c r="N9" s="23"/>
      <c r="O9" s="23"/>
      <c r="P9" s="164" t="s">
        <v>143</v>
      </c>
      <c r="Q9" s="164"/>
      <c r="T9" s="154" t="s">
        <v>162</v>
      </c>
      <c r="U9" s="154"/>
      <c r="V9" s="23"/>
      <c r="W9" s="23"/>
      <c r="X9" s="164" t="s">
        <v>178</v>
      </c>
      <c r="Y9" s="164"/>
      <c r="AB9" s="154" t="s">
        <v>196</v>
      </c>
      <c r="AC9" s="154"/>
      <c r="AD9" s="23"/>
      <c r="AE9" s="23"/>
      <c r="AF9" s="164" t="s">
        <v>212</v>
      </c>
      <c r="AG9" s="164"/>
      <c r="AJ9" s="154" t="s">
        <v>230</v>
      </c>
      <c r="AK9" s="154"/>
      <c r="AL9" s="23"/>
      <c r="AM9" s="23"/>
      <c r="AN9" s="154" t="s">
        <v>246</v>
      </c>
      <c r="AO9" s="154"/>
      <c r="AP9" s="1"/>
      <c r="AQ9" s="22"/>
      <c r="AU9" s="5"/>
      <c r="AV9" s="5"/>
      <c r="AW9" s="1"/>
    </row>
    <row r="10" spans="2:50" x14ac:dyDescent="0.25">
      <c r="B10" s="15"/>
      <c r="D10" s="164" t="s">
        <v>89</v>
      </c>
      <c r="E10" s="164"/>
      <c r="F10" s="23"/>
      <c r="G10" s="23"/>
      <c r="H10" s="164" t="s">
        <v>109</v>
      </c>
      <c r="I10" s="164"/>
      <c r="L10" s="154" t="s">
        <v>128</v>
      </c>
      <c r="M10" s="154"/>
      <c r="N10" s="23"/>
      <c r="O10" s="23"/>
      <c r="P10" s="154" t="s">
        <v>144</v>
      </c>
      <c r="Q10" s="154"/>
      <c r="T10" s="154" t="s">
        <v>163</v>
      </c>
      <c r="U10" s="154"/>
      <c r="V10" s="23"/>
      <c r="W10" s="23"/>
      <c r="X10" s="154" t="s">
        <v>179</v>
      </c>
      <c r="Y10" s="154"/>
      <c r="AB10" s="154" t="s">
        <v>197</v>
      </c>
      <c r="AC10" s="154"/>
      <c r="AD10" s="23"/>
      <c r="AE10" s="23"/>
      <c r="AF10" s="154" t="s">
        <v>213</v>
      </c>
      <c r="AG10" s="154"/>
      <c r="AJ10" s="154" t="s">
        <v>231</v>
      </c>
      <c r="AK10" s="154"/>
      <c r="AL10" s="23"/>
      <c r="AM10" s="23"/>
      <c r="AN10" s="154" t="s">
        <v>247</v>
      </c>
      <c r="AO10" s="154"/>
      <c r="AP10" s="1"/>
      <c r="AQ10" s="22"/>
      <c r="AR10" s="24"/>
      <c r="AU10" s="5"/>
    </row>
    <row r="11" spans="2:50" x14ac:dyDescent="0.25">
      <c r="B11" s="15"/>
      <c r="D11" s="164" t="s">
        <v>91</v>
      </c>
      <c r="E11" s="164"/>
      <c r="F11" s="23"/>
      <c r="G11" s="23"/>
      <c r="H11" s="164" t="s">
        <v>110</v>
      </c>
      <c r="I11" s="164"/>
      <c r="L11" s="154" t="s">
        <v>129</v>
      </c>
      <c r="M11" s="154"/>
      <c r="N11" s="23"/>
      <c r="O11" s="23"/>
      <c r="P11" s="154" t="s">
        <v>145</v>
      </c>
      <c r="Q11" s="154"/>
      <c r="T11" s="154" t="s">
        <v>164</v>
      </c>
      <c r="U11" s="154"/>
      <c r="V11" s="23"/>
      <c r="W11" s="23"/>
      <c r="X11" s="154" t="s">
        <v>180</v>
      </c>
      <c r="Y11" s="154"/>
      <c r="AB11" s="154" t="s">
        <v>198</v>
      </c>
      <c r="AC11" s="154"/>
      <c r="AD11" s="23"/>
      <c r="AE11" s="23"/>
      <c r="AF11" s="154" t="s">
        <v>214</v>
      </c>
      <c r="AG11" s="154"/>
      <c r="AJ11" s="154" t="s">
        <v>232</v>
      </c>
      <c r="AK11" s="154"/>
      <c r="AL11" s="23"/>
      <c r="AM11" s="23"/>
      <c r="AN11" s="154" t="s">
        <v>248</v>
      </c>
      <c r="AO11" s="154"/>
      <c r="AP11" s="1"/>
      <c r="AQ11" s="22"/>
      <c r="AU11" s="5"/>
    </row>
    <row r="12" spans="2:50" x14ac:dyDescent="0.25">
      <c r="B12" s="15"/>
      <c r="D12" s="164" t="s">
        <v>92</v>
      </c>
      <c r="E12" s="164"/>
      <c r="F12" s="23"/>
      <c r="G12" s="23"/>
      <c r="H12" s="164" t="s">
        <v>111</v>
      </c>
      <c r="I12" s="164"/>
      <c r="L12" s="164" t="s">
        <v>130</v>
      </c>
      <c r="M12" s="164"/>
      <c r="N12" s="23"/>
      <c r="O12" s="23"/>
      <c r="P12" s="154" t="s">
        <v>147</v>
      </c>
      <c r="Q12" s="154"/>
      <c r="T12" s="154" t="s">
        <v>165</v>
      </c>
      <c r="U12" s="154"/>
      <c r="V12" s="23"/>
      <c r="W12" s="23"/>
      <c r="X12" s="154" t="s">
        <v>181</v>
      </c>
      <c r="Y12" s="154"/>
      <c r="AB12" s="154" t="s">
        <v>199</v>
      </c>
      <c r="AC12" s="154"/>
      <c r="AD12" s="23"/>
      <c r="AE12" s="23"/>
      <c r="AF12" s="154" t="s">
        <v>215</v>
      </c>
      <c r="AG12" s="154"/>
      <c r="AJ12" s="154" t="s">
        <v>233</v>
      </c>
      <c r="AK12" s="154"/>
      <c r="AL12" s="23"/>
      <c r="AM12" s="23"/>
      <c r="AN12" s="154" t="s">
        <v>249</v>
      </c>
      <c r="AO12" s="154"/>
      <c r="AP12" s="1"/>
      <c r="AQ12" s="22"/>
      <c r="AU12" s="5"/>
    </row>
    <row r="13" spans="2:50" x14ac:dyDescent="0.25">
      <c r="B13" s="15"/>
      <c r="D13" s="164" t="s">
        <v>93</v>
      </c>
      <c r="E13" s="164"/>
      <c r="F13" s="23"/>
      <c r="G13" s="23"/>
      <c r="H13" s="164" t="s">
        <v>112</v>
      </c>
      <c r="I13" s="164"/>
      <c r="L13" s="164" t="s">
        <v>131</v>
      </c>
      <c r="M13" s="164"/>
      <c r="N13" s="23"/>
      <c r="O13" s="23"/>
      <c r="P13" s="154" t="s">
        <v>148</v>
      </c>
      <c r="Q13" s="154"/>
      <c r="T13" s="154" t="s">
        <v>166</v>
      </c>
      <c r="U13" s="154"/>
      <c r="V13" s="23"/>
      <c r="W13" s="23"/>
      <c r="X13" s="154" t="s">
        <v>182</v>
      </c>
      <c r="Y13" s="154"/>
      <c r="AB13" s="154" t="s">
        <v>200</v>
      </c>
      <c r="AC13" s="154"/>
      <c r="AD13" s="23"/>
      <c r="AE13" s="23"/>
      <c r="AF13" s="154" t="s">
        <v>216</v>
      </c>
      <c r="AG13" s="154"/>
      <c r="AJ13" s="154" t="s">
        <v>234</v>
      </c>
      <c r="AK13" s="154"/>
      <c r="AL13" s="23"/>
      <c r="AM13" s="23"/>
      <c r="AN13" s="154" t="s">
        <v>250</v>
      </c>
      <c r="AO13" s="154"/>
      <c r="AP13" s="1"/>
      <c r="AQ13" s="22"/>
    </row>
    <row r="14" spans="2:50" x14ac:dyDescent="0.25">
      <c r="B14" s="15"/>
      <c r="D14" s="164" t="s">
        <v>94</v>
      </c>
      <c r="E14" s="164"/>
      <c r="F14" s="23"/>
      <c r="G14" s="23"/>
      <c r="H14" s="164" t="s">
        <v>113</v>
      </c>
      <c r="I14" s="164"/>
      <c r="L14" s="164" t="s">
        <v>132</v>
      </c>
      <c r="M14" s="164"/>
      <c r="N14" s="23"/>
      <c r="O14" s="23"/>
      <c r="P14" s="154" t="s">
        <v>149</v>
      </c>
      <c r="Q14" s="154"/>
      <c r="T14" s="154" t="s">
        <v>167</v>
      </c>
      <c r="U14" s="154"/>
      <c r="V14" s="23"/>
      <c r="W14" s="23"/>
      <c r="X14" s="154" t="s">
        <v>183</v>
      </c>
      <c r="Y14" s="154"/>
      <c r="AB14" s="154" t="s">
        <v>201</v>
      </c>
      <c r="AC14" s="154"/>
      <c r="AD14" s="23"/>
      <c r="AE14" s="23"/>
      <c r="AF14" s="154" t="s">
        <v>217</v>
      </c>
      <c r="AG14" s="154"/>
      <c r="AJ14" s="154" t="s">
        <v>235</v>
      </c>
      <c r="AK14" s="154"/>
      <c r="AL14" s="23"/>
      <c r="AM14" s="23"/>
      <c r="AN14" s="154" t="s">
        <v>251</v>
      </c>
      <c r="AO14" s="154"/>
      <c r="AP14" s="1"/>
      <c r="AQ14" s="22"/>
    </row>
    <row r="15" spans="2:50" x14ac:dyDescent="0.25">
      <c r="B15" s="15"/>
      <c r="D15" s="164" t="s">
        <v>95</v>
      </c>
      <c r="E15" s="164"/>
      <c r="F15" s="23"/>
      <c r="G15" s="23"/>
      <c r="H15" s="164" t="s">
        <v>114</v>
      </c>
      <c r="I15" s="164"/>
      <c r="L15" s="164" t="s">
        <v>133</v>
      </c>
      <c r="M15" s="164"/>
      <c r="N15" s="23"/>
      <c r="O15" s="23"/>
      <c r="P15" s="154" t="s">
        <v>150</v>
      </c>
      <c r="Q15" s="154"/>
      <c r="T15" s="154" t="s">
        <v>168</v>
      </c>
      <c r="U15" s="154"/>
      <c r="V15" s="23"/>
      <c r="W15" s="23"/>
      <c r="X15" s="154" t="s">
        <v>184</v>
      </c>
      <c r="Y15" s="154"/>
      <c r="AB15" s="154" t="s">
        <v>202</v>
      </c>
      <c r="AC15" s="154"/>
      <c r="AD15" s="23"/>
      <c r="AE15" s="23"/>
      <c r="AF15" s="154" t="s">
        <v>218</v>
      </c>
      <c r="AG15" s="154"/>
      <c r="AJ15" s="154" t="s">
        <v>236</v>
      </c>
      <c r="AK15" s="154"/>
      <c r="AL15" s="23"/>
      <c r="AM15" s="23"/>
      <c r="AN15" s="154" t="s">
        <v>252</v>
      </c>
      <c r="AO15" s="154"/>
      <c r="AP15" s="1"/>
      <c r="AQ15" s="22"/>
    </row>
    <row r="16" spans="2:50" x14ac:dyDescent="0.25">
      <c r="B16" s="15"/>
      <c r="D16" s="164" t="s">
        <v>96</v>
      </c>
      <c r="E16" s="164"/>
      <c r="F16" s="23"/>
      <c r="G16" s="23"/>
      <c r="H16" s="164" t="s">
        <v>115</v>
      </c>
      <c r="I16" s="164"/>
      <c r="L16" s="169" t="s">
        <v>416</v>
      </c>
      <c r="M16" s="164"/>
      <c r="N16" s="23"/>
      <c r="O16" s="23"/>
      <c r="P16" s="154" t="s">
        <v>151</v>
      </c>
      <c r="Q16" s="154"/>
      <c r="T16" s="154" t="s">
        <v>169</v>
      </c>
      <c r="U16" s="154"/>
      <c r="V16" s="23"/>
      <c r="W16" s="23"/>
      <c r="X16" s="154" t="s">
        <v>185</v>
      </c>
      <c r="Y16" s="154"/>
      <c r="AB16" s="154" t="s">
        <v>203</v>
      </c>
      <c r="AC16" s="154"/>
      <c r="AD16" s="23"/>
      <c r="AE16" s="23"/>
      <c r="AF16" s="154" t="s">
        <v>219</v>
      </c>
      <c r="AG16" s="154"/>
      <c r="AJ16" s="154" t="s">
        <v>237</v>
      </c>
      <c r="AK16" s="154"/>
      <c r="AL16" s="23"/>
      <c r="AM16" s="23"/>
      <c r="AN16" s="154" t="s">
        <v>253</v>
      </c>
      <c r="AO16" s="154"/>
      <c r="AP16" s="1"/>
      <c r="AQ16" s="22"/>
    </row>
    <row r="17" spans="2:43" x14ac:dyDescent="0.25">
      <c r="B17" s="15"/>
      <c r="D17" s="164" t="s">
        <v>97</v>
      </c>
      <c r="E17" s="164"/>
      <c r="F17" s="23"/>
      <c r="G17" s="23"/>
      <c r="H17" s="164" t="s">
        <v>116</v>
      </c>
      <c r="I17" s="164"/>
      <c r="L17" s="169" t="s">
        <v>417</v>
      </c>
      <c r="M17" s="164"/>
      <c r="N17" s="23"/>
      <c r="O17" s="23"/>
      <c r="P17" s="154" t="s">
        <v>152</v>
      </c>
      <c r="Q17" s="154"/>
      <c r="T17" s="154" t="s">
        <v>170</v>
      </c>
      <c r="U17" s="154"/>
      <c r="V17" s="23"/>
      <c r="W17" s="23"/>
      <c r="X17" s="154" t="s">
        <v>186</v>
      </c>
      <c r="Y17" s="154"/>
      <c r="AB17" s="154" t="s">
        <v>204</v>
      </c>
      <c r="AC17" s="154"/>
      <c r="AD17" s="23"/>
      <c r="AE17" s="23"/>
      <c r="AF17" s="154" t="s">
        <v>220</v>
      </c>
      <c r="AG17" s="154"/>
      <c r="AJ17" s="154" t="s">
        <v>238</v>
      </c>
      <c r="AK17" s="154"/>
      <c r="AL17" s="23"/>
      <c r="AM17" s="23"/>
      <c r="AN17" s="154" t="s">
        <v>254</v>
      </c>
      <c r="AO17" s="154"/>
      <c r="AP17" s="1"/>
      <c r="AQ17" s="22"/>
    </row>
    <row r="18" spans="2:43" x14ac:dyDescent="0.25">
      <c r="B18" s="15"/>
      <c r="D18" s="164" t="s">
        <v>98</v>
      </c>
      <c r="E18" s="164"/>
      <c r="F18" s="23"/>
      <c r="G18" s="23"/>
      <c r="H18" s="164" t="s">
        <v>117</v>
      </c>
      <c r="I18" s="164"/>
      <c r="L18" s="164" t="s">
        <v>136</v>
      </c>
      <c r="M18" s="164"/>
      <c r="N18" s="23"/>
      <c r="O18" s="23"/>
      <c r="P18" s="154" t="s">
        <v>153</v>
      </c>
      <c r="Q18" s="154"/>
      <c r="T18" s="154" t="s">
        <v>171</v>
      </c>
      <c r="U18" s="154"/>
      <c r="V18" s="23"/>
      <c r="W18" s="23"/>
      <c r="X18" s="154" t="s">
        <v>187</v>
      </c>
      <c r="Y18" s="154"/>
      <c r="AB18" s="154" t="s">
        <v>205</v>
      </c>
      <c r="AC18" s="154"/>
      <c r="AD18" s="23"/>
      <c r="AE18" s="23"/>
      <c r="AF18" s="154" t="s">
        <v>221</v>
      </c>
      <c r="AG18" s="154"/>
      <c r="AJ18" s="154" t="s">
        <v>239</v>
      </c>
      <c r="AK18" s="154"/>
      <c r="AL18" s="23"/>
      <c r="AM18" s="23"/>
      <c r="AN18" s="154" t="s">
        <v>255</v>
      </c>
      <c r="AO18" s="154"/>
      <c r="AP18" s="1"/>
      <c r="AQ18" s="22"/>
    </row>
    <row r="19" spans="2:43" x14ac:dyDescent="0.25">
      <c r="B19" s="15"/>
      <c r="D19" s="155"/>
      <c r="E19" s="155"/>
      <c r="F19" s="23"/>
      <c r="G19" s="23"/>
      <c r="H19" s="164" t="s">
        <v>118</v>
      </c>
      <c r="I19" s="164"/>
      <c r="L19" s="155"/>
      <c r="M19" s="155"/>
      <c r="N19" s="23"/>
      <c r="O19" s="23"/>
      <c r="P19" s="154" t="s">
        <v>154</v>
      </c>
      <c r="Q19" s="154"/>
      <c r="T19" s="155"/>
      <c r="U19" s="155"/>
      <c r="V19" s="23"/>
      <c r="W19" s="23"/>
      <c r="X19" s="154" t="s">
        <v>188</v>
      </c>
      <c r="Y19" s="154"/>
      <c r="AB19" s="155"/>
      <c r="AC19" s="155"/>
      <c r="AD19" s="23"/>
      <c r="AE19" s="23"/>
      <c r="AF19" s="154" t="s">
        <v>222</v>
      </c>
      <c r="AG19" s="154"/>
      <c r="AJ19" s="155"/>
      <c r="AK19" s="155"/>
      <c r="AL19" s="23"/>
      <c r="AM19" s="23"/>
      <c r="AN19" s="154" t="s">
        <v>256</v>
      </c>
      <c r="AO19" s="154"/>
      <c r="AP19" s="1"/>
      <c r="AQ19" s="22"/>
    </row>
    <row r="20" spans="2:43" x14ac:dyDescent="0.25">
      <c r="B20" s="15"/>
      <c r="D20" s="155"/>
      <c r="E20" s="155"/>
      <c r="F20" s="23"/>
      <c r="G20" s="23"/>
      <c r="H20" s="164" t="s">
        <v>119</v>
      </c>
      <c r="I20" s="164"/>
      <c r="L20" s="155"/>
      <c r="M20" s="155"/>
      <c r="N20" s="23"/>
      <c r="O20" s="23"/>
      <c r="P20" s="154" t="s">
        <v>155</v>
      </c>
      <c r="Q20" s="154"/>
      <c r="T20" s="155"/>
      <c r="U20" s="155"/>
      <c r="V20" s="23"/>
      <c r="W20" s="23"/>
      <c r="X20" s="154" t="s">
        <v>189</v>
      </c>
      <c r="Y20" s="154"/>
      <c r="AB20" s="155"/>
      <c r="AC20" s="155"/>
      <c r="AD20" s="23"/>
      <c r="AE20" s="23"/>
      <c r="AF20" s="154" t="s">
        <v>223</v>
      </c>
      <c r="AG20" s="154"/>
      <c r="AJ20" s="155"/>
      <c r="AK20" s="155"/>
      <c r="AL20" s="23"/>
      <c r="AM20" s="23"/>
      <c r="AN20" s="154" t="s">
        <v>257</v>
      </c>
      <c r="AO20" s="154"/>
      <c r="AP20" s="25"/>
      <c r="AQ20" s="22"/>
    </row>
    <row r="21" spans="2:43" x14ac:dyDescent="0.25">
      <c r="B21" s="15"/>
      <c r="D21" s="164" t="s">
        <v>99</v>
      </c>
      <c r="E21" s="164"/>
      <c r="F21" s="23"/>
      <c r="G21" s="23"/>
      <c r="H21" s="164" t="s">
        <v>120</v>
      </c>
      <c r="I21" s="164"/>
      <c r="L21" s="169" t="s">
        <v>418</v>
      </c>
      <c r="M21" s="164"/>
      <c r="N21" s="23"/>
      <c r="O21" s="23"/>
      <c r="P21" s="154" t="s">
        <v>156</v>
      </c>
      <c r="Q21" s="154"/>
      <c r="T21" s="154" t="s">
        <v>172</v>
      </c>
      <c r="U21" s="154"/>
      <c r="V21" s="23"/>
      <c r="W21" s="23"/>
      <c r="X21" s="154" t="s">
        <v>190</v>
      </c>
      <c r="Y21" s="154"/>
      <c r="AB21" s="154" t="s">
        <v>206</v>
      </c>
      <c r="AC21" s="154"/>
      <c r="AD21" s="23"/>
      <c r="AE21" s="23"/>
      <c r="AF21" s="154" t="s">
        <v>224</v>
      </c>
      <c r="AG21" s="154"/>
      <c r="AJ21" s="154" t="s">
        <v>240</v>
      </c>
      <c r="AK21" s="154"/>
      <c r="AL21" s="23"/>
      <c r="AM21" s="23"/>
      <c r="AN21" s="154" t="s">
        <v>258</v>
      </c>
      <c r="AO21" s="154"/>
      <c r="AP21" s="1"/>
      <c r="AQ21" s="22"/>
    </row>
    <row r="22" spans="2:43" x14ac:dyDescent="0.25">
      <c r="B22" s="15"/>
      <c r="D22" s="164" t="s">
        <v>100</v>
      </c>
      <c r="E22" s="164"/>
      <c r="F22" s="23"/>
      <c r="G22" s="23"/>
      <c r="H22" s="164" t="s">
        <v>121</v>
      </c>
      <c r="I22" s="164"/>
      <c r="L22" s="169" t="s">
        <v>419</v>
      </c>
      <c r="M22" s="164"/>
      <c r="N22" s="23"/>
      <c r="O22" s="23"/>
      <c r="P22" s="154" t="s">
        <v>157</v>
      </c>
      <c r="Q22" s="154"/>
      <c r="T22" s="154" t="s">
        <v>173</v>
      </c>
      <c r="U22" s="154"/>
      <c r="V22" s="23"/>
      <c r="W22" s="23"/>
      <c r="X22" s="154" t="s">
        <v>191</v>
      </c>
      <c r="Y22" s="154"/>
      <c r="AB22" s="154" t="s">
        <v>207</v>
      </c>
      <c r="AC22" s="154"/>
      <c r="AD22" s="23"/>
      <c r="AE22" s="23"/>
      <c r="AF22" s="154" t="s">
        <v>225</v>
      </c>
      <c r="AG22" s="154"/>
      <c r="AJ22" s="154" t="s">
        <v>241</v>
      </c>
      <c r="AK22" s="154"/>
      <c r="AL22" s="23"/>
      <c r="AM22" s="23"/>
      <c r="AN22" s="154" t="s">
        <v>259</v>
      </c>
      <c r="AO22" s="154"/>
      <c r="AP22" s="1"/>
      <c r="AQ22" s="22"/>
    </row>
    <row r="23" spans="2:43" x14ac:dyDescent="0.25">
      <c r="B23" s="15"/>
      <c r="D23" s="164" t="s">
        <v>101</v>
      </c>
      <c r="E23" s="164"/>
      <c r="F23" s="23"/>
      <c r="G23" s="23"/>
      <c r="H23" s="164" t="s">
        <v>122</v>
      </c>
      <c r="I23" s="164"/>
      <c r="L23" s="164" t="s">
        <v>139</v>
      </c>
      <c r="M23" s="164"/>
      <c r="N23" s="23"/>
      <c r="O23" s="23"/>
      <c r="P23" s="154" t="s">
        <v>158</v>
      </c>
      <c r="Q23" s="154"/>
      <c r="T23" s="154" t="s">
        <v>174</v>
      </c>
      <c r="U23" s="154"/>
      <c r="V23" s="23"/>
      <c r="W23" s="23"/>
      <c r="X23" s="154" t="s">
        <v>192</v>
      </c>
      <c r="Y23" s="154"/>
      <c r="AB23" s="154" t="s">
        <v>208</v>
      </c>
      <c r="AC23" s="154"/>
      <c r="AD23" s="23"/>
      <c r="AE23" s="23"/>
      <c r="AF23" s="154" t="s">
        <v>226</v>
      </c>
      <c r="AG23" s="154"/>
      <c r="AJ23" s="154" t="s">
        <v>242</v>
      </c>
      <c r="AK23" s="154"/>
      <c r="AL23" s="23"/>
      <c r="AM23" s="23"/>
      <c r="AN23" s="154" t="s">
        <v>260</v>
      </c>
      <c r="AO23" s="154"/>
      <c r="AP23" s="1"/>
      <c r="AQ23" s="22"/>
    </row>
    <row r="24" spans="2:43" x14ac:dyDescent="0.25">
      <c r="B24" s="15"/>
      <c r="D24" s="164" t="s">
        <v>102</v>
      </c>
      <c r="E24" s="164"/>
      <c r="F24" s="23"/>
      <c r="G24" s="23"/>
      <c r="H24" s="164" t="s">
        <v>123</v>
      </c>
      <c r="I24" s="164"/>
      <c r="L24" s="169" t="s">
        <v>420</v>
      </c>
      <c r="M24" s="164"/>
      <c r="N24" s="23"/>
      <c r="O24" s="23"/>
      <c r="P24" s="154" t="s">
        <v>159</v>
      </c>
      <c r="Q24" s="154"/>
      <c r="T24" s="154" t="s">
        <v>175</v>
      </c>
      <c r="U24" s="154"/>
      <c r="V24" s="23"/>
      <c r="W24" s="23"/>
      <c r="X24" s="154" t="s">
        <v>193</v>
      </c>
      <c r="Y24" s="154"/>
      <c r="AB24" s="154" t="s">
        <v>209</v>
      </c>
      <c r="AC24" s="154"/>
      <c r="AD24" s="23"/>
      <c r="AE24" s="23"/>
      <c r="AF24" s="154" t="s">
        <v>227</v>
      </c>
      <c r="AG24" s="154"/>
      <c r="AJ24" s="154" t="s">
        <v>243</v>
      </c>
      <c r="AK24" s="154"/>
      <c r="AL24" s="23"/>
      <c r="AM24" s="23"/>
      <c r="AN24" s="154" t="s">
        <v>261</v>
      </c>
      <c r="AO24" s="154"/>
      <c r="AP24" s="1"/>
      <c r="AQ24" s="22"/>
    </row>
    <row r="25" spans="2:43" x14ac:dyDescent="0.25">
      <c r="B25" s="15"/>
      <c r="D25" s="164" t="s">
        <v>103</v>
      </c>
      <c r="E25" s="164"/>
      <c r="F25" s="23"/>
      <c r="G25" s="23"/>
      <c r="H25" s="164" t="s">
        <v>124</v>
      </c>
      <c r="I25" s="164"/>
      <c r="L25" s="169" t="s">
        <v>421</v>
      </c>
      <c r="M25" s="164"/>
      <c r="N25" s="23"/>
      <c r="O25" s="23"/>
      <c r="P25" s="154" t="s">
        <v>160</v>
      </c>
      <c r="Q25" s="154"/>
      <c r="T25" s="154" t="s">
        <v>176</v>
      </c>
      <c r="U25" s="154"/>
      <c r="V25" s="23"/>
      <c r="W25" s="23"/>
      <c r="X25" s="154" t="s">
        <v>194</v>
      </c>
      <c r="Y25" s="154"/>
      <c r="AB25" s="154" t="s">
        <v>210</v>
      </c>
      <c r="AC25" s="154"/>
      <c r="AD25" s="23"/>
      <c r="AE25" s="23"/>
      <c r="AF25" s="154" t="s">
        <v>228</v>
      </c>
      <c r="AG25" s="154"/>
      <c r="AJ25" s="154" t="s">
        <v>244</v>
      </c>
      <c r="AK25" s="154"/>
      <c r="AL25" s="23"/>
      <c r="AM25" s="23"/>
      <c r="AN25" s="154" t="s">
        <v>262</v>
      </c>
      <c r="AO25" s="154"/>
      <c r="AP25" s="1"/>
      <c r="AQ25" s="22"/>
    </row>
    <row r="26" spans="2:43" x14ac:dyDescent="0.25">
      <c r="B26" s="15"/>
      <c r="D26" s="154" t="s">
        <v>104</v>
      </c>
      <c r="E26" s="154"/>
      <c r="F26" s="23"/>
      <c r="G26" s="23"/>
      <c r="H26" s="164" t="s">
        <v>125</v>
      </c>
      <c r="I26" s="164"/>
      <c r="L26" s="169" t="s">
        <v>422</v>
      </c>
      <c r="M26" s="164"/>
      <c r="N26" s="23"/>
      <c r="O26" s="23"/>
      <c r="P26" s="154" t="s">
        <v>161</v>
      </c>
      <c r="Q26" s="154"/>
      <c r="T26" s="154" t="s">
        <v>177</v>
      </c>
      <c r="U26" s="154"/>
      <c r="V26" s="23"/>
      <c r="W26" s="23"/>
      <c r="X26" s="154" t="s">
        <v>195</v>
      </c>
      <c r="Y26" s="154"/>
      <c r="AB26" s="154" t="s">
        <v>211</v>
      </c>
      <c r="AC26" s="154"/>
      <c r="AD26" s="23"/>
      <c r="AE26" s="23"/>
      <c r="AF26" s="154" t="s">
        <v>229</v>
      </c>
      <c r="AG26" s="154"/>
      <c r="AJ26" s="154" t="s">
        <v>245</v>
      </c>
      <c r="AK26" s="154"/>
      <c r="AL26" s="23"/>
      <c r="AM26" s="23"/>
      <c r="AN26" s="154" t="s">
        <v>263</v>
      </c>
      <c r="AO26" s="154"/>
      <c r="AP26" s="1"/>
      <c r="AQ26" s="22"/>
    </row>
    <row r="27" spans="2:4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</row>
    <row r="28" spans="2:43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</row>
    <row r="29" spans="2:43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</row>
    <row r="30" spans="2:43" ht="22.2" customHeight="1" x14ac:dyDescent="0.25">
      <c r="B30" s="143" t="s">
        <v>390</v>
      </c>
      <c r="C30" s="144"/>
      <c r="D30" s="1"/>
      <c r="E30" s="1"/>
      <c r="F30" s="1"/>
      <c r="G30" s="1"/>
      <c r="H30" s="1"/>
      <c r="I30" s="143" t="s">
        <v>391</v>
      </c>
      <c r="J30" s="144"/>
      <c r="K30" s="143" t="s">
        <v>392</v>
      </c>
      <c r="L30" s="144"/>
      <c r="M30" s="1"/>
      <c r="N30" s="1"/>
      <c r="O30" s="1"/>
      <c r="P30" s="143" t="s">
        <v>393</v>
      </c>
      <c r="Q30" s="144"/>
      <c r="R30" s="1"/>
      <c r="S30" s="1"/>
      <c r="T30" s="143" t="s">
        <v>394</v>
      </c>
      <c r="U30" s="144"/>
      <c r="V30" s="1"/>
      <c r="W30" s="1"/>
      <c r="X30" s="1"/>
      <c r="Y30" s="143" t="s">
        <v>395</v>
      </c>
      <c r="Z30" s="144"/>
      <c r="AA30" s="143" t="s">
        <v>396</v>
      </c>
      <c r="AB30" s="144"/>
      <c r="AC30" s="1"/>
      <c r="AD30" s="1"/>
      <c r="AE30" s="1"/>
      <c r="AF30" s="1"/>
      <c r="AG30" s="143" t="s">
        <v>397</v>
      </c>
      <c r="AH30" s="144"/>
      <c r="AI30" s="1"/>
      <c r="AJ30" s="1"/>
      <c r="AK30" s="143" t="s">
        <v>398</v>
      </c>
      <c r="AL30" s="144"/>
      <c r="AM30" s="1"/>
      <c r="AN30" s="1"/>
      <c r="AO30" s="1"/>
      <c r="AP30" s="143" t="s">
        <v>399</v>
      </c>
      <c r="AQ30" s="144"/>
    </row>
    <row r="31" spans="2:43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</row>
    <row r="33" spans="2:11" ht="14.1" customHeight="1" x14ac:dyDescent="0.25">
      <c r="B33" s="159" t="s">
        <v>332</v>
      </c>
      <c r="C33" s="159"/>
      <c r="D33" s="159"/>
      <c r="E33" s="159"/>
      <c r="F33" s="159"/>
      <c r="G33" s="26"/>
      <c r="H33" s="35">
        <f>getcolorcount($D$9:$AO$27,G33)</f>
        <v>242</v>
      </c>
    </row>
    <row r="34" spans="2:11" x14ac:dyDescent="0.25">
      <c r="B34" s="159"/>
      <c r="C34" s="159"/>
      <c r="D34" s="159"/>
      <c r="E34" s="159"/>
      <c r="F34" s="159"/>
      <c r="G34" s="28"/>
      <c r="H34" s="35">
        <f>getcolorcount($D$9:$AO$27,G34)</f>
        <v>98</v>
      </c>
    </row>
    <row r="35" spans="2:11" x14ac:dyDescent="0.25">
      <c r="B35" s="159"/>
      <c r="C35" s="159"/>
      <c r="D35" s="159"/>
      <c r="E35" s="159"/>
      <c r="F35" s="159"/>
      <c r="G35" s="29"/>
      <c r="H35" s="35">
        <f>getcolorcount($D$9:$AO$27,G35)</f>
        <v>242</v>
      </c>
    </row>
    <row r="36" spans="2:11" x14ac:dyDescent="0.25">
      <c r="B36" s="159"/>
      <c r="C36" s="159"/>
      <c r="D36" s="159"/>
      <c r="E36" s="159"/>
      <c r="F36" s="159"/>
      <c r="G36" s="30"/>
      <c r="H36" s="35">
        <f>getcolorcount($D$9:$AO$27,G36)</f>
        <v>98</v>
      </c>
      <c r="J36" s="2"/>
      <c r="K36" s="31"/>
    </row>
    <row r="37" spans="2:11" x14ac:dyDescent="0.25">
      <c r="B37" s="160"/>
      <c r="C37" s="160"/>
      <c r="D37" s="160"/>
      <c r="E37" s="160"/>
      <c r="F37" s="160"/>
      <c r="G37" s="32"/>
      <c r="J37" s="24"/>
      <c r="K37" s="31"/>
    </row>
    <row r="38" spans="2:11" x14ac:dyDescent="0.25">
      <c r="B38" s="157" t="s">
        <v>333</v>
      </c>
      <c r="C38" s="157"/>
      <c r="D38" s="157"/>
      <c r="E38" s="157"/>
      <c r="F38" s="33">
        <v>170</v>
      </c>
      <c r="G38" s="1"/>
      <c r="H38" s="1"/>
    </row>
    <row r="39" spans="2:11" x14ac:dyDescent="0.25">
      <c r="B39" s="157" t="s">
        <v>334</v>
      </c>
      <c r="C39" s="157"/>
      <c r="D39" s="157"/>
      <c r="E39" s="157"/>
      <c r="F39" s="33">
        <f>H36/2</f>
        <v>49</v>
      </c>
      <c r="G39" s="34"/>
      <c r="H39" s="1"/>
    </row>
    <row r="40" spans="2:11" x14ac:dyDescent="0.25">
      <c r="B40" s="157" t="s">
        <v>335</v>
      </c>
      <c r="C40" s="157"/>
      <c r="D40" s="157"/>
      <c r="E40" s="157"/>
      <c r="F40" s="33">
        <f>F38-F39</f>
        <v>121</v>
      </c>
      <c r="G40" s="29"/>
      <c r="H40" s="1"/>
    </row>
  </sheetData>
  <mergeCells count="231"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X40"/>
  <sheetViews>
    <sheetView showGridLines="0" topLeftCell="A4" zoomScale="85" zoomScaleNormal="85" workbookViewId="0">
      <selection activeCell="L37" sqref="L37"/>
    </sheetView>
  </sheetViews>
  <sheetFormatPr defaultColWidth="9" defaultRowHeight="14.4" x14ac:dyDescent="0.25"/>
  <cols>
    <col min="1" max="3" width="3.6640625" customWidth="1"/>
    <col min="4" max="5" width="5.44140625" customWidth="1"/>
    <col min="6" max="6" width="7.44140625" customWidth="1"/>
    <col min="7" max="7" width="3.6640625" customWidth="1"/>
    <col min="8" max="8" width="7.44140625" customWidth="1"/>
    <col min="9" max="9" width="5.44140625" customWidth="1"/>
    <col min="10" max="11" width="3.6640625" customWidth="1"/>
    <col min="12" max="13" width="5.44140625" customWidth="1"/>
    <col min="14" max="15" width="3.6640625" customWidth="1"/>
    <col min="16" max="17" width="5.44140625" customWidth="1"/>
    <col min="18" max="19" width="3.6640625" customWidth="1"/>
    <col min="20" max="20" width="4.44140625" customWidth="1"/>
    <col min="21" max="21" width="5" customWidth="1"/>
    <col min="22" max="23" width="3.6640625" customWidth="1"/>
    <col min="24" max="25" width="5.44140625" customWidth="1"/>
    <col min="26" max="27" width="3.6640625" customWidth="1"/>
    <col min="28" max="29" width="5.44140625" customWidth="1"/>
    <col min="30" max="31" width="3.6640625" customWidth="1"/>
    <col min="32" max="33" width="5.44140625" customWidth="1"/>
    <col min="34" max="35" width="3.6640625" customWidth="1"/>
    <col min="36" max="37" width="5.44140625" customWidth="1"/>
    <col min="38" max="39" width="3.6640625" customWidth="1"/>
    <col min="40" max="41" width="5.44140625" customWidth="1"/>
    <col min="42" max="43" width="3.6640625" customWidth="1"/>
    <col min="44" max="44" width="3.6640625" style="2" customWidth="1"/>
    <col min="45" max="45" width="16.109375" style="2" customWidth="1"/>
    <col min="46" max="46" width="16.109375" style="3" customWidth="1"/>
    <col min="47" max="47" width="16.109375" style="4" customWidth="1"/>
    <col min="48" max="48" width="4.44140625" style="4" customWidth="1"/>
    <col min="49" max="49" width="5.109375" customWidth="1"/>
  </cols>
  <sheetData>
    <row r="1" spans="2:50" x14ac:dyDescent="0.25">
      <c r="AS1" s="158"/>
      <c r="AU1" s="5"/>
      <c r="AV1" s="5"/>
      <c r="AW1" s="6"/>
      <c r="AX1" s="1"/>
    </row>
    <row r="2" spans="2:50" ht="14.1" customHeight="1" x14ac:dyDescent="0.2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158"/>
      <c r="AU2" s="5"/>
      <c r="AX2" s="1"/>
    </row>
    <row r="3" spans="2:50" ht="25.05" customHeight="1" x14ac:dyDescent="0.25">
      <c r="B3" s="143" t="s">
        <v>400</v>
      </c>
      <c r="C3" s="144"/>
      <c r="D3" s="1"/>
      <c r="E3" s="1"/>
      <c r="F3" s="1"/>
      <c r="G3" s="1"/>
      <c r="H3" s="1"/>
      <c r="I3" s="143" t="s">
        <v>401</v>
      </c>
      <c r="J3" s="144"/>
      <c r="K3" s="143" t="s">
        <v>402</v>
      </c>
      <c r="L3" s="144"/>
      <c r="M3" s="1"/>
      <c r="N3" s="1"/>
      <c r="O3" s="1"/>
      <c r="P3" s="143" t="s">
        <v>403</v>
      </c>
      <c r="Q3" s="144"/>
      <c r="R3" s="1"/>
      <c r="S3" s="1"/>
      <c r="T3" s="143" t="s">
        <v>404</v>
      </c>
      <c r="U3" s="144"/>
      <c r="V3" s="1"/>
      <c r="W3" s="1"/>
      <c r="X3" s="1"/>
      <c r="Y3" s="143" t="s">
        <v>405</v>
      </c>
      <c r="Z3" s="144"/>
      <c r="AA3" s="143" t="s">
        <v>406</v>
      </c>
      <c r="AB3" s="144"/>
      <c r="AC3" s="1"/>
      <c r="AD3" s="1"/>
      <c r="AE3" s="1"/>
      <c r="AF3" s="1"/>
      <c r="AG3" s="143" t="s">
        <v>407</v>
      </c>
      <c r="AH3" s="144"/>
      <c r="AI3" s="1"/>
      <c r="AJ3" s="1"/>
      <c r="AK3" s="143" t="s">
        <v>408</v>
      </c>
      <c r="AL3" s="144"/>
      <c r="AM3" s="1"/>
      <c r="AN3" s="1"/>
      <c r="AO3" s="1"/>
      <c r="AP3" s="143" t="s">
        <v>409</v>
      </c>
      <c r="AQ3" s="144"/>
      <c r="AR3" s="10"/>
      <c r="AS3" s="158"/>
      <c r="AU3" s="5"/>
      <c r="AX3" s="1"/>
    </row>
    <row r="4" spans="2:50" s="1" customFormat="1" ht="25.05" customHeight="1" x14ac:dyDescent="0.25">
      <c r="B4" s="145"/>
      <c r="C4" s="146"/>
      <c r="I4" s="147"/>
      <c r="J4" s="146"/>
      <c r="K4" s="147"/>
      <c r="L4" s="146"/>
      <c r="P4" s="147"/>
      <c r="Q4" s="146"/>
      <c r="T4" s="147"/>
      <c r="U4" s="146"/>
      <c r="Y4" s="147"/>
      <c r="Z4" s="146"/>
      <c r="AA4" s="147"/>
      <c r="AB4" s="146"/>
      <c r="AG4" s="147"/>
      <c r="AH4" s="146"/>
      <c r="AK4" s="147"/>
      <c r="AL4" s="146"/>
      <c r="AP4" s="147"/>
      <c r="AQ4" s="148"/>
      <c r="AR4" s="10"/>
      <c r="AS4" s="158"/>
      <c r="AT4" s="3"/>
      <c r="AU4" s="5"/>
      <c r="AV4" s="5"/>
      <c r="AW4" s="11"/>
      <c r="AX4"/>
    </row>
    <row r="5" spans="2:50" x14ac:dyDescent="0.25">
      <c r="B5" s="12"/>
      <c r="C5" s="13"/>
      <c r="D5" s="1"/>
      <c r="E5" s="1"/>
      <c r="F5" s="13"/>
      <c r="G5" s="13"/>
      <c r="H5" s="149" t="s">
        <v>291</v>
      </c>
      <c r="I5" s="150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49" t="s">
        <v>292</v>
      </c>
      <c r="W5" s="150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49" t="s">
        <v>293</v>
      </c>
      <c r="AN5" s="150"/>
      <c r="AO5" s="13"/>
      <c r="AP5" s="13"/>
      <c r="AQ5" s="14"/>
      <c r="AS5" s="158"/>
      <c r="AU5" s="5"/>
      <c r="AV5" s="5"/>
      <c r="AW5" s="1"/>
    </row>
    <row r="6" spans="2:50" x14ac:dyDescent="0.25">
      <c r="B6" s="15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16" t="s">
        <v>410</v>
      </c>
      <c r="V6" s="5"/>
      <c r="W6" s="5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5"/>
      <c r="AN6" s="8"/>
      <c r="AO6" s="8"/>
      <c r="AP6" s="8"/>
      <c r="AQ6" s="9"/>
      <c r="AU6" s="5"/>
      <c r="AV6" s="5"/>
      <c r="AW6" s="1"/>
    </row>
    <row r="7" spans="2:50" x14ac:dyDescent="0.25">
      <c r="B7" s="17"/>
      <c r="C7" s="18"/>
      <c r="D7" s="151" t="s">
        <v>296</v>
      </c>
      <c r="E7" s="151"/>
      <c r="F7" s="18"/>
      <c r="G7" s="18"/>
      <c r="H7" s="151" t="s">
        <v>297</v>
      </c>
      <c r="I7" s="151"/>
      <c r="J7" s="18"/>
      <c r="K7" s="18"/>
      <c r="L7" s="151" t="s">
        <v>298</v>
      </c>
      <c r="M7" s="151"/>
      <c r="N7" s="18"/>
      <c r="O7" s="18"/>
      <c r="P7" s="151" t="s">
        <v>299</v>
      </c>
      <c r="Q7" s="151"/>
      <c r="R7" s="18"/>
      <c r="S7" s="18"/>
      <c r="T7" s="151" t="s">
        <v>300</v>
      </c>
      <c r="U7" s="151"/>
      <c r="V7" s="18"/>
      <c r="W7" s="18"/>
      <c r="X7" s="151" t="s">
        <v>301</v>
      </c>
      <c r="Y7" s="151"/>
      <c r="Z7" s="18"/>
      <c r="AA7" s="18"/>
      <c r="AB7" s="151" t="s">
        <v>302</v>
      </c>
      <c r="AC7" s="151"/>
      <c r="AD7" s="18"/>
      <c r="AE7" s="18"/>
      <c r="AF7" s="151" t="s">
        <v>303</v>
      </c>
      <c r="AG7" s="151"/>
      <c r="AH7" s="18"/>
      <c r="AI7" s="18"/>
      <c r="AJ7" s="151" t="s">
        <v>304</v>
      </c>
      <c r="AK7" s="151"/>
      <c r="AL7" s="18"/>
      <c r="AM7" s="18"/>
      <c r="AN7" s="151" t="s">
        <v>305</v>
      </c>
      <c r="AO7" s="151"/>
      <c r="AP7" s="18"/>
      <c r="AQ7" s="19"/>
      <c r="AR7" s="20"/>
      <c r="AU7" s="5"/>
      <c r="AV7" s="5"/>
      <c r="AW7" s="1"/>
    </row>
    <row r="8" spans="2:50" ht="14.25" customHeight="1" x14ac:dyDescent="0.25">
      <c r="B8" s="15"/>
      <c r="D8" s="21" t="s">
        <v>306</v>
      </c>
      <c r="E8" s="21" t="s">
        <v>307</v>
      </c>
      <c r="F8" s="4"/>
      <c r="G8" s="4"/>
      <c r="H8" s="21" t="s">
        <v>307</v>
      </c>
      <c r="I8" s="21" t="s">
        <v>306</v>
      </c>
      <c r="J8" s="4"/>
      <c r="K8" s="4"/>
      <c r="L8" s="21" t="s">
        <v>306</v>
      </c>
      <c r="M8" s="21" t="s">
        <v>307</v>
      </c>
      <c r="N8" s="4"/>
      <c r="O8" s="4"/>
      <c r="P8" s="21" t="s">
        <v>307</v>
      </c>
      <c r="Q8" s="21" t="s">
        <v>306</v>
      </c>
      <c r="R8" s="4"/>
      <c r="S8" s="4"/>
      <c r="T8" s="21" t="s">
        <v>306</v>
      </c>
      <c r="U8" s="21" t="s">
        <v>307</v>
      </c>
      <c r="V8" s="4"/>
      <c r="W8" s="4"/>
      <c r="X8" s="21" t="s">
        <v>307</v>
      </c>
      <c r="Y8" s="21" t="s">
        <v>306</v>
      </c>
      <c r="Z8" s="4"/>
      <c r="AA8" s="4"/>
      <c r="AB8" s="21" t="s">
        <v>306</v>
      </c>
      <c r="AC8" s="21" t="s">
        <v>307</v>
      </c>
      <c r="AD8" s="4"/>
      <c r="AE8" s="4"/>
      <c r="AF8" s="21" t="s">
        <v>307</v>
      </c>
      <c r="AG8" s="21" t="s">
        <v>306</v>
      </c>
      <c r="AH8" s="4"/>
      <c r="AI8" s="4"/>
      <c r="AJ8" s="21" t="s">
        <v>306</v>
      </c>
      <c r="AK8" s="21" t="s">
        <v>307</v>
      </c>
      <c r="AL8" s="4"/>
      <c r="AM8" s="4"/>
      <c r="AN8" s="21" t="s">
        <v>307</v>
      </c>
      <c r="AO8" s="21" t="s">
        <v>306</v>
      </c>
      <c r="AP8" s="1"/>
      <c r="AQ8" s="22"/>
      <c r="AU8" s="5"/>
      <c r="AV8" s="5"/>
      <c r="AW8" s="1"/>
    </row>
    <row r="9" spans="2:50" x14ac:dyDescent="0.25">
      <c r="B9" s="15"/>
      <c r="D9" s="164" t="s">
        <v>246</v>
      </c>
      <c r="E9" s="164"/>
      <c r="F9" s="23"/>
      <c r="G9" s="23"/>
      <c r="H9" s="170" t="s">
        <v>230</v>
      </c>
      <c r="I9" s="164"/>
      <c r="L9" s="164" t="s">
        <v>212</v>
      </c>
      <c r="M9" s="164"/>
      <c r="N9" s="23"/>
      <c r="O9" s="23"/>
      <c r="P9" s="164" t="s">
        <v>196</v>
      </c>
      <c r="Q9" s="164"/>
      <c r="T9" s="164" t="s">
        <v>178</v>
      </c>
      <c r="U9" s="164"/>
      <c r="V9" s="23"/>
      <c r="W9" s="23"/>
      <c r="X9" s="164" t="s">
        <v>162</v>
      </c>
      <c r="Y9" s="164"/>
      <c r="AB9" s="164" t="s">
        <v>143</v>
      </c>
      <c r="AC9" s="164"/>
      <c r="AD9" s="23"/>
      <c r="AE9" s="23"/>
      <c r="AF9" s="164" t="s">
        <v>126</v>
      </c>
      <c r="AG9" s="164"/>
      <c r="AJ9" s="164" t="s">
        <v>105</v>
      </c>
      <c r="AK9" s="164"/>
      <c r="AL9" s="23"/>
      <c r="AM9" s="23"/>
      <c r="AN9" s="164" t="s">
        <v>87</v>
      </c>
      <c r="AO9" s="164"/>
      <c r="AP9" s="1"/>
      <c r="AQ9" s="22"/>
      <c r="AU9" s="5"/>
    </row>
    <row r="10" spans="2:50" x14ac:dyDescent="0.25">
      <c r="B10" s="15"/>
      <c r="D10" s="164" t="s">
        <v>247</v>
      </c>
      <c r="E10" s="164"/>
      <c r="F10" s="23"/>
      <c r="G10" s="23"/>
      <c r="H10" s="170" t="s">
        <v>231</v>
      </c>
      <c r="I10" s="164"/>
      <c r="L10" s="164" t="s">
        <v>213</v>
      </c>
      <c r="M10" s="164"/>
      <c r="N10" s="23"/>
      <c r="O10" s="23"/>
      <c r="P10" s="164" t="s">
        <v>197</v>
      </c>
      <c r="Q10" s="164"/>
      <c r="T10" s="164" t="s">
        <v>179</v>
      </c>
      <c r="U10" s="164"/>
      <c r="V10" s="23"/>
      <c r="W10" s="23"/>
      <c r="X10" s="164" t="s">
        <v>163</v>
      </c>
      <c r="Y10" s="164"/>
      <c r="AB10" s="164" t="s">
        <v>144</v>
      </c>
      <c r="AC10" s="164"/>
      <c r="AD10" s="23"/>
      <c r="AE10" s="23"/>
      <c r="AF10" s="164" t="s">
        <v>128</v>
      </c>
      <c r="AG10" s="164"/>
      <c r="AJ10" s="164" t="s">
        <v>109</v>
      </c>
      <c r="AK10" s="164"/>
      <c r="AL10" s="23"/>
      <c r="AM10" s="23"/>
      <c r="AN10" s="164" t="s">
        <v>89</v>
      </c>
      <c r="AO10" s="164"/>
      <c r="AP10" s="1"/>
      <c r="AQ10" s="22"/>
      <c r="AR10" s="24"/>
      <c r="AU10" s="5"/>
    </row>
    <row r="11" spans="2:50" x14ac:dyDescent="0.25">
      <c r="B11" s="15"/>
      <c r="D11" s="164" t="s">
        <v>248</v>
      </c>
      <c r="E11" s="164"/>
      <c r="F11" s="23"/>
      <c r="G11" s="23"/>
      <c r="H11" s="164" t="s">
        <v>232</v>
      </c>
      <c r="I11" s="164"/>
      <c r="L11" s="164" t="s">
        <v>214</v>
      </c>
      <c r="M11" s="164"/>
      <c r="N11" s="23"/>
      <c r="O11" s="23"/>
      <c r="P11" s="164" t="s">
        <v>198</v>
      </c>
      <c r="Q11" s="164"/>
      <c r="T11" s="164" t="s">
        <v>180</v>
      </c>
      <c r="U11" s="164"/>
      <c r="V11" s="23"/>
      <c r="W11" s="23"/>
      <c r="X11" s="164" t="s">
        <v>164</v>
      </c>
      <c r="Y11" s="164"/>
      <c r="AB11" s="164" t="s">
        <v>145</v>
      </c>
      <c r="AC11" s="164"/>
      <c r="AD11" s="23"/>
      <c r="AE11" s="23"/>
      <c r="AF11" s="164" t="s">
        <v>129</v>
      </c>
      <c r="AG11" s="164"/>
      <c r="AJ11" s="164" t="s">
        <v>110</v>
      </c>
      <c r="AK11" s="164"/>
      <c r="AL11" s="23"/>
      <c r="AM11" s="23"/>
      <c r="AN11" s="164" t="s">
        <v>91</v>
      </c>
      <c r="AO11" s="164"/>
      <c r="AP11" s="1"/>
      <c r="AQ11" s="22"/>
      <c r="AU11" s="5"/>
    </row>
    <row r="12" spans="2:50" x14ac:dyDescent="0.25">
      <c r="B12" s="15"/>
      <c r="D12" s="164" t="s">
        <v>249</v>
      </c>
      <c r="E12" s="164"/>
      <c r="F12" s="23"/>
      <c r="G12" s="23"/>
      <c r="H12" s="164" t="s">
        <v>233</v>
      </c>
      <c r="I12" s="164"/>
      <c r="L12" s="164" t="s">
        <v>215</v>
      </c>
      <c r="M12" s="164"/>
      <c r="N12" s="23"/>
      <c r="O12" s="23"/>
      <c r="P12" s="164" t="s">
        <v>199</v>
      </c>
      <c r="Q12" s="164"/>
      <c r="T12" s="164" t="s">
        <v>181</v>
      </c>
      <c r="U12" s="164"/>
      <c r="V12" s="23"/>
      <c r="W12" s="23"/>
      <c r="X12" s="164" t="s">
        <v>165</v>
      </c>
      <c r="Y12" s="164"/>
      <c r="AB12" s="164" t="s">
        <v>147</v>
      </c>
      <c r="AC12" s="164"/>
      <c r="AD12" s="23"/>
      <c r="AE12" s="23"/>
      <c r="AF12" s="164" t="s">
        <v>130</v>
      </c>
      <c r="AG12" s="164"/>
      <c r="AJ12" s="164" t="s">
        <v>111</v>
      </c>
      <c r="AK12" s="164"/>
      <c r="AL12" s="23"/>
      <c r="AM12" s="23"/>
      <c r="AN12" s="164" t="s">
        <v>92</v>
      </c>
      <c r="AO12" s="164"/>
      <c r="AP12" s="1"/>
      <c r="AQ12" s="22"/>
      <c r="AU12" s="5"/>
    </row>
    <row r="13" spans="2:50" x14ac:dyDescent="0.25">
      <c r="B13" s="15"/>
      <c r="D13" s="164" t="s">
        <v>250</v>
      </c>
      <c r="E13" s="164"/>
      <c r="F13" s="23"/>
      <c r="G13" s="23"/>
      <c r="H13" s="164" t="s">
        <v>234</v>
      </c>
      <c r="I13" s="164"/>
      <c r="L13" s="164" t="s">
        <v>216</v>
      </c>
      <c r="M13" s="164"/>
      <c r="N13" s="23"/>
      <c r="O13" s="23"/>
      <c r="P13" s="164" t="s">
        <v>200</v>
      </c>
      <c r="Q13" s="164"/>
      <c r="T13" s="164" t="s">
        <v>182</v>
      </c>
      <c r="U13" s="164"/>
      <c r="V13" s="23"/>
      <c r="W13" s="23"/>
      <c r="X13" s="164" t="s">
        <v>166</v>
      </c>
      <c r="Y13" s="164"/>
      <c r="AB13" s="164" t="s">
        <v>148</v>
      </c>
      <c r="AC13" s="164"/>
      <c r="AD13" s="23"/>
      <c r="AE13" s="23"/>
      <c r="AF13" s="164" t="s">
        <v>131</v>
      </c>
      <c r="AG13" s="164"/>
      <c r="AJ13" s="164" t="s">
        <v>112</v>
      </c>
      <c r="AK13" s="164"/>
      <c r="AL13" s="23"/>
      <c r="AM13" s="23"/>
      <c r="AN13" s="164" t="s">
        <v>93</v>
      </c>
      <c r="AO13" s="164"/>
      <c r="AP13" s="1"/>
      <c r="AQ13" s="22"/>
    </row>
    <row r="14" spans="2:50" x14ac:dyDescent="0.25">
      <c r="B14" s="15"/>
      <c r="D14" s="164" t="s">
        <v>251</v>
      </c>
      <c r="E14" s="164"/>
      <c r="F14" s="23"/>
      <c r="G14" s="23"/>
      <c r="H14" s="164" t="s">
        <v>235</v>
      </c>
      <c r="I14" s="164"/>
      <c r="L14" s="164" t="s">
        <v>217</v>
      </c>
      <c r="M14" s="164"/>
      <c r="N14" s="23"/>
      <c r="O14" s="23"/>
      <c r="P14" s="164" t="s">
        <v>201</v>
      </c>
      <c r="Q14" s="164"/>
      <c r="T14" s="164" t="s">
        <v>183</v>
      </c>
      <c r="U14" s="164"/>
      <c r="V14" s="23"/>
      <c r="W14" s="23"/>
      <c r="X14" s="164" t="s">
        <v>167</v>
      </c>
      <c r="Y14" s="164"/>
      <c r="AB14" s="164" t="s">
        <v>149</v>
      </c>
      <c r="AC14" s="164"/>
      <c r="AD14" s="23"/>
      <c r="AE14" s="23"/>
      <c r="AF14" s="164" t="s">
        <v>132</v>
      </c>
      <c r="AG14" s="164"/>
      <c r="AJ14" s="164" t="s">
        <v>113</v>
      </c>
      <c r="AK14" s="164"/>
      <c r="AL14" s="23"/>
      <c r="AM14" s="23"/>
      <c r="AN14" s="164" t="s">
        <v>94</v>
      </c>
      <c r="AO14" s="164"/>
      <c r="AP14" s="1"/>
      <c r="AQ14" s="22"/>
    </row>
    <row r="15" spans="2:50" x14ac:dyDescent="0.25">
      <c r="B15" s="15"/>
      <c r="D15" s="164" t="s">
        <v>252</v>
      </c>
      <c r="E15" s="164"/>
      <c r="F15" s="23"/>
      <c r="G15" s="23"/>
      <c r="H15" s="164" t="s">
        <v>236</v>
      </c>
      <c r="I15" s="164"/>
      <c r="L15" s="164" t="s">
        <v>218</v>
      </c>
      <c r="M15" s="164"/>
      <c r="N15" s="23"/>
      <c r="O15" s="23"/>
      <c r="P15" s="164" t="s">
        <v>202</v>
      </c>
      <c r="Q15" s="164"/>
      <c r="T15" s="164" t="s">
        <v>184</v>
      </c>
      <c r="U15" s="164"/>
      <c r="V15" s="23"/>
      <c r="W15" s="23"/>
      <c r="X15" s="164" t="s">
        <v>168</v>
      </c>
      <c r="Y15" s="164"/>
      <c r="AB15" s="164" t="s">
        <v>150</v>
      </c>
      <c r="AC15" s="164"/>
      <c r="AD15" s="23"/>
      <c r="AE15" s="23"/>
      <c r="AF15" s="164" t="s">
        <v>133</v>
      </c>
      <c r="AG15" s="164"/>
      <c r="AJ15" s="164" t="s">
        <v>114</v>
      </c>
      <c r="AK15" s="164"/>
      <c r="AL15" s="23"/>
      <c r="AM15" s="23"/>
      <c r="AN15" s="164" t="s">
        <v>95</v>
      </c>
      <c r="AO15" s="164"/>
      <c r="AP15" s="1"/>
      <c r="AQ15" s="22"/>
    </row>
    <row r="16" spans="2:50" x14ac:dyDescent="0.25">
      <c r="B16" s="15"/>
      <c r="D16" s="164" t="s">
        <v>253</v>
      </c>
      <c r="E16" s="164"/>
      <c r="F16" s="23"/>
      <c r="G16" s="23"/>
      <c r="H16" s="164" t="s">
        <v>237</v>
      </c>
      <c r="I16" s="164"/>
      <c r="L16" s="164" t="s">
        <v>219</v>
      </c>
      <c r="M16" s="164"/>
      <c r="N16" s="23"/>
      <c r="O16" s="23"/>
      <c r="P16" s="164" t="s">
        <v>203</v>
      </c>
      <c r="Q16" s="164"/>
      <c r="T16" s="164" t="s">
        <v>185</v>
      </c>
      <c r="U16" s="164"/>
      <c r="V16" s="23"/>
      <c r="W16" s="23"/>
      <c r="X16" s="164" t="s">
        <v>169</v>
      </c>
      <c r="Y16" s="164"/>
      <c r="AB16" s="164" t="s">
        <v>151</v>
      </c>
      <c r="AC16" s="164"/>
      <c r="AD16" s="23"/>
      <c r="AE16" s="23"/>
      <c r="AF16" s="164" t="s">
        <v>134</v>
      </c>
      <c r="AG16" s="164"/>
      <c r="AJ16" s="164" t="s">
        <v>115</v>
      </c>
      <c r="AK16" s="164"/>
      <c r="AL16" s="23"/>
      <c r="AM16" s="23"/>
      <c r="AN16" s="164" t="s">
        <v>96</v>
      </c>
      <c r="AO16" s="164"/>
      <c r="AP16" s="1"/>
      <c r="AQ16" s="22"/>
    </row>
    <row r="17" spans="2:43" x14ac:dyDescent="0.25">
      <c r="B17" s="15"/>
      <c r="D17" s="164" t="s">
        <v>254</v>
      </c>
      <c r="E17" s="164"/>
      <c r="F17" s="23"/>
      <c r="G17" s="23"/>
      <c r="H17" s="164" t="s">
        <v>238</v>
      </c>
      <c r="I17" s="164"/>
      <c r="L17" s="164" t="s">
        <v>220</v>
      </c>
      <c r="M17" s="164"/>
      <c r="N17" s="23"/>
      <c r="O17" s="23"/>
      <c r="P17" s="164" t="s">
        <v>204</v>
      </c>
      <c r="Q17" s="164"/>
      <c r="T17" s="164" t="s">
        <v>186</v>
      </c>
      <c r="U17" s="164"/>
      <c r="V17" s="23"/>
      <c r="W17" s="23"/>
      <c r="X17" s="164" t="s">
        <v>170</v>
      </c>
      <c r="Y17" s="164"/>
      <c r="AB17" s="164" t="s">
        <v>152</v>
      </c>
      <c r="AC17" s="164"/>
      <c r="AD17" s="23"/>
      <c r="AE17" s="23"/>
      <c r="AF17" s="164" t="s">
        <v>135</v>
      </c>
      <c r="AG17" s="164"/>
      <c r="AJ17" s="164" t="s">
        <v>116</v>
      </c>
      <c r="AK17" s="164"/>
      <c r="AL17" s="23"/>
      <c r="AM17" s="23"/>
      <c r="AN17" s="164" t="s">
        <v>97</v>
      </c>
      <c r="AO17" s="164"/>
      <c r="AP17" s="1"/>
      <c r="AQ17" s="22"/>
    </row>
    <row r="18" spans="2:43" x14ac:dyDescent="0.25">
      <c r="B18" s="15"/>
      <c r="D18" s="164" t="s">
        <v>255</v>
      </c>
      <c r="E18" s="164"/>
      <c r="F18" s="23"/>
      <c r="G18" s="23"/>
      <c r="H18" s="164" t="s">
        <v>239</v>
      </c>
      <c r="I18" s="164"/>
      <c r="L18" s="164" t="s">
        <v>221</v>
      </c>
      <c r="M18" s="164"/>
      <c r="N18" s="23"/>
      <c r="O18" s="23"/>
      <c r="P18" s="164" t="s">
        <v>205</v>
      </c>
      <c r="Q18" s="164"/>
      <c r="T18" s="164" t="s">
        <v>187</v>
      </c>
      <c r="U18" s="164"/>
      <c r="V18" s="23"/>
      <c r="W18" s="23"/>
      <c r="X18" s="164" t="s">
        <v>171</v>
      </c>
      <c r="Y18" s="164"/>
      <c r="AB18" s="164" t="s">
        <v>153</v>
      </c>
      <c r="AC18" s="164"/>
      <c r="AD18" s="23"/>
      <c r="AE18" s="23"/>
      <c r="AF18" s="164" t="s">
        <v>136</v>
      </c>
      <c r="AG18" s="164"/>
      <c r="AJ18" s="164" t="s">
        <v>117</v>
      </c>
      <c r="AK18" s="164"/>
      <c r="AL18" s="23"/>
      <c r="AM18" s="23"/>
      <c r="AN18" s="164" t="s">
        <v>98</v>
      </c>
      <c r="AO18" s="164"/>
      <c r="AP18" s="1"/>
      <c r="AQ18" s="22"/>
    </row>
    <row r="19" spans="2:43" x14ac:dyDescent="0.25">
      <c r="B19" s="15"/>
      <c r="D19" s="164" t="s">
        <v>256</v>
      </c>
      <c r="E19" s="164"/>
      <c r="F19" s="23"/>
      <c r="G19" s="23"/>
      <c r="H19" s="155"/>
      <c r="I19" s="155"/>
      <c r="L19" s="164" t="s">
        <v>222</v>
      </c>
      <c r="M19" s="164"/>
      <c r="N19" s="23"/>
      <c r="O19" s="23"/>
      <c r="P19" s="155"/>
      <c r="Q19" s="155"/>
      <c r="T19" s="164" t="s">
        <v>188</v>
      </c>
      <c r="U19" s="164"/>
      <c r="V19" s="23"/>
      <c r="W19" s="23"/>
      <c r="X19" s="155"/>
      <c r="Y19" s="155"/>
      <c r="AB19" s="164" t="s">
        <v>154</v>
      </c>
      <c r="AC19" s="164"/>
      <c r="AD19" s="23"/>
      <c r="AE19" s="23"/>
      <c r="AF19" s="155"/>
      <c r="AG19" s="155"/>
      <c r="AJ19" s="164" t="s">
        <v>118</v>
      </c>
      <c r="AK19" s="164"/>
      <c r="AL19" s="23"/>
      <c r="AM19" s="23"/>
      <c r="AN19" s="155"/>
      <c r="AO19" s="155"/>
      <c r="AP19" s="1"/>
      <c r="AQ19" s="22"/>
    </row>
    <row r="20" spans="2:43" x14ac:dyDescent="0.25">
      <c r="B20" s="15"/>
      <c r="D20" s="164" t="s">
        <v>257</v>
      </c>
      <c r="E20" s="164"/>
      <c r="F20" s="23"/>
      <c r="G20" s="23"/>
      <c r="H20" s="155"/>
      <c r="I20" s="155"/>
      <c r="L20" s="164" t="s">
        <v>223</v>
      </c>
      <c r="M20" s="164"/>
      <c r="N20" s="23"/>
      <c r="O20" s="23"/>
      <c r="P20" s="155"/>
      <c r="Q20" s="155"/>
      <c r="T20" s="164" t="s">
        <v>189</v>
      </c>
      <c r="U20" s="164"/>
      <c r="V20" s="23"/>
      <c r="W20" s="23"/>
      <c r="X20" s="155"/>
      <c r="Y20" s="155"/>
      <c r="AB20" s="164" t="s">
        <v>155</v>
      </c>
      <c r="AC20" s="164"/>
      <c r="AD20" s="23"/>
      <c r="AE20" s="23"/>
      <c r="AF20" s="155"/>
      <c r="AG20" s="155"/>
      <c r="AJ20" s="164" t="s">
        <v>119</v>
      </c>
      <c r="AK20" s="164"/>
      <c r="AL20" s="23"/>
      <c r="AM20" s="23"/>
      <c r="AN20" s="155"/>
      <c r="AO20" s="155"/>
      <c r="AP20" s="25"/>
      <c r="AQ20" s="22"/>
    </row>
    <row r="21" spans="2:43" x14ac:dyDescent="0.25">
      <c r="B21" s="15"/>
      <c r="D21" s="164" t="s">
        <v>258</v>
      </c>
      <c r="E21" s="164"/>
      <c r="F21" s="23"/>
      <c r="G21" s="23"/>
      <c r="H21" s="164" t="s">
        <v>240</v>
      </c>
      <c r="I21" s="164"/>
      <c r="L21" s="164" t="s">
        <v>224</v>
      </c>
      <c r="M21" s="164"/>
      <c r="N21" s="23"/>
      <c r="O21" s="23"/>
      <c r="P21" s="164" t="s">
        <v>206</v>
      </c>
      <c r="Q21" s="164"/>
      <c r="T21" s="164" t="s">
        <v>190</v>
      </c>
      <c r="U21" s="164"/>
      <c r="V21" s="23"/>
      <c r="W21" s="23"/>
      <c r="X21" s="164" t="s">
        <v>172</v>
      </c>
      <c r="Y21" s="164"/>
      <c r="AB21" s="164" t="s">
        <v>156</v>
      </c>
      <c r="AC21" s="164"/>
      <c r="AD21" s="23"/>
      <c r="AE21" s="23"/>
      <c r="AF21" s="164" t="s">
        <v>137</v>
      </c>
      <c r="AG21" s="164"/>
      <c r="AJ21" s="164" t="s">
        <v>120</v>
      </c>
      <c r="AK21" s="164"/>
      <c r="AL21" s="23"/>
      <c r="AM21" s="23"/>
      <c r="AN21" s="164" t="s">
        <v>99</v>
      </c>
      <c r="AO21" s="164"/>
      <c r="AP21" s="1"/>
      <c r="AQ21" s="22"/>
    </row>
    <row r="22" spans="2:43" x14ac:dyDescent="0.25">
      <c r="B22" s="15"/>
      <c r="D22" s="164" t="s">
        <v>259</v>
      </c>
      <c r="E22" s="164"/>
      <c r="F22" s="23"/>
      <c r="G22" s="23"/>
      <c r="H22" s="164" t="s">
        <v>241</v>
      </c>
      <c r="I22" s="164"/>
      <c r="L22" s="164" t="s">
        <v>225</v>
      </c>
      <c r="M22" s="164"/>
      <c r="N22" s="23"/>
      <c r="O22" s="23"/>
      <c r="P22" s="164" t="s">
        <v>207</v>
      </c>
      <c r="Q22" s="164"/>
      <c r="T22" s="164" t="s">
        <v>191</v>
      </c>
      <c r="U22" s="164"/>
      <c r="V22" s="23"/>
      <c r="W22" s="23"/>
      <c r="X22" s="164" t="s">
        <v>173</v>
      </c>
      <c r="Y22" s="164"/>
      <c r="AB22" s="164" t="s">
        <v>157</v>
      </c>
      <c r="AC22" s="164"/>
      <c r="AD22" s="23"/>
      <c r="AE22" s="23"/>
      <c r="AF22" s="164" t="s">
        <v>138</v>
      </c>
      <c r="AG22" s="164"/>
      <c r="AJ22" s="164" t="s">
        <v>121</v>
      </c>
      <c r="AK22" s="164"/>
      <c r="AL22" s="23"/>
      <c r="AM22" s="23"/>
      <c r="AN22" s="164" t="s">
        <v>100</v>
      </c>
      <c r="AO22" s="164"/>
      <c r="AP22" s="1"/>
      <c r="AQ22" s="22"/>
    </row>
    <row r="23" spans="2:43" x14ac:dyDescent="0.25">
      <c r="B23" s="15"/>
      <c r="D23" s="164" t="s">
        <v>260</v>
      </c>
      <c r="E23" s="164"/>
      <c r="F23" s="23"/>
      <c r="G23" s="23"/>
      <c r="H23" s="164" t="s">
        <v>242</v>
      </c>
      <c r="I23" s="164"/>
      <c r="L23" s="164" t="s">
        <v>226</v>
      </c>
      <c r="M23" s="164"/>
      <c r="N23" s="23"/>
      <c r="O23" s="23"/>
      <c r="P23" s="164" t="s">
        <v>208</v>
      </c>
      <c r="Q23" s="164"/>
      <c r="T23" s="164" t="s">
        <v>192</v>
      </c>
      <c r="U23" s="164"/>
      <c r="V23" s="23"/>
      <c r="W23" s="23"/>
      <c r="X23" s="164" t="s">
        <v>174</v>
      </c>
      <c r="Y23" s="164"/>
      <c r="AB23" s="164" t="s">
        <v>158</v>
      </c>
      <c r="AC23" s="164"/>
      <c r="AD23" s="23"/>
      <c r="AE23" s="23"/>
      <c r="AF23" s="164" t="s">
        <v>139</v>
      </c>
      <c r="AG23" s="164"/>
      <c r="AJ23" s="164" t="s">
        <v>122</v>
      </c>
      <c r="AK23" s="164"/>
      <c r="AL23" s="23"/>
      <c r="AM23" s="23"/>
      <c r="AN23" s="164" t="s">
        <v>101</v>
      </c>
      <c r="AO23" s="164"/>
      <c r="AP23" s="1"/>
      <c r="AQ23" s="22"/>
    </row>
    <row r="24" spans="2:43" x14ac:dyDescent="0.25">
      <c r="B24" s="15"/>
      <c r="D24" s="154" t="s">
        <v>261</v>
      </c>
      <c r="E24" s="154"/>
      <c r="F24" s="23"/>
      <c r="G24" s="23"/>
      <c r="H24" s="164" t="s">
        <v>243</v>
      </c>
      <c r="I24" s="164"/>
      <c r="L24" s="164" t="s">
        <v>227</v>
      </c>
      <c r="M24" s="164"/>
      <c r="N24" s="23"/>
      <c r="O24" s="23"/>
      <c r="P24" s="164" t="s">
        <v>209</v>
      </c>
      <c r="Q24" s="164"/>
      <c r="T24" s="164" t="s">
        <v>193</v>
      </c>
      <c r="U24" s="164"/>
      <c r="V24" s="23"/>
      <c r="W24" s="23"/>
      <c r="X24" s="164" t="s">
        <v>175</v>
      </c>
      <c r="Y24" s="164"/>
      <c r="AB24" s="164" t="s">
        <v>159</v>
      </c>
      <c r="AC24" s="164"/>
      <c r="AD24" s="23"/>
      <c r="AE24" s="23"/>
      <c r="AF24" s="164" t="s">
        <v>140</v>
      </c>
      <c r="AG24" s="164"/>
      <c r="AJ24" s="164" t="s">
        <v>123</v>
      </c>
      <c r="AK24" s="164"/>
      <c r="AL24" s="23"/>
      <c r="AM24" s="23"/>
      <c r="AN24" s="164" t="s">
        <v>102</v>
      </c>
      <c r="AO24" s="164"/>
      <c r="AP24" s="1"/>
      <c r="AQ24" s="22"/>
    </row>
    <row r="25" spans="2:43" x14ac:dyDescent="0.25">
      <c r="B25" s="15"/>
      <c r="D25" s="154" t="s">
        <v>262</v>
      </c>
      <c r="E25" s="154"/>
      <c r="F25" s="23"/>
      <c r="G25" s="23"/>
      <c r="H25" s="164" t="s">
        <v>244</v>
      </c>
      <c r="I25" s="164"/>
      <c r="L25" s="154" t="s">
        <v>228</v>
      </c>
      <c r="M25" s="154"/>
      <c r="N25" s="23"/>
      <c r="O25" s="23"/>
      <c r="P25" s="164" t="s">
        <v>210</v>
      </c>
      <c r="Q25" s="164"/>
      <c r="T25" s="154" t="s">
        <v>194</v>
      </c>
      <c r="U25" s="154"/>
      <c r="V25" s="23"/>
      <c r="W25" s="23"/>
      <c r="X25" s="164" t="s">
        <v>176</v>
      </c>
      <c r="Y25" s="164"/>
      <c r="AB25" s="154" t="s">
        <v>160</v>
      </c>
      <c r="AC25" s="154"/>
      <c r="AD25" s="23"/>
      <c r="AE25" s="23"/>
      <c r="AF25" s="164" t="s">
        <v>141</v>
      </c>
      <c r="AG25" s="164"/>
      <c r="AJ25" s="154" t="s">
        <v>124</v>
      </c>
      <c r="AK25" s="154"/>
      <c r="AL25" s="23"/>
      <c r="AM25" s="23"/>
      <c r="AN25" s="164" t="s">
        <v>103</v>
      </c>
      <c r="AO25" s="164"/>
      <c r="AP25" s="1"/>
      <c r="AQ25" s="22"/>
    </row>
    <row r="26" spans="2:43" x14ac:dyDescent="0.25">
      <c r="B26" s="15"/>
      <c r="D26" s="154" t="s">
        <v>263</v>
      </c>
      <c r="E26" s="154"/>
      <c r="F26" s="23"/>
      <c r="G26" s="23"/>
      <c r="H26" s="154" t="s">
        <v>245</v>
      </c>
      <c r="I26" s="154"/>
      <c r="L26" s="154" t="s">
        <v>229</v>
      </c>
      <c r="M26" s="154"/>
      <c r="N26" s="23"/>
      <c r="O26" s="23"/>
      <c r="P26" s="154" t="s">
        <v>211</v>
      </c>
      <c r="Q26" s="154"/>
      <c r="T26" s="154" t="s">
        <v>195</v>
      </c>
      <c r="U26" s="154"/>
      <c r="V26" s="23"/>
      <c r="W26" s="23"/>
      <c r="X26" s="154" t="s">
        <v>177</v>
      </c>
      <c r="Y26" s="154"/>
      <c r="AB26" s="154" t="s">
        <v>161</v>
      </c>
      <c r="AC26" s="154"/>
      <c r="AD26" s="23"/>
      <c r="AE26" s="23"/>
      <c r="AF26" s="154" t="s">
        <v>142</v>
      </c>
      <c r="AG26" s="154"/>
      <c r="AJ26" s="154" t="s">
        <v>125</v>
      </c>
      <c r="AK26" s="154"/>
      <c r="AL26" s="23"/>
      <c r="AM26" s="23"/>
      <c r="AN26" s="154" t="s">
        <v>104</v>
      </c>
      <c r="AO26" s="154"/>
      <c r="AP26" s="1"/>
      <c r="AQ26" s="22"/>
    </row>
    <row r="27" spans="2:43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4"/>
    </row>
    <row r="28" spans="2:43" x14ac:dyDescent="0.25">
      <c r="B28" s="7"/>
      <c r="C28" s="8"/>
      <c r="D28" s="8"/>
      <c r="E28" s="8"/>
      <c r="F28" s="8"/>
      <c r="G28" s="149" t="s">
        <v>291</v>
      </c>
      <c r="H28" s="150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149" t="s">
        <v>292</v>
      </c>
      <c r="X28" s="150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149" t="s">
        <v>293</v>
      </c>
      <c r="AN28" s="150"/>
      <c r="AO28" s="8"/>
      <c r="AP28" s="8"/>
      <c r="AQ28" s="9"/>
    </row>
    <row r="29" spans="2:43" x14ac:dyDescent="0.25">
      <c r="B29" s="1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4"/>
    </row>
    <row r="30" spans="2:43" ht="28.8" customHeight="1" x14ac:dyDescent="0.25">
      <c r="B30" s="143" t="s">
        <v>390</v>
      </c>
      <c r="C30" s="144"/>
      <c r="D30" s="1"/>
      <c r="E30" s="1"/>
      <c r="F30" s="1"/>
      <c r="G30" s="1"/>
      <c r="H30" s="1"/>
      <c r="I30" s="143" t="s">
        <v>391</v>
      </c>
      <c r="J30" s="144"/>
      <c r="K30" s="143" t="s">
        <v>392</v>
      </c>
      <c r="L30" s="144"/>
      <c r="M30" s="1"/>
      <c r="N30" s="1"/>
      <c r="O30" s="1"/>
      <c r="P30" s="143" t="s">
        <v>393</v>
      </c>
      <c r="Q30" s="144"/>
      <c r="R30" s="1"/>
      <c r="S30" s="1"/>
      <c r="T30" s="143" t="s">
        <v>394</v>
      </c>
      <c r="U30" s="144"/>
      <c r="V30" s="1"/>
      <c r="W30" s="1"/>
      <c r="X30" s="1"/>
      <c r="Y30" s="143" t="s">
        <v>395</v>
      </c>
      <c r="Z30" s="144"/>
      <c r="AA30" s="143" t="s">
        <v>396</v>
      </c>
      <c r="AB30" s="144"/>
      <c r="AC30" s="1"/>
      <c r="AD30" s="1"/>
      <c r="AE30" s="1"/>
      <c r="AF30" s="1"/>
      <c r="AG30" s="143" t="s">
        <v>397</v>
      </c>
      <c r="AH30" s="144"/>
      <c r="AI30" s="1"/>
      <c r="AJ30" s="1"/>
      <c r="AK30" s="143" t="s">
        <v>398</v>
      </c>
      <c r="AL30" s="144"/>
      <c r="AM30" s="1"/>
      <c r="AN30" s="1"/>
      <c r="AO30" s="1"/>
      <c r="AP30" s="143" t="s">
        <v>399</v>
      </c>
      <c r="AQ30" s="144"/>
    </row>
    <row r="31" spans="2:43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4"/>
    </row>
    <row r="33" spans="2:11" ht="14.1" customHeight="1" x14ac:dyDescent="0.25">
      <c r="B33" s="159" t="s">
        <v>378</v>
      </c>
      <c r="C33" s="159"/>
      <c r="D33" s="159"/>
      <c r="E33" s="159"/>
      <c r="F33" s="159"/>
      <c r="G33" s="26"/>
      <c r="H33" s="27">
        <f>getcolorcount($D$9:$AO$27,G33)</f>
        <v>32</v>
      </c>
    </row>
    <row r="34" spans="2:11" x14ac:dyDescent="0.25">
      <c r="B34" s="159"/>
      <c r="C34" s="159"/>
      <c r="D34" s="159"/>
      <c r="E34" s="159"/>
      <c r="F34" s="159"/>
      <c r="G34" s="28"/>
      <c r="H34" s="27">
        <f>getcolorcount($D$9:$AO$27,G34)</f>
        <v>308</v>
      </c>
    </row>
    <row r="35" spans="2:11" x14ac:dyDescent="0.25">
      <c r="B35" s="159"/>
      <c r="C35" s="159"/>
      <c r="D35" s="159"/>
      <c r="E35" s="159"/>
      <c r="F35" s="159"/>
      <c r="G35" s="29"/>
      <c r="H35" s="27">
        <f>getcolorcount($D$9:$AO$27,G35)</f>
        <v>32</v>
      </c>
    </row>
    <row r="36" spans="2:11" x14ac:dyDescent="0.25">
      <c r="B36" s="159"/>
      <c r="C36" s="159"/>
      <c r="D36" s="159"/>
      <c r="E36" s="159"/>
      <c r="F36" s="159"/>
      <c r="G36" s="30"/>
      <c r="H36" s="27">
        <f>getcolorcount($D$9:$AO$27,G36)</f>
        <v>308</v>
      </c>
      <c r="I36" s="1"/>
      <c r="J36" s="2"/>
      <c r="K36" s="31"/>
    </row>
    <row r="37" spans="2:11" x14ac:dyDescent="0.25">
      <c r="B37" s="160"/>
      <c r="C37" s="160"/>
      <c r="D37" s="160"/>
      <c r="E37" s="160"/>
      <c r="F37" s="160"/>
      <c r="G37" s="32"/>
      <c r="H37" s="1"/>
      <c r="I37" s="1"/>
      <c r="J37" s="24"/>
      <c r="K37" s="31"/>
    </row>
    <row r="38" spans="2:11" x14ac:dyDescent="0.25">
      <c r="B38" s="157" t="s">
        <v>333</v>
      </c>
      <c r="C38" s="157"/>
      <c r="D38" s="157"/>
      <c r="E38" s="157"/>
      <c r="F38" s="27">
        <v>170</v>
      </c>
      <c r="G38" s="1"/>
      <c r="H38" s="1"/>
      <c r="I38" s="1"/>
    </row>
    <row r="39" spans="2:11" x14ac:dyDescent="0.25">
      <c r="B39" s="157" t="s">
        <v>334</v>
      </c>
      <c r="C39" s="157"/>
      <c r="D39" s="157"/>
      <c r="E39" s="157"/>
      <c r="F39" s="27">
        <f>H36/2</f>
        <v>154</v>
      </c>
      <c r="G39" s="34"/>
      <c r="H39" s="1"/>
      <c r="I39" s="1"/>
    </row>
    <row r="40" spans="2:11" x14ac:dyDescent="0.25">
      <c r="B40" s="157" t="s">
        <v>335</v>
      </c>
      <c r="C40" s="157"/>
      <c r="D40" s="157"/>
      <c r="E40" s="157"/>
      <c r="F40" s="27">
        <f>F38-F39</f>
        <v>16</v>
      </c>
      <c r="G40" s="29"/>
      <c r="H40" s="1"/>
      <c r="I40" s="1"/>
    </row>
  </sheetData>
  <mergeCells count="231">
    <mergeCell ref="AP30:AQ30"/>
    <mergeCell ref="B38:E38"/>
    <mergeCell ref="B39:E39"/>
    <mergeCell ref="B40:E40"/>
    <mergeCell ref="AS1:AS5"/>
    <mergeCell ref="B33:F37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B3:C3"/>
    <mergeCell ref="I3:J3"/>
    <mergeCell ref="K3:L3"/>
    <mergeCell ref="P3:Q3"/>
    <mergeCell ref="T3:U3"/>
    <mergeCell ref="Y3:Z3"/>
    <mergeCell ref="AA3:AB3"/>
    <mergeCell ref="AG3:AH3"/>
    <mergeCell ref="AK3:AL3"/>
  </mergeCells>
  <phoneticPr fontId="28" type="noConversion"/>
  <pageMargins left="0.7" right="0.7" top="0.75" bottom="0.75" header="0.3" footer="0.3"/>
  <pageSetup paperSize="9" scale="7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6</vt:i4>
      </vt:variant>
    </vt:vector>
  </HeadingPairs>
  <TitlesOfParts>
    <vt:vector size="14" baseType="lpstr">
      <vt:lpstr>机柜上电汇总表</vt:lpstr>
      <vt:lpstr>机柜上下电时间统计</vt:lpstr>
      <vt:lpstr>201-M2机柜平面图 </vt:lpstr>
      <vt:lpstr>202-M1机柜平面图</vt:lpstr>
      <vt:lpstr>301-M4机柜平面图</vt:lpstr>
      <vt:lpstr>302-M3机柜平面图 </vt:lpstr>
      <vt:lpstr>401-M6机柜平面图</vt:lpstr>
      <vt:lpstr>402-M5机柜平面图</vt:lpstr>
      <vt:lpstr>'202-M1机柜平面图'!颜色</vt:lpstr>
      <vt:lpstr>'301-M4机柜平面图'!颜色</vt:lpstr>
      <vt:lpstr>'302-M3机柜平面图 '!颜色</vt:lpstr>
      <vt:lpstr>'401-M6机柜平面图'!颜色</vt:lpstr>
      <vt:lpstr>'402-M5机柜平面图'!颜色</vt:lpstr>
      <vt:lpstr>颜色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陶必亮</cp:lastModifiedBy>
  <dcterms:created xsi:type="dcterms:W3CDTF">2006-09-16T00:00:00Z</dcterms:created>
  <dcterms:modified xsi:type="dcterms:W3CDTF">2026-09-06T04:49:53Z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4F5B6F79C2B14B368BE584DF93C169A3_12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