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E:\E楼交接文件\E楼上下电\"/>
    </mc:Choice>
  </mc:AlternateContent>
  <bookViews>
    <workbookView windowWidth="18350" windowHeight="6550" tabRatio="745"/>
  </bookViews>
  <sheets>
    <sheet name="机柜上电汇总表" sheetId="3" r:id="rId1"/>
    <sheet name="机柜上下电时间统计" sheetId="17" r:id="rId2"/>
    <sheet name="201-M2机柜平面图 " sheetId="4" r:id="rId3"/>
    <sheet name="202-M1机柜平面图" sheetId="10" r:id="rId4"/>
    <sheet name="301-M4机柜平面图" sheetId="16" r:id="rId5"/>
    <sheet name="302-M3机柜平面图 " sheetId="13" r:id="rId6"/>
    <sheet name="402-M5机柜平面图" sheetId="14" r:id="rId7"/>
    <sheet name="401-M6机柜平面图" sheetId="15" r:id="rId8"/>
  </sheets>
  <definedNames>
    <definedName name="_xlnm._FilterDatabase" localSheetId="1" hidden="1">机柜上下电时间统计!$A$1:$BR$1273</definedName>
    <definedName name="_xlnm._FilterDatabase" localSheetId="2" hidden="1">'201-M2机柜平面图 '!$D$8:$AO$8</definedName>
    <definedName name="_xlnm._FilterDatabase" localSheetId="3" hidden="1">'202-M1机柜平面图'!$D$8:$AO$8</definedName>
    <definedName name="_xlnm._FilterDatabase" localSheetId="4" hidden="1">'301-M4机柜平面图'!$D$8:$AO$8</definedName>
    <definedName name="_xlnm._FilterDatabase" localSheetId="5" hidden="1">'302-M3机柜平面图 '!$D$8:$AO$8</definedName>
    <definedName name="_xlnm._FilterDatabase" localSheetId="7" hidden="1">'401-M6机柜平面图'!$D$8:$AO$8</definedName>
    <definedName name="_xlnm._FilterDatabase" localSheetId="6" hidden="1">'402-M5机柜平面图'!$D$8:$AO$8</definedName>
    <definedName name="颜色" localSheetId="3">'202-M1机柜平面图'!$J$9</definedName>
    <definedName name="颜色" localSheetId="4">'301-M4机柜平面图'!$J$9</definedName>
    <definedName name="颜色" localSheetId="5">'302-M3机柜平面图 '!$J$9</definedName>
    <definedName name="颜色" localSheetId="7">'401-M6机柜平面图'!$J$9</definedName>
    <definedName name="颜色" localSheetId="6">'402-M5机柜平面图'!$J$9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F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此列需手动填写</t>
        </r>
      </text>
    </comment>
    <comment ref="I3" authorId="0">
      <text>
        <r>
          <rPr>
            <b/>
            <sz val="9"/>
            <rFont val="宋体"/>
            <charset val="134"/>
          </rPr>
          <t>汪建波:此列需手动填写</t>
        </r>
      </text>
    </comment>
  </commentList>
</comments>
</file>

<file path=xl/sharedStrings.xml><?xml version="1.0" encoding="utf-8"?>
<sst xmlns="http://schemas.openxmlformats.org/spreadsheetml/2006/main" count="8202" uniqueCount="449">
  <si>
    <t>E楼机柜上电情况汇总表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</si>
  <si>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</si>
  <si>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</si>
  <si>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</si>
  <si>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</si>
  <si>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</si>
  <si>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</si>
  <si>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</si>
  <si>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</si>
  <si>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</si>
  <si>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</si>
  <si>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</si>
  <si>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</si>
  <si>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</si>
  <si>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</si>
  <si>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</si>
  <si>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上电</t>
  </si>
  <si>
    <t>E栋上、下电总数量统计</t>
  </si>
  <si>
    <t>序号</t>
  </si>
  <si>
    <t>日期</t>
  </si>
  <si>
    <t>上电数量（个）</t>
  </si>
  <si>
    <t>下电数量（个）</t>
  </si>
  <si>
    <t>现场上电总数量（个）</t>
  </si>
  <si>
    <t>月份</t>
  </si>
  <si>
    <t>2025.3.13</t>
  </si>
  <si>
    <t>2025.5.17</t>
  </si>
  <si>
    <t>2025.6.5</t>
  </si>
  <si>
    <t>2025.6.17</t>
  </si>
  <si>
    <t>2025.6.25</t>
  </si>
  <si>
    <t>2025.7.22</t>
  </si>
  <si>
    <t>2025.7.28</t>
  </si>
  <si>
    <t>2025.7.29</t>
  </si>
  <si>
    <t>2025.8.5</t>
  </si>
  <si>
    <t>2025.8.6</t>
  </si>
  <si>
    <t>2025.8.21</t>
  </si>
  <si>
    <t>2025.11.28</t>
  </si>
  <si>
    <t>2025.12.11</t>
  </si>
  <si>
    <t>2026.1.14</t>
  </si>
  <si>
    <t>2026.1.20</t>
  </si>
  <si>
    <t>2026.1.25</t>
  </si>
  <si>
    <t>2026.1.29</t>
  </si>
  <si>
    <t>2026.2.6</t>
  </si>
  <si>
    <t>2026.3.17</t>
  </si>
  <si>
    <t>2026.3.23-25</t>
  </si>
  <si>
    <t>2026.3.27-4.1</t>
  </si>
  <si>
    <t>2026.4.10</t>
  </si>
  <si>
    <t>2026.5.11</t>
  </si>
  <si>
    <t>2026.6.18</t>
  </si>
  <si>
    <t>2026.7.9</t>
  </si>
  <si>
    <t>2026.7.17-18</t>
  </si>
  <si>
    <t>2026.7.18-20</t>
  </si>
  <si>
    <t>2026.8.3</t>
  </si>
  <si>
    <t>2026.8.20</t>
  </si>
  <si>
    <t>2026.8.18</t>
  </si>
  <si>
    <t>2026.8.27</t>
  </si>
  <si>
    <r>
      <rPr>
        <sz val="11"/>
        <color theme="1"/>
        <rFont val="宋体"/>
        <charset val="134"/>
      </rPr>
      <t>序号</t>
    </r>
  </si>
  <si>
    <r>
      <rPr>
        <sz val="11"/>
        <color theme="1"/>
        <rFont val="宋体"/>
        <charset val="134"/>
      </rPr>
      <t>机房</t>
    </r>
  </si>
  <si>
    <r>
      <rPr>
        <sz val="11"/>
        <color theme="1"/>
        <rFont val="宋体"/>
        <charset val="134"/>
      </rPr>
      <t>包间系统名称</t>
    </r>
  </si>
  <si>
    <t>机柜号</t>
  </si>
  <si>
    <r>
      <rPr>
        <sz val="11"/>
        <color theme="1"/>
        <rFont val="宋体"/>
        <charset val="134"/>
      </rPr>
      <t>操作类型</t>
    </r>
  </si>
  <si>
    <t>期望完成时间</t>
  </si>
  <si>
    <r>
      <rPr>
        <sz val="11"/>
        <color theme="1"/>
        <rFont val="宋体"/>
        <charset val="134"/>
      </rPr>
      <t>实际完成时间</t>
    </r>
  </si>
  <si>
    <r>
      <rPr>
        <sz val="11"/>
        <color theme="1"/>
        <rFont val="宋体"/>
        <charset val="134"/>
      </rPr>
      <t>机柜类型</t>
    </r>
  </si>
  <si>
    <r>
      <rPr>
        <sz val="11"/>
        <color theme="1"/>
        <rFont val="宋体"/>
        <charset val="134"/>
      </rPr>
      <t>机柜功率（</t>
    </r>
    <r>
      <rPr>
        <sz val="11"/>
        <color theme="1"/>
        <rFont val="Arial"/>
        <charset val="134"/>
      </rPr>
      <t>W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</si>
  <si>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结果</t>
    </r>
  </si>
  <si>
    <t>操作类型</t>
  </si>
  <si>
    <t>实际完成时间</t>
  </si>
  <si>
    <t>EA118</t>
  </si>
  <si>
    <t>EA118-E2-1</t>
  </si>
  <si>
    <t>A01</t>
  </si>
  <si>
    <t>测试电转正式电</t>
  </si>
  <si>
    <t>网络机柜</t>
  </si>
  <si>
    <t>成功</t>
  </si>
  <si>
    <t>上正式电</t>
  </si>
  <si>
    <t>正式电转测试电</t>
  </si>
  <si>
    <t>A02</t>
  </si>
  <si>
    <t>服务器机柜</t>
  </si>
  <si>
    <t>A03</t>
  </si>
  <si>
    <t>上测试电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</si>
  <si>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</si>
  <si>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</si>
  <si>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</si>
  <si>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</si>
  <si>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</si>
  <si>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</si>
  <si>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</si>
  <si>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</si>
  <si>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</si>
  <si>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</si>
  <si>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</si>
  <si>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</si>
  <si>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</si>
  <si>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</si>
  <si>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</si>
  <si>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</si>
  <si>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</si>
  <si>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</si>
  <si>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</si>
  <si>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</si>
  <si>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</si>
  <si>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</si>
  <si>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</si>
  <si>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</si>
  <si>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</si>
  <si>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</si>
  <si>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</si>
  <si>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</si>
  <si>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</si>
  <si>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</si>
  <si>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</si>
  <si>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</si>
  <si>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</si>
  <si>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</si>
  <si>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</si>
  <si>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</si>
  <si>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</si>
  <si>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</si>
  <si>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</si>
  <si>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</si>
  <si>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</si>
  <si>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</si>
  <si>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</si>
  <si>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</si>
  <si>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</si>
  <si>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</si>
  <si>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</si>
  <si>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</si>
  <si>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</si>
  <si>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</si>
  <si>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</si>
  <si>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</si>
  <si>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</si>
  <si>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</si>
  <si>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</si>
  <si>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</si>
  <si>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</si>
  <si>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</si>
  <si>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</si>
  <si>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</si>
  <si>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</si>
  <si>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</si>
  <si>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</si>
  <si>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</si>
  <si>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</si>
  <si>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</si>
  <si>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</si>
  <si>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</si>
  <si>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</si>
  <si>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</si>
  <si>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</si>
  <si>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</si>
  <si>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</si>
  <si>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</si>
  <si>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</si>
  <si>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</si>
  <si>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</si>
  <si>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</si>
  <si>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</si>
  <si>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</si>
  <si>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</si>
  <si>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</si>
  <si>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</si>
  <si>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</si>
  <si>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</si>
  <si>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</si>
  <si>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</si>
  <si>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</si>
  <si>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</si>
  <si>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</si>
  <si>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</si>
  <si>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</si>
  <si>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</si>
  <si>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</si>
  <si>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</si>
  <si>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</si>
  <si>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</si>
  <si>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</si>
  <si>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</si>
  <si>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</si>
  <si>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</si>
  <si>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</si>
  <si>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</si>
  <si>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</si>
  <si>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</si>
  <si>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</si>
  <si>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</si>
  <si>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</si>
  <si>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</si>
  <si>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</si>
  <si>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</si>
  <si>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</si>
  <si>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</si>
  <si>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</si>
  <si>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</si>
  <si>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</si>
  <si>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</si>
  <si>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</si>
  <si>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</si>
  <si>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</si>
  <si>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</si>
  <si>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</si>
  <si>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</si>
  <si>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</si>
  <si>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</si>
  <si>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</si>
  <si>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</si>
  <si>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</si>
  <si>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</si>
  <si>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</si>
  <si>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</si>
  <si>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</si>
  <si>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</si>
  <si>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</si>
  <si>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</si>
  <si>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</si>
  <si>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</si>
  <si>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</si>
  <si>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</si>
  <si>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</si>
  <si>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</si>
  <si>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</si>
  <si>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</si>
  <si>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</si>
  <si>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</si>
  <si>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</si>
  <si>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</si>
  <si>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</si>
  <si>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</si>
  <si>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</si>
  <si>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</si>
  <si>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</si>
  <si>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</si>
  <si>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</si>
  <si>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</si>
  <si>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</si>
  <si>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</si>
  <si>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</si>
  <si>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</si>
  <si>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</si>
  <si>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</si>
  <si>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</si>
  <si>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</si>
  <si>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</si>
  <si>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</si>
  <si>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</si>
  <si>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</si>
  <si>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</si>
  <si>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</si>
  <si>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</si>
  <si>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</si>
  <si>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</si>
  <si>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</si>
  <si>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I01</t>
  </si>
  <si>
    <t>I02</t>
  </si>
  <si>
    <t>I03</t>
  </si>
  <si>
    <t>I04</t>
  </si>
  <si>
    <t>I05</t>
  </si>
  <si>
    <t>I06</t>
  </si>
  <si>
    <t>I07</t>
  </si>
  <si>
    <t>I08</t>
  </si>
  <si>
    <t>I09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</si>
  <si>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</si>
  <si>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</si>
  <si>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</si>
  <si>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</si>
  <si>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</si>
  <si>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</si>
  <si>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</si>
  <si>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</si>
  <si>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</si>
  <si>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</si>
  <si>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</si>
  <si>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</si>
  <si>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</si>
  <si>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</si>
  <si>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</si>
  <si>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</si>
  <si>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</si>
  <si>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</si>
  <si>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</si>
  <si>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</si>
  <si>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</si>
  <si>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</si>
  <si>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</si>
  <si>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</si>
  <si>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</si>
  <si>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</si>
  <si>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</si>
  <si>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</si>
  <si>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</si>
  <si>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</si>
  <si>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</si>
  <si>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</si>
  <si>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</si>
  <si>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</si>
  <si>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</si>
  <si>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EA118-E2-2</t>
  </si>
  <si>
    <t>EA118-E3-1</t>
  </si>
  <si>
    <t>2025/6/2516:37</t>
  </si>
  <si>
    <t>2025/6/2518:00</t>
  </si>
  <si>
    <t>下测试电</t>
  </si>
  <si>
    <t>EA118-E3-2</t>
  </si>
  <si>
    <t>EA118-E4-1</t>
  </si>
  <si>
    <t>EA118-E4-2</t>
  </si>
  <si>
    <t>E-212
CRAH-1</t>
  </si>
  <si>
    <t>E-212
CRAH-2</t>
  </si>
  <si>
    <t>E-212
CRAH-3</t>
  </si>
  <si>
    <t>E-212
CRAH-4</t>
  </si>
  <si>
    <t>E-212
CRAH-5</t>
  </si>
  <si>
    <t>E-212
CRAH-6</t>
  </si>
  <si>
    <t>E-212
CRAH-7</t>
  </si>
  <si>
    <t>E-212
CRAH-8</t>
  </si>
  <si>
    <t>E-212
CRAH-9</t>
  </si>
  <si>
    <t>E-212
CRAH-10</t>
  </si>
  <si>
    <t>恒湿机1</t>
  </si>
  <si>
    <t>恒湿机2</t>
  </si>
  <si>
    <t>恒湿机3</t>
  </si>
  <si>
    <t>E-201/M2包间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</si>
  <si>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</si>
  <si>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</si>
  <si>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</si>
  <si>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</si>
  <si>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</si>
  <si>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</si>
  <si>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</si>
  <si>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</si>
  <si>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</si>
  <si>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</si>
  <si>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DC</t>
  </si>
  <si>
    <t>D-211
CRAH-1</t>
  </si>
  <si>
    <t>D-211
CRAH-2</t>
  </si>
  <si>
    <t>D-211
CRAH-3</t>
  </si>
  <si>
    <t>D-211
CRAH-4</t>
  </si>
  <si>
    <t>D-211
CRAH-5</t>
  </si>
  <si>
    <t>D-211
CRAH-6</t>
  </si>
  <si>
    <t>D-211
CRAH-7</t>
  </si>
  <si>
    <t>D-211
CRAH-8</t>
  </si>
  <si>
    <t>D-211
CRAH-9</t>
  </si>
  <si>
    <t>D-211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</si>
  <si>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</si>
  <si>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</si>
  <si>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</si>
  <si>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</si>
  <si>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E-241
CRAH-1</t>
  </si>
  <si>
    <t>E-241
CRAH-2</t>
  </si>
  <si>
    <t>E-241
CRAH-3</t>
  </si>
  <si>
    <t>E-241
CRAH-4</t>
  </si>
  <si>
    <t>E-241
CRAH-5</t>
  </si>
  <si>
    <t>E-241
CRAH-6</t>
  </si>
  <si>
    <t>E-241
CRAH-7</t>
  </si>
  <si>
    <t>E-241
CRAH-8</t>
  </si>
  <si>
    <t>E-241
CRAH-9</t>
  </si>
  <si>
    <t>E-241
CRAH-10</t>
  </si>
  <si>
    <t>E-202/M1包间</t>
  </si>
  <si>
    <t>E-240
CRAH-1</t>
  </si>
  <si>
    <t>E-240
CRAH-2</t>
  </si>
  <si>
    <t>E-240
CRAH-3</t>
  </si>
  <si>
    <t>E-240
CRAH-4</t>
  </si>
  <si>
    <t>E-240
CRAH-5</t>
  </si>
  <si>
    <t>E-240
CRAH-6</t>
  </si>
  <si>
    <t>E-240
CRAH-7</t>
  </si>
  <si>
    <t>E-240
CRAH-8</t>
  </si>
  <si>
    <t>E-240
CRAH-9</t>
  </si>
  <si>
    <t>E-240
CRAH-10</t>
  </si>
  <si>
    <t>E-312
CRAH-1</t>
  </si>
  <si>
    <t>E-312
CRAH-2</t>
  </si>
  <si>
    <t>E-312
CRAH-3</t>
  </si>
  <si>
    <t>E-312
CRAH-4</t>
  </si>
  <si>
    <t>E-312
CRAH-5</t>
  </si>
  <si>
    <t>E-312
CRAH-6</t>
  </si>
  <si>
    <t>E-312
CRAH-7</t>
  </si>
  <si>
    <t>E-312
CRAH-8</t>
  </si>
  <si>
    <t>E-312
CRAH-9</t>
  </si>
  <si>
    <t>E-312
CRAH-10</t>
  </si>
  <si>
    <t>E-301/M4包间</t>
  </si>
  <si>
    <t>E-311
CRAH-1</t>
  </si>
  <si>
    <t>E-311
CRAH-2</t>
  </si>
  <si>
    <t>E-311
CRAH-3</t>
  </si>
  <si>
    <t>E-311
CRAH-4</t>
  </si>
  <si>
    <t>E-311
CRAH-5</t>
  </si>
  <si>
    <t>E-311
CRAH-6</t>
  </si>
  <si>
    <t>E-311
CRAH-7</t>
  </si>
  <si>
    <t>E-311
CRAH-8</t>
  </si>
  <si>
    <t>E-311
CRAH-9</t>
  </si>
  <si>
    <t>E-311
CRAH-10</t>
  </si>
  <si>
    <t>E-341
CRAH-1</t>
  </si>
  <si>
    <t>E-341
CRAH-2</t>
  </si>
  <si>
    <t>E-341
CRAH-3</t>
  </si>
  <si>
    <t>E-341
CRAH-4</t>
  </si>
  <si>
    <t>E-341
CRAH-5</t>
  </si>
  <si>
    <t>E-341
CRAH-6</t>
  </si>
  <si>
    <t>E-341
CRAH-7</t>
  </si>
  <si>
    <t>E-341
CRAH-8</t>
  </si>
  <si>
    <t>E-341
CRAH-9</t>
  </si>
  <si>
    <t>E-341
CRAH-10</t>
  </si>
  <si>
    <t>E-302/M3包间</t>
  </si>
  <si>
    <t>E-340
CRAH-1</t>
  </si>
  <si>
    <t>E-340
CRAH-2</t>
  </si>
  <si>
    <t>E-340
CRAH-3</t>
  </si>
  <si>
    <t>E-340
CRAH-4</t>
  </si>
  <si>
    <t>E-340
CRAH-5</t>
  </si>
  <si>
    <t>E-340
CRAH-6</t>
  </si>
  <si>
    <t>E-340
CRAH-7</t>
  </si>
  <si>
    <t>E-340
CRAH-8</t>
  </si>
  <si>
    <t>E-340
CRAH-9</t>
  </si>
  <si>
    <t>E-340
CRAH-10</t>
  </si>
  <si>
    <t>数据统计及备注：E楼机房为双DC列头柜</t>
  </si>
  <si>
    <t>E-441
CRAH-1</t>
  </si>
  <si>
    <t>E-441
CRAH-2</t>
  </si>
  <si>
    <t>E-441
CRAH-3</t>
  </si>
  <si>
    <t>E-441
CRAH-4</t>
  </si>
  <si>
    <t>E-441
CRAH-5</t>
  </si>
  <si>
    <t>E-441
CRAH-6</t>
  </si>
  <si>
    <t>E-441
CRAH-7</t>
  </si>
  <si>
    <t>E-441
CRAH-8</t>
  </si>
  <si>
    <t>E-441
CRAH-9</t>
  </si>
  <si>
    <t>E-441
CRAH-10</t>
  </si>
  <si>
    <t>E-402/M5包间</t>
  </si>
  <si>
    <t>E-440
CRAH-1</t>
  </si>
  <si>
    <t>E-440
CRAH-2</t>
  </si>
  <si>
    <t>E-440
CRAH-3</t>
  </si>
  <si>
    <t>E-440
CRAH-4</t>
  </si>
  <si>
    <t>E-440
CRAH-5</t>
  </si>
  <si>
    <t>E-440
CRAH-6</t>
  </si>
  <si>
    <t>E-440
CRAH-7</t>
  </si>
  <si>
    <t>E-440
CRAH-8</t>
  </si>
  <si>
    <t>E-440
CRAH-9</t>
  </si>
  <si>
    <t>E-440
CRAH-10</t>
  </si>
  <si>
    <t>E-412
CRAH-1</t>
  </si>
  <si>
    <t>E-412
CRAH-2</t>
  </si>
  <si>
    <t>E-412
CRAH-3</t>
  </si>
  <si>
    <t>E-412
CRAH-4</t>
  </si>
  <si>
    <t>E-412
CRAH-5</t>
  </si>
  <si>
    <t>E-412
CRAH-6</t>
  </si>
  <si>
    <t>E-412
CRAH-7</t>
  </si>
  <si>
    <t>E-412
CRAH-8</t>
  </si>
  <si>
    <t>E-412
CRAH-9</t>
  </si>
  <si>
    <t>E-412
CRAH-10</t>
  </si>
  <si>
    <t>E-401/M6包间</t>
  </si>
  <si>
    <t>E-411
CRAH-1</t>
  </si>
  <si>
    <t>E-411
CRAH-2</t>
  </si>
  <si>
    <t>E-411
CRAH-3</t>
  </si>
  <si>
    <t>E-411
CRAH-4</t>
  </si>
  <si>
    <t>E-411
CRAH-5</t>
  </si>
  <si>
    <t>E-411
CRAH-6</t>
  </si>
  <si>
    <t>E-411
CRAH-7</t>
  </si>
  <si>
    <t>E-411
CRAH-8</t>
  </si>
  <si>
    <t>E-411
CRAH-9</t>
  </si>
  <si>
    <t>E-411
CRAH-10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</si>
</sst>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;@"/>
  </numFmts>
  <fonts count="43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Arial"/>
      <charset val="134"/>
    </font>
    <font>
      <b/>
      <sz val="11"/>
      <color theme="1"/>
      <name val="Arial"/>
      <charset val="134"/>
    </font>
    <font>
      <b/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b/>
      <sz val="11"/>
      <color theme="1"/>
      <name val="宋体"/>
      <charset val="134"/>
    </font>
    <font>
      <sz val="9"/>
      <color theme="1"/>
      <name val="Arial"/>
      <charset val="134"/>
    </font>
    <font>
      <sz val="11"/>
      <color rgb="FF000000"/>
      <name val="宋体"/>
      <charset val="134"/>
      <scheme val="minor"/>
    </font>
    <font>
      <sz val="9"/>
      <color theme="1"/>
      <name val="宋体"/>
      <charset val="134"/>
    </font>
    <font>
      <sz val="11"/>
      <color rgb="FF000000"/>
      <name val="Arial"/>
      <charset val="134"/>
    </font>
    <font>
      <sz val="9"/>
      <color indexed="8"/>
      <name val="Arial"/>
      <charset val="134"/>
    </font>
    <font>
      <sz val="11"/>
      <color theme="1"/>
      <name val="微软雅黑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1" borderId="18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2" borderId="21" applyNumberFormat="0" applyAlignment="0" applyProtection="0">
      <alignment vertical="center"/>
    </xf>
    <xf numFmtId="0" fontId="31" fillId="13" borderId="22" applyNumberFormat="0" applyAlignment="0" applyProtection="0">
      <alignment vertical="center"/>
    </xf>
    <xf numFmtId="0" fontId="32" fillId="13" borderId="21" applyNumberFormat="0" applyAlignment="0" applyProtection="0">
      <alignment vertical="center"/>
    </xf>
    <xf numFmtId="0" fontId="33" fillId="14" borderId="23" applyNumberFormat="0" applyAlignment="0" applyProtection="0">
      <alignment vertical="center"/>
    </xf>
    <xf numFmtId="0" fontId="34" fillId="0" borderId="24" applyNumberFormat="0" applyFill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0" fillId="0" borderId="0"/>
  </cellStyleXfs>
  <cellXfs count="14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 applyFill="1" applyBorder="1" applyAlignment="1">
      <alignment vertical="center" wrapText="1"/>
    </xf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0" xfId="0" applyFont="1" applyBorder="1" applyAlignment="1">
      <alignment horizontal="right"/>
    </xf>
    <xf numFmtId="0" fontId="0" fillId="0" borderId="5" xfId="0" applyBorder="1"/>
    <xf numFmtId="0" fontId="0" fillId="0" borderId="2" xfId="0" applyFont="1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4" xfId="0" applyFill="1" applyBorder="1" applyAlignment="1">
      <alignment horizontal="center"/>
    </xf>
    <xf numFmtId="0" fontId="0" fillId="4" borderId="0" xfId="0" applyFill="1"/>
    <xf numFmtId="0" fontId="2" fillId="0" borderId="0" xfId="0" applyFont="1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0" xfId="0" applyFill="1" applyBorder="1" applyAlignment="1"/>
    <xf numFmtId="0" fontId="1" fillId="7" borderId="4" xfId="0" applyFont="1" applyFill="1" applyBorder="1" applyAlignment="1">
      <alignment horizontal="left" vertical="center" wrapText="1"/>
    </xf>
    <xf numFmtId="0" fontId="0" fillId="3" borderId="4" xfId="0" applyFill="1" applyBorder="1"/>
    <xf numFmtId="0" fontId="0" fillId="0" borderId="4" xfId="0" applyFont="1" applyBorder="1" applyAlignment="1">
      <alignment horizontal="center"/>
    </xf>
    <xf numFmtId="0" fontId="2" fillId="2" borderId="4" xfId="0" applyFont="1" applyFill="1" applyBorder="1"/>
    <xf numFmtId="0" fontId="0" fillId="3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7" borderId="12" xfId="0" applyFont="1" applyFill="1" applyBorder="1" applyAlignment="1">
      <alignment horizontal="left" vertical="center" wrapText="1"/>
    </xf>
    <xf numFmtId="0" fontId="1" fillId="6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/>
    </xf>
    <xf numFmtId="0" fontId="0" fillId="2" borderId="0" xfId="0" applyFill="1" applyBorder="1"/>
    <xf numFmtId="0" fontId="0" fillId="0" borderId="4" xfId="0" applyBorder="1" applyAlignment="1">
      <alignment horizontal="center"/>
    </xf>
    <xf numFmtId="0" fontId="0" fillId="0" borderId="0" xfId="0" applyFill="1"/>
    <xf numFmtId="0" fontId="0" fillId="0" borderId="4" xfId="0" applyBorder="1" applyAlignment="1"/>
    <xf numFmtId="0" fontId="6" fillId="3" borderId="4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7" fillId="6" borderId="4" xfId="49" applyFont="1" applyFill="1" applyBorder="1" applyAlignment="1">
      <alignment horizontal="center"/>
    </xf>
    <xf numFmtId="0" fontId="7" fillId="6" borderId="0" xfId="49" applyFont="1" applyFill="1" applyBorder="1" applyAlignment="1">
      <alignment horizontal="center"/>
    </xf>
    <xf numFmtId="0" fontId="7" fillId="4" borderId="0" xfId="49" applyFont="1" applyFill="1" applyBorder="1" applyAlignment="1">
      <alignment horizontal="center"/>
    </xf>
    <xf numFmtId="0" fontId="7" fillId="0" borderId="0" xfId="49" applyFont="1" applyFill="1" applyBorder="1" applyAlignment="1">
      <alignment horizontal="center"/>
    </xf>
    <xf numFmtId="0" fontId="8" fillId="6" borderId="0" xfId="49" applyFont="1" applyFill="1" applyBorder="1" applyAlignment="1">
      <alignment horizontal="center"/>
    </xf>
    <xf numFmtId="0" fontId="9" fillId="6" borderId="0" xfId="49" applyFont="1" applyFill="1" applyBorder="1" applyAlignment="1">
      <alignment horizontal="center"/>
    </xf>
    <xf numFmtId="0" fontId="7" fillId="6" borderId="4" xfId="49" applyFont="1" applyFill="1" applyBorder="1" applyAlignment="1">
      <alignment horizontal="center" vertical="center"/>
    </xf>
    <xf numFmtId="22" fontId="7" fillId="8" borderId="4" xfId="49" applyNumberFormat="1" applyFont="1" applyFill="1" applyBorder="1" applyAlignment="1">
      <alignment horizontal="center" vertical="center" wrapText="1"/>
    </xf>
    <xf numFmtId="0" fontId="7" fillId="8" borderId="4" xfId="49" applyFont="1" applyFill="1" applyBorder="1" applyAlignment="1">
      <alignment horizontal="center" vertical="center" wrapText="1"/>
    </xf>
    <xf numFmtId="0" fontId="10" fillId="8" borderId="4" xfId="49" applyFont="1" applyFill="1" applyBorder="1" applyAlignment="1">
      <alignment horizontal="center" vertical="center" wrapText="1"/>
    </xf>
    <xf numFmtId="22" fontId="7" fillId="4" borderId="4" xfId="49" applyNumberFormat="1" applyFont="1" applyFill="1" applyBorder="1" applyAlignment="1">
      <alignment horizontal="center" vertical="center" wrapText="1"/>
    </xf>
    <xf numFmtId="22" fontId="10" fillId="8" borderId="4" xfId="49" applyNumberFormat="1" applyFont="1" applyFill="1" applyBorder="1" applyAlignment="1">
      <alignment horizontal="center" vertical="center" wrapText="1"/>
    </xf>
    <xf numFmtId="0" fontId="10" fillId="2" borderId="4" xfId="49" applyFont="1" applyFill="1" applyBorder="1" applyAlignment="1">
      <alignment horizontal="center" vertical="center" wrapText="1"/>
    </xf>
    <xf numFmtId="22" fontId="11" fillId="8" borderId="4" xfId="49" applyNumberFormat="1" applyFont="1" applyFill="1" applyBorder="1" applyAlignment="1">
      <alignment horizontal="center" vertical="center" wrapText="1"/>
    </xf>
    <xf numFmtId="22" fontId="9" fillId="8" borderId="4" xfId="49" applyNumberFormat="1" applyFont="1" applyFill="1" applyBorder="1" applyAlignment="1">
      <alignment horizontal="center" vertical="center" wrapText="1"/>
    </xf>
    <xf numFmtId="0" fontId="7" fillId="3" borderId="4" xfId="49" applyFont="1" applyFill="1" applyBorder="1" applyAlignment="1">
      <alignment horizontal="center" vertical="center"/>
    </xf>
    <xf numFmtId="0" fontId="10" fillId="2" borderId="4" xfId="49" applyFont="1" applyFill="1" applyBorder="1" applyAlignment="1">
      <alignment horizontal="center"/>
    </xf>
    <xf numFmtId="22" fontId="12" fillId="8" borderId="4" xfId="0" applyNumberFormat="1" applyFont="1" applyFill="1" applyBorder="1" applyAlignment="1">
      <alignment horizontal="center" wrapText="1"/>
    </xf>
    <xf numFmtId="22" fontId="13" fillId="8" borderId="13" xfId="0" applyNumberFormat="1" applyFont="1" applyFill="1" applyBorder="1" applyAlignment="1">
      <alignment horizontal="center" vertical="center" wrapText="1"/>
    </xf>
    <xf numFmtId="0" fontId="7" fillId="6" borderId="4" xfId="49" applyFont="1" applyFill="1" applyBorder="1" applyAlignment="1">
      <alignment horizontal="center" vertical="center" wrapText="1"/>
    </xf>
    <xf numFmtId="0" fontId="14" fillId="8" borderId="4" xfId="0" applyFont="1" applyFill="1" applyBorder="1" applyAlignment="1">
      <alignment horizontal="center" vertical="center" wrapText="1"/>
    </xf>
    <xf numFmtId="0" fontId="10" fillId="4" borderId="4" xfId="49" applyFont="1" applyFill="1" applyBorder="1" applyAlignment="1">
      <alignment horizontal="center"/>
    </xf>
    <xf numFmtId="0" fontId="10" fillId="9" borderId="4" xfId="49" applyFont="1" applyFill="1" applyBorder="1" applyAlignment="1">
      <alignment horizontal="center"/>
    </xf>
    <xf numFmtId="0" fontId="15" fillId="8" borderId="14" xfId="0" applyFont="1" applyFill="1" applyBorder="1" applyAlignment="1">
      <alignment horizontal="center" vertical="center" wrapText="1"/>
    </xf>
    <xf numFmtId="0" fontId="10" fillId="3" borderId="4" xfId="49" applyFont="1" applyFill="1" applyBorder="1" applyAlignment="1">
      <alignment horizontal="center"/>
    </xf>
    <xf numFmtId="0" fontId="10" fillId="6" borderId="4" xfId="49" applyFont="1" applyFill="1" applyBorder="1" applyAlignment="1">
      <alignment horizontal="center"/>
    </xf>
    <xf numFmtId="0" fontId="7" fillId="0" borderId="4" xfId="49" applyFont="1" applyFill="1" applyBorder="1" applyAlignment="1">
      <alignment horizontal="center"/>
    </xf>
    <xf numFmtId="0" fontId="8" fillId="6" borderId="4" xfId="49" applyFont="1" applyFill="1" applyBorder="1" applyAlignment="1">
      <alignment horizontal="center"/>
    </xf>
    <xf numFmtId="0" fontId="9" fillId="6" borderId="4" xfId="49" applyFont="1" applyFill="1" applyBorder="1" applyAlignment="1">
      <alignment horizontal="center"/>
    </xf>
    <xf numFmtId="0" fontId="7" fillId="4" borderId="4" xfId="49" applyFont="1" applyFill="1" applyBorder="1" applyAlignment="1">
      <alignment horizontal="center"/>
    </xf>
    <xf numFmtId="22" fontId="7" fillId="6" borderId="4" xfId="49" applyNumberFormat="1" applyFont="1" applyFill="1" applyBorder="1" applyAlignment="1">
      <alignment horizontal="center"/>
    </xf>
    <xf numFmtId="22" fontId="12" fillId="8" borderId="4" xfId="0" applyNumberFormat="1" applyFont="1" applyFill="1" applyBorder="1" applyAlignment="1">
      <alignment horizontal="center" vertical="center" wrapText="1"/>
    </xf>
    <xf numFmtId="22" fontId="16" fillId="8" borderId="4" xfId="0" applyNumberFormat="1" applyFont="1" applyFill="1" applyBorder="1" applyAlignment="1" applyProtection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22" fontId="12" fillId="8" borderId="15" xfId="0" applyNumberFormat="1" applyFont="1" applyFill="1" applyBorder="1" applyAlignment="1">
      <alignment horizontal="center" vertical="center" wrapText="1"/>
    </xf>
    <xf numFmtId="22" fontId="12" fillId="8" borderId="4" xfId="0" applyNumberFormat="1" applyFont="1" applyFill="1" applyBorder="1" applyAlignment="1">
      <alignment horizontal="center" wrapText="1"/>
    </xf>
    <xf numFmtId="0" fontId="10" fillId="0" borderId="4" xfId="49" applyFont="1" applyFill="1" applyBorder="1" applyAlignment="1">
      <alignment horizontal="center"/>
    </xf>
    <xf numFmtId="0" fontId="17" fillId="9" borderId="4" xfId="49" applyFont="1" applyFill="1" applyBorder="1" applyAlignment="1">
      <alignment horizontal="center"/>
    </xf>
    <xf numFmtId="22" fontId="8" fillId="6" borderId="4" xfId="49" applyNumberFormat="1" applyFont="1" applyFill="1" applyBorder="1" applyAlignment="1">
      <alignment horizontal="center"/>
    </xf>
    <xf numFmtId="0" fontId="9" fillId="6" borderId="12" xfId="49" applyFont="1" applyFill="1" applyBorder="1" applyAlignment="1">
      <alignment horizontal="center"/>
    </xf>
    <xf numFmtId="0" fontId="9" fillId="6" borderId="16" xfId="49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0" fontId="19" fillId="10" borderId="9" xfId="0" applyFont="1" applyFill="1" applyBorder="1" applyAlignment="1">
      <alignment horizontal="center" vertical="center"/>
    </xf>
    <xf numFmtId="0" fontId="19" fillId="10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14" fontId="0" fillId="0" borderId="4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6" fontId="0" fillId="0" borderId="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47"/>
  <sheetViews>
    <sheetView tabSelected="1" zoomScale="85" zoomScaleNormal="85" workbookViewId="0">
      <selection activeCell="I31" sqref="I31"/>
    </sheetView>
  </sheetViews>
  <sheetFormatPr defaultColWidth="9" defaultRowHeight="14"/>
  <cols>
    <col min="1" max="1" width="11.9090909090909" style="101" customWidth="1"/>
    <col min="2" max="2" width="13.9090909090909" style="101" customWidth="1"/>
    <col min="3" max="3" width="10.6363636363636" style="101" customWidth="1"/>
    <col min="4" max="4" width="13.5454545454545" style="101" customWidth="1"/>
    <col min="5" max="5" width="14.0909090909091" style="101" customWidth="1"/>
    <col min="6" max="6" width="12.9090909090909" style="101" customWidth="1"/>
    <col min="7" max="7" width="13.8181818181818" style="101" customWidth="1"/>
    <col min="8" max="8" width="18.7272727272727" style="101" customWidth="1"/>
    <col min="9" max="10" width="12.9090909090909" style="101" customWidth="1"/>
    <col min="11" max="11" width="15.0909090909091" style="101" customWidth="1"/>
    <col min="12" max="17" width="13.8181818181818" style="101" customWidth="1"/>
    <col min="18" max="39" width="3.63636363636364" style="101" customWidth="1"/>
    <col min="40" max="16384" width="9" style="101"/>
  </cols>
  <sheetData>
    <row r="1" ht="25.5" spans="1:41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</row>
    <row r="2" ht="18.65" customHeight="1" spans="1:41">
      <c r="A2" s="104" t="s">
        <v>1</v>
      </c>
      <c r="B2" s="104" t="s">
        <v>2</v>
      </c>
      <c r="C2" s="104" t="s">
        <v>3</v>
      </c>
      <c r="D2" s="104" t="s">
        <v>4</v>
      </c>
      <c r="E2" s="105" t="s">
        <v>5</v>
      </c>
      <c r="F2" s="106"/>
      <c r="G2" s="107"/>
      <c r="H2" s="104" t="s">
        <v>6</v>
      </c>
      <c r="I2" s="104"/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</row>
    <row r="3" ht="17.15" customHeight="1" spans="1:41">
      <c r="A3" s="104"/>
      <c r="B3" s="104"/>
      <c r="C3" s="104"/>
      <c r="D3" s="104"/>
      <c r="E3" s="104" t="s">
        <v>7</v>
      </c>
      <c r="F3" s="104" t="s">
        <v>3</v>
      </c>
      <c r="G3" s="104" t="s">
        <v>4</v>
      </c>
      <c r="H3" s="107" t="s">
        <v>8</v>
      </c>
      <c r="I3" s="104" t="s">
        <v>3</v>
      </c>
      <c r="J3" s="104" t="s">
        <v>4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</row>
    <row r="4" ht="21" customHeight="1" spans="1:41">
      <c r="A4" s="108" t="s">
        <v>9</v>
      </c>
      <c r="B4" s="109">
        <f>'202-M1机柜平面图'!F43</f>
        <v>220</v>
      </c>
      <c r="C4" s="109">
        <f>'202-M1机柜平面图'!F44</f>
        <v>67</v>
      </c>
      <c r="D4" s="109">
        <f>B4-C4</f>
        <v>153</v>
      </c>
      <c r="E4" s="110">
        <v>10</v>
      </c>
      <c r="F4" s="111">
        <v>6</v>
      </c>
      <c r="G4" s="112">
        <f t="shared" ref="G4:G9" si="0">E4-F4</f>
        <v>4</v>
      </c>
      <c r="H4" s="113">
        <f>B4-E4</f>
        <v>210</v>
      </c>
      <c r="I4" s="111">
        <v>61</v>
      </c>
      <c r="J4" s="112">
        <f>H4-I4</f>
        <v>149</v>
      </c>
      <c r="K4" s="114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</row>
    <row r="5" ht="21" customHeight="1" spans="1:41">
      <c r="A5" s="108" t="s">
        <v>10</v>
      </c>
      <c r="B5" s="109">
        <f>'201-M2机柜平面图 '!F42</f>
        <v>220</v>
      </c>
      <c r="C5" s="109">
        <f>'201-M2机柜平面图 '!F43</f>
        <v>184</v>
      </c>
      <c r="D5" s="109">
        <f t="shared" ref="D5:D10" si="1">B5-C5</f>
        <v>36</v>
      </c>
      <c r="E5" s="110">
        <v>10</v>
      </c>
      <c r="F5" s="111">
        <v>10</v>
      </c>
      <c r="G5" s="112">
        <f t="shared" si="0"/>
        <v>0</v>
      </c>
      <c r="H5" s="113">
        <f t="shared" ref="H5:H10" si="2">B5-E5</f>
        <v>210</v>
      </c>
      <c r="I5" s="111">
        <v>174</v>
      </c>
      <c r="J5" s="112">
        <f t="shared" ref="J5:J10" si="3">H5-I5</f>
        <v>36</v>
      </c>
      <c r="K5" s="114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</row>
    <row r="6" ht="21" customHeight="1" spans="1:41">
      <c r="A6" s="108" t="s">
        <v>11</v>
      </c>
      <c r="B6" s="109">
        <f>'302-M3机柜平面图 '!F42</f>
        <v>196</v>
      </c>
      <c r="C6" s="109">
        <f>'302-M3机柜平面图 '!F43</f>
        <v>12</v>
      </c>
      <c r="D6" s="109">
        <f t="shared" si="1"/>
        <v>184</v>
      </c>
      <c r="E6" s="110">
        <v>70</v>
      </c>
      <c r="F6" s="115">
        <v>12</v>
      </c>
      <c r="G6" s="112">
        <f t="shared" si="0"/>
        <v>58</v>
      </c>
      <c r="H6" s="113">
        <f t="shared" si="2"/>
        <v>126</v>
      </c>
      <c r="I6" s="115">
        <v>0</v>
      </c>
      <c r="J6" s="112">
        <f t="shared" si="3"/>
        <v>126</v>
      </c>
      <c r="K6" s="114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</row>
    <row r="7" ht="21" customHeight="1" spans="1:41">
      <c r="A7" s="108" t="s">
        <v>12</v>
      </c>
      <c r="B7" s="109">
        <f>'301-M4机柜平面图'!F42</f>
        <v>196</v>
      </c>
      <c r="C7" s="109">
        <f>'301-M4机柜平面图'!F43</f>
        <v>135</v>
      </c>
      <c r="D7" s="109">
        <f t="shared" si="1"/>
        <v>61</v>
      </c>
      <c r="E7" s="110">
        <v>70</v>
      </c>
      <c r="F7" s="111">
        <v>18</v>
      </c>
      <c r="G7" s="112">
        <f t="shared" si="0"/>
        <v>52</v>
      </c>
      <c r="H7" s="113">
        <f t="shared" si="2"/>
        <v>126</v>
      </c>
      <c r="I7" s="111">
        <v>117</v>
      </c>
      <c r="J7" s="112">
        <f t="shared" si="3"/>
        <v>9</v>
      </c>
      <c r="K7" s="114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</row>
    <row r="8" ht="21" customHeight="1" spans="1:41">
      <c r="A8" s="108" t="s">
        <v>13</v>
      </c>
      <c r="B8" s="109">
        <f>'402-M5机柜平面图'!F42</f>
        <v>220</v>
      </c>
      <c r="C8" s="109">
        <f>'402-M5机柜平面图'!F43</f>
        <v>4</v>
      </c>
      <c r="D8" s="109">
        <f t="shared" si="1"/>
        <v>216</v>
      </c>
      <c r="E8" s="110">
        <v>10</v>
      </c>
      <c r="F8" s="111">
        <v>4</v>
      </c>
      <c r="G8" s="112">
        <f t="shared" si="0"/>
        <v>6</v>
      </c>
      <c r="H8" s="113">
        <f t="shared" si="2"/>
        <v>210</v>
      </c>
      <c r="I8" s="111">
        <v>0</v>
      </c>
      <c r="J8" s="112">
        <f t="shared" si="3"/>
        <v>210</v>
      </c>
      <c r="K8" s="114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</row>
    <row r="9" ht="21" customHeight="1" spans="1:41">
      <c r="A9" s="108" t="s">
        <v>14</v>
      </c>
      <c r="B9" s="109">
        <f>'401-M6机柜平面图'!F42</f>
        <v>220</v>
      </c>
      <c r="C9" s="109">
        <f>'401-M6机柜平面图'!F43</f>
        <v>0</v>
      </c>
      <c r="D9" s="109">
        <f t="shared" si="1"/>
        <v>220</v>
      </c>
      <c r="E9" s="110">
        <v>10</v>
      </c>
      <c r="F9" s="111">
        <v>0</v>
      </c>
      <c r="G9" s="112">
        <f t="shared" si="0"/>
        <v>10</v>
      </c>
      <c r="H9" s="113">
        <f t="shared" si="2"/>
        <v>210</v>
      </c>
      <c r="I9" s="111">
        <v>0</v>
      </c>
      <c r="J9" s="112">
        <f t="shared" si="3"/>
        <v>210</v>
      </c>
      <c r="K9" s="116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</row>
    <row r="10" ht="21" customHeight="1" spans="1:41">
      <c r="A10" s="108" t="s">
        <v>15</v>
      </c>
      <c r="B10" s="109">
        <f t="shared" ref="B10:G10" si="4">SUM(B4:B9)</f>
        <v>1272</v>
      </c>
      <c r="C10" s="117">
        <f t="shared" si="4"/>
        <v>402</v>
      </c>
      <c r="D10" s="118">
        <f t="shared" si="1"/>
        <v>870</v>
      </c>
      <c r="E10" s="110">
        <f t="shared" si="4"/>
        <v>180</v>
      </c>
      <c r="F10" s="111">
        <f t="shared" si="4"/>
        <v>50</v>
      </c>
      <c r="G10" s="112">
        <f t="shared" si="4"/>
        <v>130</v>
      </c>
      <c r="H10" s="113">
        <f t="shared" si="2"/>
        <v>1092</v>
      </c>
      <c r="I10" s="111">
        <f>SUM(I4:I9)</f>
        <v>352</v>
      </c>
      <c r="J10" s="112">
        <f t="shared" si="3"/>
        <v>740</v>
      </c>
      <c r="K10" s="119">
        <f>F10+I10</f>
        <v>402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</row>
    <row r="11" s="100" customFormat="1" ht="9" customHeight="1" spans="1:41">
      <c r="A11" s="103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</row>
    <row r="12" s="100" customFormat="1" customHeight="1" spans="1:41">
      <c r="A12" s="120"/>
      <c r="B12" s="121" t="s">
        <v>16</v>
      </c>
      <c r="C12" s="122"/>
      <c r="D12" s="122"/>
      <c r="E12" s="122"/>
      <c r="F12" s="103"/>
      <c r="G12" s="122"/>
      <c r="H12" s="122"/>
      <c r="I12" s="122"/>
      <c r="J12" s="122"/>
      <c r="K12" s="103"/>
      <c r="L12" s="103"/>
      <c r="M12" s="122"/>
      <c r="N12" s="122"/>
      <c r="O12" s="122"/>
      <c r="P12" s="122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</row>
    <row r="13" s="100" customFormat="1" customHeight="1" spans="1:41">
      <c r="A13" s="123"/>
      <c r="B13" s="121" t="s">
        <v>4</v>
      </c>
      <c r="C13" s="122"/>
      <c r="D13" s="122"/>
      <c r="E13" s="122"/>
      <c r="F13" s="103"/>
      <c r="G13" s="122"/>
      <c r="H13" s="122"/>
      <c r="I13" s="122"/>
      <c r="J13" s="122"/>
      <c r="K13" s="103"/>
      <c r="L13" s="103"/>
      <c r="M13" s="122"/>
      <c r="N13" s="122"/>
      <c r="O13" s="122"/>
      <c r="P13" s="122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O13" s="103"/>
    </row>
    <row r="14" s="100" customFormat="1" ht="11" customHeight="1" spans="1:41">
      <c r="A14" s="122"/>
      <c r="B14" s="122"/>
      <c r="C14" s="122"/>
      <c r="D14" s="122"/>
      <c r="E14" s="122"/>
      <c r="F14" s="103"/>
      <c r="G14" s="122"/>
      <c r="H14" s="122"/>
      <c r="I14" s="122"/>
      <c r="J14" s="122"/>
      <c r="K14" s="103"/>
      <c r="L14" s="103"/>
      <c r="M14" s="122"/>
      <c r="N14" s="122"/>
      <c r="O14" s="122"/>
      <c r="P14" s="122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</row>
    <row r="15" s="100" customFormat="1" ht="35.25" customHeight="1" spans="1:41">
      <c r="A15" s="121" t="s">
        <v>17</v>
      </c>
      <c r="B15" s="121"/>
      <c r="C15" s="121"/>
      <c r="D15" s="121"/>
      <c r="E15" s="121"/>
      <c r="F15" s="103"/>
      <c r="G15" s="122"/>
      <c r="H15" s="122"/>
      <c r="I15" s="122"/>
      <c r="J15" s="122"/>
      <c r="K15" s="103"/>
      <c r="L15" s="103"/>
      <c r="M15" s="122"/>
      <c r="N15" s="122"/>
      <c r="O15" s="122"/>
      <c r="P15" s="122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</row>
    <row r="16" s="100" customFormat="1" ht="29.15" customHeight="1" spans="1:41">
      <c r="A16" s="124" t="s">
        <v>18</v>
      </c>
      <c r="B16" s="124" t="s">
        <v>19</v>
      </c>
      <c r="C16" s="125" t="s">
        <v>20</v>
      </c>
      <c r="D16" s="125" t="s">
        <v>21</v>
      </c>
      <c r="E16" s="125" t="s">
        <v>22</v>
      </c>
      <c r="F16" s="103"/>
      <c r="G16" s="126" t="s">
        <v>18</v>
      </c>
      <c r="H16" s="126" t="s">
        <v>23</v>
      </c>
      <c r="I16" s="127" t="s">
        <v>20</v>
      </c>
      <c r="J16" s="127" t="s">
        <v>21</v>
      </c>
      <c r="K16" s="127" t="s">
        <v>22</v>
      </c>
      <c r="L16" s="103"/>
      <c r="M16" s="128"/>
      <c r="N16" s="128"/>
      <c r="O16" s="129"/>
      <c r="P16" s="129"/>
      <c r="Q16" s="129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O16" s="103"/>
    </row>
    <row r="17" s="100" customFormat="1" ht="21" customHeight="1" spans="1:41">
      <c r="A17" s="121">
        <v>1</v>
      </c>
      <c r="B17" s="130" t="s">
        <v>24</v>
      </c>
      <c r="C17" s="131">
        <v>2</v>
      </c>
      <c r="D17" s="132"/>
      <c r="E17" s="131">
        <v>2</v>
      </c>
      <c r="F17" s="103"/>
      <c r="G17" s="133">
        <v>1</v>
      </c>
      <c r="H17" s="134">
        <v>45717</v>
      </c>
      <c r="I17" s="133">
        <v>2</v>
      </c>
      <c r="J17" s="133"/>
      <c r="K17" s="133">
        <v>2</v>
      </c>
      <c r="L17" s="103"/>
      <c r="M17" s="122"/>
      <c r="N17" s="135"/>
      <c r="O17" s="135"/>
      <c r="P17" s="135"/>
      <c r="Q17" s="135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</row>
    <row r="18" s="100" customFormat="1" ht="21" customHeight="1" spans="1:41">
      <c r="A18" s="121">
        <v>2</v>
      </c>
      <c r="B18" s="130" t="s">
        <v>25</v>
      </c>
      <c r="C18" s="131">
        <v>15</v>
      </c>
      <c r="D18" s="132"/>
      <c r="E18" s="136">
        <v>17</v>
      </c>
      <c r="F18" s="103"/>
      <c r="G18" s="133">
        <v>2</v>
      </c>
      <c r="H18" s="134">
        <v>45778</v>
      </c>
      <c r="I18" s="133">
        <v>15</v>
      </c>
      <c r="J18" s="133"/>
      <c r="K18" s="133">
        <v>17</v>
      </c>
      <c r="L18" s="103"/>
      <c r="M18" s="122"/>
      <c r="N18" s="137"/>
      <c r="O18" s="135"/>
      <c r="P18" s="135"/>
      <c r="Q18" s="135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O18" s="103"/>
    </row>
    <row r="19" s="100" customFormat="1" ht="21" customHeight="1" spans="1:41">
      <c r="A19" s="121">
        <v>3</v>
      </c>
      <c r="B19" s="130" t="s">
        <v>26</v>
      </c>
      <c r="C19" s="131">
        <v>5</v>
      </c>
      <c r="D19" s="131"/>
      <c r="E19" s="136">
        <v>22</v>
      </c>
      <c r="F19" s="103"/>
      <c r="G19" s="133">
        <v>3</v>
      </c>
      <c r="H19" s="134">
        <v>45809</v>
      </c>
      <c r="I19" s="138">
        <v>16</v>
      </c>
      <c r="J19" s="138"/>
      <c r="K19" s="133">
        <v>33</v>
      </c>
      <c r="L19" s="103"/>
      <c r="M19" s="122"/>
      <c r="N19" s="137"/>
      <c r="O19" s="103"/>
      <c r="P19" s="103"/>
      <c r="Q19" s="135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O19" s="103"/>
    </row>
    <row r="20" s="100" customFormat="1" ht="21" customHeight="1" spans="1:41">
      <c r="A20" s="121">
        <v>4</v>
      </c>
      <c r="B20" s="130" t="s">
        <v>27</v>
      </c>
      <c r="C20" s="131">
        <v>10</v>
      </c>
      <c r="D20" s="132"/>
      <c r="E20" s="136">
        <v>32</v>
      </c>
      <c r="F20" s="103"/>
      <c r="G20" s="133">
        <v>4</v>
      </c>
      <c r="H20" s="134">
        <v>45839</v>
      </c>
      <c r="I20" s="138">
        <v>23</v>
      </c>
      <c r="J20" s="138">
        <v>2</v>
      </c>
      <c r="K20" s="133">
        <v>54</v>
      </c>
      <c r="L20" s="103"/>
      <c r="M20" s="122"/>
      <c r="N20" s="137"/>
      <c r="O20" s="103"/>
      <c r="P20" s="139"/>
      <c r="Q20" s="135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</row>
    <row r="21" s="100" customFormat="1" ht="21" customHeight="1" spans="1:41">
      <c r="A21" s="121">
        <v>5</v>
      </c>
      <c r="B21" s="130" t="s">
        <v>28</v>
      </c>
      <c r="C21" s="131">
        <v>1</v>
      </c>
      <c r="D21" s="132"/>
      <c r="E21" s="136">
        <v>33</v>
      </c>
      <c r="F21" s="103"/>
      <c r="G21" s="133">
        <v>5</v>
      </c>
      <c r="H21" s="134">
        <v>45870</v>
      </c>
      <c r="I21" s="138">
        <v>39</v>
      </c>
      <c r="J21" s="138"/>
      <c r="K21" s="133">
        <v>93</v>
      </c>
      <c r="L21" s="103"/>
      <c r="M21" s="122"/>
      <c r="N21" s="103"/>
      <c r="O21" s="103"/>
      <c r="P21" s="139"/>
      <c r="Q21" s="135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</row>
    <row r="22" ht="21" customHeight="1" spans="1:41">
      <c r="A22" s="121">
        <v>6</v>
      </c>
      <c r="B22" s="133" t="s">
        <v>29</v>
      </c>
      <c r="C22" s="131"/>
      <c r="D22" s="136">
        <v>2</v>
      </c>
      <c r="E22" s="136">
        <v>31</v>
      </c>
      <c r="F22" s="103"/>
      <c r="G22" s="133">
        <v>6</v>
      </c>
      <c r="H22" s="134">
        <v>45962</v>
      </c>
      <c r="I22" s="138">
        <v>5</v>
      </c>
      <c r="J22" s="138"/>
      <c r="K22" s="133">
        <v>98</v>
      </c>
      <c r="L22" s="103"/>
      <c r="M22" s="122"/>
      <c r="N22" s="103"/>
      <c r="O22" s="103"/>
      <c r="P22" s="135"/>
      <c r="Q22" s="135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</row>
    <row r="23" ht="21" customHeight="1" spans="1:41">
      <c r="A23" s="121">
        <v>7</v>
      </c>
      <c r="B23" s="133" t="s">
        <v>30</v>
      </c>
      <c r="C23" s="131">
        <v>6</v>
      </c>
      <c r="D23" s="136"/>
      <c r="E23" s="136">
        <v>37</v>
      </c>
      <c r="F23" s="103"/>
      <c r="G23" s="133">
        <v>7</v>
      </c>
      <c r="H23" s="134">
        <v>45992</v>
      </c>
      <c r="I23" s="138">
        <v>10</v>
      </c>
      <c r="J23" s="138"/>
      <c r="K23" s="133">
        <v>108</v>
      </c>
      <c r="L23" s="103"/>
      <c r="M23" s="122"/>
      <c r="N23" s="103"/>
      <c r="O23" s="103"/>
      <c r="P23" s="135"/>
      <c r="Q23" s="135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</row>
    <row r="24" ht="21" customHeight="1" spans="1:41">
      <c r="A24" s="121">
        <v>8</v>
      </c>
      <c r="B24" s="133" t="s">
        <v>31</v>
      </c>
      <c r="C24" s="131">
        <v>17</v>
      </c>
      <c r="D24" s="136"/>
      <c r="E24" s="136">
        <v>54</v>
      </c>
      <c r="F24" s="103"/>
      <c r="G24" s="133">
        <v>8</v>
      </c>
      <c r="H24" s="134">
        <v>46036</v>
      </c>
      <c r="I24" s="138">
        <v>130</v>
      </c>
      <c r="J24" s="138"/>
      <c r="K24" s="133">
        <f>E33</f>
        <v>238</v>
      </c>
      <c r="L24" s="103"/>
      <c r="M24" s="122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</row>
    <row r="25" ht="21" customHeight="1" spans="1:41">
      <c r="A25" s="121">
        <v>9</v>
      </c>
      <c r="B25" s="133" t="s">
        <v>32</v>
      </c>
      <c r="C25" s="131">
        <v>23</v>
      </c>
      <c r="D25" s="136"/>
      <c r="E25" s="136">
        <v>77</v>
      </c>
      <c r="F25" s="103"/>
      <c r="G25" s="133">
        <v>9</v>
      </c>
      <c r="H25" s="134">
        <v>46059</v>
      </c>
      <c r="I25" s="138">
        <v>2</v>
      </c>
      <c r="J25" s="138"/>
      <c r="K25" s="133">
        <v>240</v>
      </c>
      <c r="L25" s="103"/>
      <c r="M25" s="122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</row>
    <row r="26" ht="21" customHeight="1" spans="1:41">
      <c r="A26" s="121">
        <v>10</v>
      </c>
      <c r="B26" s="133" t="s">
        <v>33</v>
      </c>
      <c r="C26" s="131">
        <v>4</v>
      </c>
      <c r="D26" s="136"/>
      <c r="E26" s="136">
        <v>81</v>
      </c>
      <c r="F26" s="103"/>
      <c r="G26" s="133">
        <v>10</v>
      </c>
      <c r="H26" s="134">
        <v>46098</v>
      </c>
      <c r="I26" s="138">
        <v>86</v>
      </c>
      <c r="J26" s="138"/>
      <c r="K26" s="133">
        <v>326</v>
      </c>
      <c r="L26" s="103"/>
      <c r="M26" s="122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</row>
    <row r="27" ht="21" customHeight="1" spans="1:41">
      <c r="A27" s="121">
        <v>11</v>
      </c>
      <c r="B27" s="133" t="s">
        <v>34</v>
      </c>
      <c r="C27" s="131">
        <v>12</v>
      </c>
      <c r="D27" s="136"/>
      <c r="E27" s="136">
        <v>93</v>
      </c>
      <c r="G27" s="133">
        <v>11</v>
      </c>
      <c r="H27" s="134">
        <v>46113</v>
      </c>
      <c r="I27" s="138">
        <v>4</v>
      </c>
      <c r="J27" s="138"/>
      <c r="K27" s="133">
        <v>330</v>
      </c>
      <c r="M27" s="122"/>
      <c r="N27" s="103"/>
      <c r="O27" s="135"/>
      <c r="P27" s="135"/>
      <c r="Q27" s="135"/>
    </row>
    <row r="28" ht="21" customHeight="1" spans="1:41">
      <c r="A28" s="121">
        <v>12</v>
      </c>
      <c r="B28" s="133" t="s">
        <v>35</v>
      </c>
      <c r="C28" s="131">
        <v>5</v>
      </c>
      <c r="D28" s="136"/>
      <c r="E28" s="136">
        <v>98</v>
      </c>
      <c r="G28" s="133">
        <v>12</v>
      </c>
      <c r="H28" s="134">
        <v>46143</v>
      </c>
      <c r="I28" s="138">
        <v>6</v>
      </c>
      <c r="J28" s="138"/>
      <c r="K28" s="133">
        <v>336</v>
      </c>
      <c r="M28" s="122"/>
      <c r="N28" s="103"/>
      <c r="O28" s="135"/>
      <c r="P28" s="135"/>
      <c r="Q28" s="135"/>
    </row>
    <row r="29" ht="21" customHeight="1" spans="1:41">
      <c r="A29" s="121">
        <v>13</v>
      </c>
      <c r="B29" s="133" t="s">
        <v>36</v>
      </c>
      <c r="C29" s="131">
        <v>10</v>
      </c>
      <c r="D29" s="136"/>
      <c r="E29" s="136">
        <v>108</v>
      </c>
      <c r="G29" s="133">
        <v>13</v>
      </c>
      <c r="H29" s="134">
        <v>46175</v>
      </c>
      <c r="I29" s="138">
        <v>8</v>
      </c>
      <c r="J29" s="138"/>
      <c r="K29" s="133">
        <v>344</v>
      </c>
      <c r="M29" s="122"/>
      <c r="N29" s="137"/>
      <c r="O29" s="135"/>
      <c r="P29" s="135"/>
      <c r="Q29" s="135"/>
    </row>
    <row r="30" ht="21" customHeight="1" spans="1:41">
      <c r="A30" s="121">
        <v>14</v>
      </c>
      <c r="B30" s="133" t="s">
        <v>37</v>
      </c>
      <c r="C30" s="131">
        <v>9</v>
      </c>
      <c r="D30" s="136"/>
      <c r="E30" s="136">
        <v>117</v>
      </c>
      <c r="G30" s="133">
        <v>14</v>
      </c>
      <c r="H30" s="134">
        <v>46204</v>
      </c>
      <c r="I30" s="138">
        <v>49</v>
      </c>
      <c r="J30" s="138"/>
      <c r="K30" s="133">
        <v>393</v>
      </c>
      <c r="M30" s="122"/>
      <c r="N30" s="135"/>
      <c r="O30" s="135"/>
      <c r="P30" s="135"/>
      <c r="Q30" s="135"/>
    </row>
    <row r="31" ht="18.65" customHeight="1" spans="1:41">
      <c r="A31" s="121">
        <v>15</v>
      </c>
      <c r="B31" s="133" t="s">
        <v>38</v>
      </c>
      <c r="C31" s="131">
        <v>18</v>
      </c>
      <c r="D31" s="136"/>
      <c r="E31" s="136">
        <f>E30+C31</f>
        <v>135</v>
      </c>
      <c r="G31" s="133">
        <v>15</v>
      </c>
      <c r="H31" s="134">
        <v>46235</v>
      </c>
      <c r="I31" s="138">
        <v>9</v>
      </c>
      <c r="J31" s="138"/>
      <c r="K31" s="133">
        <v>402</v>
      </c>
    </row>
    <row r="32" ht="20.4" customHeight="1" spans="1:41">
      <c r="A32" s="121">
        <v>16</v>
      </c>
      <c r="B32" s="133" t="s">
        <v>39</v>
      </c>
      <c r="C32" s="131">
        <v>70</v>
      </c>
      <c r="D32" s="136"/>
      <c r="E32" s="136">
        <f>E31+C32</f>
        <v>205</v>
      </c>
    </row>
    <row r="33" ht="21.65" customHeight="1" spans="1:5">
      <c r="A33" s="121">
        <v>17</v>
      </c>
      <c r="B33" s="133" t="s">
        <v>40</v>
      </c>
      <c r="C33" s="131">
        <v>33</v>
      </c>
      <c r="D33" s="136"/>
      <c r="E33" s="136">
        <f>E32+C33</f>
        <v>238</v>
      </c>
    </row>
    <row r="34" ht="22.25" customHeight="1" spans="1:5">
      <c r="A34" s="121">
        <v>18</v>
      </c>
      <c r="B34" s="133" t="s">
        <v>41</v>
      </c>
      <c r="C34" s="131">
        <v>2</v>
      </c>
      <c r="D34" s="136"/>
      <c r="E34" s="136">
        <v>240</v>
      </c>
    </row>
    <row r="35" ht="22.25" customHeight="1" spans="1:5">
      <c r="A35" s="121">
        <v>19</v>
      </c>
      <c r="B35" s="133" t="s">
        <v>42</v>
      </c>
      <c r="C35" s="131">
        <v>52</v>
      </c>
      <c r="D35" s="136"/>
      <c r="E35" s="136">
        <v>292</v>
      </c>
    </row>
    <row r="36" ht="22.75" customHeight="1" spans="1:5">
      <c r="A36" s="121">
        <v>20</v>
      </c>
      <c r="B36" s="133" t="s">
        <v>43</v>
      </c>
      <c r="C36" s="131">
        <v>26</v>
      </c>
      <c r="D36" s="136"/>
      <c r="E36" s="136">
        <v>318</v>
      </c>
    </row>
    <row r="37" ht="25.75" customHeight="1" spans="1:5">
      <c r="A37" s="121">
        <v>21</v>
      </c>
      <c r="B37" s="133" t="s">
        <v>44</v>
      </c>
      <c r="C37" s="131">
        <v>8</v>
      </c>
      <c r="D37" s="136"/>
      <c r="E37" s="136">
        <v>326</v>
      </c>
    </row>
    <row r="38" ht="23.4" customHeight="1" spans="1:5">
      <c r="A38" s="121">
        <v>22</v>
      </c>
      <c r="B38" s="133" t="s">
        <v>45</v>
      </c>
      <c r="C38" s="131">
        <v>4</v>
      </c>
      <c r="D38" s="136"/>
      <c r="E38" s="136">
        <v>330</v>
      </c>
    </row>
    <row r="39" ht="23.4" customHeight="1" spans="1:5">
      <c r="A39" s="121">
        <v>23</v>
      </c>
      <c r="B39" s="133" t="s">
        <v>46</v>
      </c>
      <c r="C39" s="131">
        <v>6</v>
      </c>
      <c r="D39" s="136"/>
      <c r="E39" s="136">
        <v>336</v>
      </c>
    </row>
    <row r="40" ht="21.65" customHeight="1" spans="1:5">
      <c r="A40" s="121">
        <v>24</v>
      </c>
      <c r="B40" s="133" t="s">
        <v>47</v>
      </c>
      <c r="C40" s="131">
        <v>8</v>
      </c>
      <c r="D40" s="136"/>
      <c r="E40" s="136">
        <v>344</v>
      </c>
    </row>
    <row r="41" ht="22.25" customHeight="1" spans="1:5">
      <c r="A41" s="121">
        <v>25</v>
      </c>
      <c r="B41" s="133" t="s">
        <v>48</v>
      </c>
      <c r="C41" s="131">
        <v>30</v>
      </c>
      <c r="D41" s="136"/>
      <c r="E41" s="136">
        <v>374</v>
      </c>
    </row>
    <row r="42" ht="22.25" customHeight="1" spans="1:5">
      <c r="A42" s="121">
        <v>26</v>
      </c>
      <c r="B42" s="133" t="s">
        <v>49</v>
      </c>
      <c r="C42" s="131">
        <v>8</v>
      </c>
      <c r="D42" s="136"/>
      <c r="E42" s="136">
        <f>E41+C42</f>
        <v>382</v>
      </c>
    </row>
    <row r="43" ht="22.75" customHeight="1" spans="1:5">
      <c r="A43" s="121">
        <v>27</v>
      </c>
      <c r="B43" s="133" t="s">
        <v>50</v>
      </c>
      <c r="C43" s="131">
        <v>11</v>
      </c>
      <c r="D43" s="136"/>
      <c r="E43" s="136">
        <f>E42+C43</f>
        <v>393</v>
      </c>
    </row>
    <row r="44" ht="25.75" customHeight="1" spans="1:5">
      <c r="A44" s="121">
        <v>28</v>
      </c>
      <c r="B44" s="133" t="s">
        <v>51</v>
      </c>
      <c r="C44" s="131">
        <v>2</v>
      </c>
      <c r="D44" s="136"/>
      <c r="E44" s="136">
        <v>395</v>
      </c>
    </row>
    <row r="45" ht="23.4" customHeight="1" spans="1:5">
      <c r="A45" s="121">
        <v>29</v>
      </c>
      <c r="B45" s="133" t="s">
        <v>52</v>
      </c>
      <c r="C45" s="131">
        <v>1</v>
      </c>
      <c r="D45" s="136"/>
      <c r="E45" s="136">
        <v>396</v>
      </c>
    </row>
    <row r="46" ht="23.4" customHeight="1" spans="1:5">
      <c r="A46" s="121">
        <v>30</v>
      </c>
      <c r="B46" s="133" t="s">
        <v>53</v>
      </c>
      <c r="C46" s="131">
        <v>2</v>
      </c>
      <c r="D46" s="136"/>
      <c r="E46" s="136">
        <v>398</v>
      </c>
    </row>
    <row r="47" ht="24" customHeight="1" spans="1:5">
      <c r="A47" s="121">
        <v>31</v>
      </c>
      <c r="B47" s="133" t="s">
        <v>54</v>
      </c>
      <c r="C47" s="131">
        <v>4</v>
      </c>
      <c r="D47" s="136"/>
      <c r="E47" s="136">
        <v>402</v>
      </c>
    </row>
  </sheetData>
  <mergeCells count="10">
    <mergeCell ref="A1:J1"/>
    <mergeCell ref="E2:G2"/>
    <mergeCell ref="H2:J2"/>
    <mergeCell ref="A15:E15"/>
    <mergeCell ref="G15:J15"/>
    <mergeCell ref="M15:P15"/>
    <mergeCell ref="A2:A3"/>
    <mergeCell ref="B2:B3"/>
    <mergeCell ref="C2:C3"/>
    <mergeCell ref="D2:D3"/>
  </mergeCell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CB1273"/>
  <sheetViews>
    <sheetView zoomScale="70" zoomScaleNormal="70" workbookViewId="0">
      <pane ySplit="1" topLeftCell="A286" activePane="bottomLeft" state="frozen"/>
      <selection/>
      <selection pane="bottomLeft" activeCell="G299" sqref="G299"/>
    </sheetView>
  </sheetViews>
  <sheetFormatPr defaultColWidth="8.81818181818182" defaultRowHeight="14"/>
  <cols>
    <col min="1" max="1" width="5.63636363636364" style="60" customWidth="1"/>
    <col min="2" max="2" width="8.81818181818182" style="60"/>
    <col min="3" max="3" width="14.8181818181818" style="60" customWidth="1"/>
    <col min="4" max="4" width="11.6363636363636" style="60" customWidth="1"/>
    <col min="5" max="5" width="17.0909090909091" style="61" customWidth="1"/>
    <col min="6" max="6" width="18.0909090909091" style="60" customWidth="1"/>
    <col min="7" max="7" width="19" style="60" customWidth="1"/>
    <col min="8" max="8" width="15.1818181818182" style="60" customWidth="1"/>
    <col min="9" max="9" width="8.09090909090909" style="60" customWidth="1"/>
    <col min="10" max="10" width="8.81818181818182" style="60"/>
    <col min="11" max="11" width="17" style="62" customWidth="1"/>
    <col min="12" max="12" width="18.9090909090909" style="63" customWidth="1"/>
    <col min="13" max="13" width="20.3636363636364" style="64" customWidth="1"/>
    <col min="14" max="14" width="15.3636363636364" style="60" customWidth="1"/>
    <col min="15" max="15" width="18.4545454545455" style="60" customWidth="1"/>
    <col min="16" max="16" width="16.8181818181818" style="60" customWidth="1"/>
    <col min="17" max="22" width="17.8181818181818" style="60" customWidth="1"/>
    <col min="23" max="16384" width="8.81818181818182" style="60"/>
  </cols>
  <sheetData>
    <row r="1" s="59" customFormat="1" ht="42" spans="1:22">
      <c r="A1" s="65" t="s">
        <v>55</v>
      </c>
      <c r="B1" s="66" t="s">
        <v>56</v>
      </c>
      <c r="C1" s="67" t="s">
        <v>57</v>
      </c>
      <c r="D1" s="68" t="s">
        <v>58</v>
      </c>
      <c r="E1" s="69" t="s">
        <v>59</v>
      </c>
      <c r="F1" s="70" t="s">
        <v>60</v>
      </c>
      <c r="G1" s="66" t="s">
        <v>61</v>
      </c>
      <c r="H1" s="66" t="s">
        <v>62</v>
      </c>
      <c r="I1" s="66" t="s">
        <v>63</v>
      </c>
      <c r="J1" s="67" t="s">
        <v>64</v>
      </c>
      <c r="K1" s="71" t="s">
        <v>65</v>
      </c>
      <c r="L1" s="70" t="s">
        <v>60</v>
      </c>
      <c r="M1" s="66" t="s">
        <v>61</v>
      </c>
      <c r="N1" s="71" t="s">
        <v>65</v>
      </c>
      <c r="O1" s="72" t="s">
        <v>60</v>
      </c>
      <c r="P1" s="73" t="s">
        <v>66</v>
      </c>
      <c r="Q1" s="71" t="s">
        <v>65</v>
      </c>
      <c r="R1" s="72" t="s">
        <v>60</v>
      </c>
      <c r="S1" s="73" t="s">
        <v>66</v>
      </c>
      <c r="T1" s="71" t="s">
        <v>65</v>
      </c>
      <c r="U1" s="72" t="s">
        <v>60</v>
      </c>
      <c r="V1" s="73" t="s">
        <v>66</v>
      </c>
    </row>
    <row r="2" s="59" customFormat="1" spans="1:22">
      <c r="A2" s="74">
        <v>1</v>
      </c>
      <c r="B2" s="66" t="s">
        <v>67</v>
      </c>
      <c r="C2" s="67" t="s">
        <v>68</v>
      </c>
      <c r="D2" s="67" t="s">
        <v>69</v>
      </c>
      <c r="E2" s="75" t="s">
        <v>70</v>
      </c>
      <c r="F2" s="76">
        <v>46123.6927199074</v>
      </c>
      <c r="G2" s="76">
        <v>46121.6929398148</v>
      </c>
      <c r="H2" s="77" t="s">
        <v>71</v>
      </c>
      <c r="I2" s="78">
        <v>16000</v>
      </c>
      <c r="J2" s="79" t="s">
        <v>72</v>
      </c>
      <c r="K2" s="80" t="s">
        <v>73</v>
      </c>
      <c r="L2" s="76">
        <v>46093.6758101852</v>
      </c>
      <c r="M2" s="76">
        <v>46098.6924652778</v>
      </c>
      <c r="N2" s="81" t="s">
        <v>74</v>
      </c>
      <c r="O2" s="76">
        <v>46100.8336226852</v>
      </c>
      <c r="P2" s="76">
        <v>46099.8338541667</v>
      </c>
    </row>
    <row r="3" s="59" customFormat="1" spans="1:22">
      <c r="A3" s="74">
        <v>2</v>
      </c>
      <c r="B3" s="66" t="s">
        <v>67</v>
      </c>
      <c r="C3" s="67" t="s">
        <v>68</v>
      </c>
      <c r="D3" s="67" t="s">
        <v>75</v>
      </c>
      <c r="E3" s="75" t="s">
        <v>70</v>
      </c>
      <c r="F3" s="76">
        <v>46123.6927430556</v>
      </c>
      <c r="G3" s="76">
        <v>46121.6929513889</v>
      </c>
      <c r="H3" s="77" t="s">
        <v>76</v>
      </c>
      <c r="I3" s="82">
        <v>12000</v>
      </c>
      <c r="J3" s="79" t="s">
        <v>72</v>
      </c>
      <c r="K3" s="80" t="s">
        <v>73</v>
      </c>
      <c r="L3" s="76">
        <v>46093.6757986111</v>
      </c>
      <c r="M3" s="76">
        <v>46097.6774537037</v>
      </c>
      <c r="N3" s="81" t="s">
        <v>74</v>
      </c>
      <c r="O3" s="76">
        <v>46100.8336226852</v>
      </c>
      <c r="P3" s="76">
        <v>46099.8338541667</v>
      </c>
    </row>
    <row r="4" s="59" customFormat="1" spans="1:22">
      <c r="A4" s="74">
        <v>3</v>
      </c>
      <c r="B4" s="66" t="s">
        <v>67</v>
      </c>
      <c r="C4" s="67" t="s">
        <v>68</v>
      </c>
      <c r="D4" s="67" t="s">
        <v>77</v>
      </c>
      <c r="E4" s="75" t="s">
        <v>70</v>
      </c>
      <c r="F4" s="76">
        <v>46123.69625</v>
      </c>
      <c r="G4" s="76">
        <v>46121.6964583333</v>
      </c>
      <c r="H4" s="77" t="s">
        <v>76</v>
      </c>
      <c r="I4" s="82">
        <v>12000</v>
      </c>
      <c r="J4" s="68" t="s">
        <v>72</v>
      </c>
      <c r="K4" s="83" t="s">
        <v>78</v>
      </c>
      <c r="L4" s="76">
        <v>46103</v>
      </c>
      <c r="M4" s="76">
        <v>46104.7358912037</v>
      </c>
      <c r="N4" s="84"/>
    </row>
    <row r="5" s="59" customFormat="1" spans="1:22">
      <c r="A5" s="74">
        <v>4</v>
      </c>
      <c r="B5" s="66" t="s">
        <v>67</v>
      </c>
      <c r="C5" s="67" t="s">
        <v>68</v>
      </c>
      <c r="D5" s="67" t="s">
        <v>79</v>
      </c>
      <c r="E5" s="75" t="s">
        <v>70</v>
      </c>
      <c r="F5" s="76">
        <v>46123.6962384259</v>
      </c>
      <c r="G5" s="76">
        <v>46121.6964467593</v>
      </c>
      <c r="H5" s="77" t="s">
        <v>76</v>
      </c>
      <c r="I5" s="82">
        <v>12000</v>
      </c>
      <c r="J5" s="79" t="s">
        <v>72</v>
      </c>
      <c r="K5" s="80" t="s">
        <v>73</v>
      </c>
      <c r="L5" s="76">
        <v>46093.6758217593</v>
      </c>
      <c r="M5" s="76">
        <v>46098.6927314815</v>
      </c>
      <c r="N5" s="81" t="s">
        <v>74</v>
      </c>
      <c r="O5" s="76">
        <v>46100.8336226852</v>
      </c>
      <c r="P5" s="76">
        <v>46099.8338541667</v>
      </c>
    </row>
    <row r="6" s="59" customFormat="1" spans="1:22">
      <c r="A6" s="74">
        <v>5</v>
      </c>
      <c r="B6" s="66" t="s">
        <v>67</v>
      </c>
      <c r="C6" s="67" t="s">
        <v>68</v>
      </c>
      <c r="D6" s="67" t="s">
        <v>80</v>
      </c>
      <c r="E6" s="75" t="s">
        <v>70</v>
      </c>
      <c r="F6" s="76">
        <v>46123.6998148148</v>
      </c>
      <c r="G6" s="76">
        <v>46121.7000231482</v>
      </c>
      <c r="H6" s="77" t="s">
        <v>76</v>
      </c>
      <c r="I6" s="82">
        <v>12000</v>
      </c>
      <c r="J6" s="79" t="s">
        <v>72</v>
      </c>
      <c r="K6" s="80" t="s">
        <v>73</v>
      </c>
      <c r="L6" s="76">
        <v>46093.6757986111</v>
      </c>
      <c r="M6" s="76">
        <v>46097.6775578704</v>
      </c>
      <c r="N6" s="81" t="s">
        <v>74</v>
      </c>
      <c r="O6" s="76">
        <v>46100.8336226852</v>
      </c>
      <c r="P6" s="76">
        <v>46099.8338541667</v>
      </c>
    </row>
    <row r="7" s="59" customFormat="1" spans="1:22">
      <c r="A7" s="74">
        <v>6</v>
      </c>
      <c r="B7" s="66" t="s">
        <v>67</v>
      </c>
      <c r="C7" s="67" t="s">
        <v>68</v>
      </c>
      <c r="D7" s="67" t="s">
        <v>81</v>
      </c>
      <c r="E7" s="75" t="s">
        <v>70</v>
      </c>
      <c r="F7" s="76">
        <v>46124.8822453704</v>
      </c>
      <c r="G7" s="76">
        <v>46123.8824652778</v>
      </c>
      <c r="H7" s="77" t="s">
        <v>76</v>
      </c>
      <c r="I7" s="82">
        <v>12000</v>
      </c>
      <c r="J7" s="68" t="s">
        <v>72</v>
      </c>
      <c r="K7" s="83" t="s">
        <v>78</v>
      </c>
      <c r="L7" s="76">
        <v>46103</v>
      </c>
      <c r="M7" s="76">
        <v>46104.7359953704</v>
      </c>
    </row>
    <row r="8" s="59" customFormat="1" spans="1:22">
      <c r="A8" s="74">
        <v>7</v>
      </c>
      <c r="B8" s="66" t="s">
        <v>67</v>
      </c>
      <c r="C8" s="67" t="s">
        <v>68</v>
      </c>
      <c r="D8" s="67" t="s">
        <v>82</v>
      </c>
      <c r="E8" s="75" t="s">
        <v>70</v>
      </c>
      <c r="F8" s="76">
        <v>46124.8822453704</v>
      </c>
      <c r="G8" s="76">
        <v>46123.8824652778</v>
      </c>
      <c r="H8" s="77" t="s">
        <v>76</v>
      </c>
      <c r="I8" s="82">
        <v>12000</v>
      </c>
      <c r="J8" s="79" t="s">
        <v>72</v>
      </c>
      <c r="K8" s="80" t="s">
        <v>73</v>
      </c>
      <c r="L8" s="76">
        <v>46093.6758217593</v>
      </c>
      <c r="M8" s="76">
        <v>46097.6776967593</v>
      </c>
      <c r="N8" s="81" t="s">
        <v>74</v>
      </c>
      <c r="O8" s="76">
        <v>46100.8336226852</v>
      </c>
      <c r="P8" s="76">
        <v>46099.8338541667</v>
      </c>
    </row>
    <row r="9" s="59" customFormat="1" spans="1:22">
      <c r="A9" s="74">
        <v>8</v>
      </c>
      <c r="B9" s="66" t="s">
        <v>67</v>
      </c>
      <c r="C9" s="67" t="s">
        <v>68</v>
      </c>
      <c r="D9" s="67" t="s">
        <v>83</v>
      </c>
      <c r="E9" s="75" t="s">
        <v>70</v>
      </c>
      <c r="F9" s="76">
        <v>46239.4656828704</v>
      </c>
      <c r="G9" s="76">
        <v>46237.4659143519</v>
      </c>
      <c r="H9" s="77" t="s">
        <v>76</v>
      </c>
      <c r="I9" s="82">
        <v>12000</v>
      </c>
      <c r="J9" s="79" t="s">
        <v>72</v>
      </c>
      <c r="K9" s="80" t="s">
        <v>73</v>
      </c>
      <c r="L9" s="76">
        <v>46093.6758333333</v>
      </c>
      <c r="M9" s="76">
        <v>46097.6778009259</v>
      </c>
      <c r="N9" s="81" t="s">
        <v>74</v>
      </c>
      <c r="O9" s="76">
        <v>46100.8336226852</v>
      </c>
      <c r="P9" s="76">
        <v>46099.8338541667</v>
      </c>
      <c r="Q9" s="75" t="s">
        <v>70</v>
      </c>
      <c r="R9" s="76">
        <v>46104.8821875</v>
      </c>
      <c r="S9" s="76">
        <v>46103.8824074074</v>
      </c>
      <c r="T9" s="81" t="s">
        <v>74</v>
      </c>
      <c r="U9" s="76">
        <v>46144.8337268519</v>
      </c>
      <c r="V9" s="76">
        <v>46143.8339467593</v>
      </c>
    </row>
    <row r="10" s="59" customFormat="1" spans="1:22">
      <c r="A10" s="74">
        <v>9</v>
      </c>
      <c r="B10" s="66" t="s">
        <v>67</v>
      </c>
      <c r="C10" s="67" t="s">
        <v>68</v>
      </c>
      <c r="D10" s="67" t="s">
        <v>84</v>
      </c>
      <c r="E10" s="80" t="s">
        <v>73</v>
      </c>
      <c r="F10" s="76">
        <v>46102.7259375</v>
      </c>
      <c r="G10" s="76">
        <v>46104.7360763889</v>
      </c>
      <c r="H10" s="77" t="s">
        <v>76</v>
      </c>
      <c r="I10" s="82">
        <v>12000</v>
      </c>
      <c r="J10" s="68" t="s">
        <v>72</v>
      </c>
      <c r="K10" s="85"/>
      <c r="L10" s="86"/>
      <c r="M10" s="87"/>
    </row>
    <row r="11" s="59" customFormat="1" spans="1:22">
      <c r="A11" s="74">
        <v>10</v>
      </c>
      <c r="B11" s="66" t="s">
        <v>67</v>
      </c>
      <c r="C11" s="67" t="s">
        <v>68</v>
      </c>
      <c r="D11" s="67" t="s">
        <v>85</v>
      </c>
      <c r="E11" s="75" t="s">
        <v>70</v>
      </c>
      <c r="F11" s="76">
        <v>46104.8821875</v>
      </c>
      <c r="G11" s="76">
        <v>46103.8824074074</v>
      </c>
      <c r="H11" s="77" t="s">
        <v>76</v>
      </c>
      <c r="I11" s="82">
        <v>12000</v>
      </c>
      <c r="J11" s="79" t="s">
        <v>72</v>
      </c>
      <c r="K11" s="80" t="s">
        <v>73</v>
      </c>
      <c r="L11" s="76">
        <v>46093.6758101852</v>
      </c>
      <c r="M11" s="76">
        <v>46097.6772800926</v>
      </c>
      <c r="N11" s="81" t="s">
        <v>74</v>
      </c>
      <c r="O11" s="76">
        <v>46100.8336226852</v>
      </c>
      <c r="P11" s="76">
        <v>46099.8338541667</v>
      </c>
    </row>
    <row r="12" s="59" customFormat="1" spans="1:22">
      <c r="A12" s="74">
        <v>11</v>
      </c>
      <c r="B12" s="66" t="s">
        <v>67</v>
      </c>
      <c r="C12" s="67" t="s">
        <v>68</v>
      </c>
      <c r="D12" s="67" t="s">
        <v>86</v>
      </c>
      <c r="E12" s="75" t="s">
        <v>70</v>
      </c>
      <c r="F12" s="76">
        <v>46104.8821875</v>
      </c>
      <c r="G12" s="76">
        <v>46103.8824074074</v>
      </c>
      <c r="H12" s="77" t="s">
        <v>76</v>
      </c>
      <c r="I12" s="82">
        <v>12000</v>
      </c>
      <c r="J12" s="79" t="s">
        <v>72</v>
      </c>
      <c r="K12" s="80" t="s">
        <v>73</v>
      </c>
      <c r="L12" s="76">
        <v>46093.6758217593</v>
      </c>
      <c r="M12" s="76">
        <v>46097.6821643518</v>
      </c>
      <c r="N12" s="81" t="s">
        <v>74</v>
      </c>
      <c r="O12" s="76">
        <v>46100.8336226852</v>
      </c>
      <c r="P12" s="76">
        <v>46099.8338541667</v>
      </c>
    </row>
    <row r="13" s="59" customFormat="1" spans="1:22">
      <c r="A13" s="74">
        <v>12</v>
      </c>
      <c r="B13" s="66" t="s">
        <v>67</v>
      </c>
      <c r="C13" s="67" t="s">
        <v>68</v>
      </c>
      <c r="D13" s="67" t="s">
        <v>87</v>
      </c>
      <c r="E13" s="80" t="s">
        <v>73</v>
      </c>
      <c r="F13" s="76">
        <v>46102.7259375</v>
      </c>
      <c r="G13" s="76">
        <v>46104.7361574074</v>
      </c>
      <c r="H13" s="77" t="s">
        <v>76</v>
      </c>
      <c r="I13" s="82">
        <v>12000</v>
      </c>
      <c r="J13" s="68" t="s">
        <v>72</v>
      </c>
      <c r="K13" s="85"/>
      <c r="L13" s="86"/>
      <c r="M13" s="87"/>
    </row>
    <row r="14" s="59" customFormat="1" spans="1:22">
      <c r="A14" s="74">
        <v>13</v>
      </c>
      <c r="B14" s="66" t="s">
        <v>67</v>
      </c>
      <c r="C14" s="67" t="s">
        <v>68</v>
      </c>
      <c r="D14" s="67" t="s">
        <v>88</v>
      </c>
      <c r="E14" s="75" t="s">
        <v>70</v>
      </c>
      <c r="F14" s="76">
        <v>46104.8821875</v>
      </c>
      <c r="G14" s="76">
        <v>46103.8824074074</v>
      </c>
      <c r="H14" s="77" t="s">
        <v>76</v>
      </c>
      <c r="I14" s="82">
        <v>12000</v>
      </c>
      <c r="J14" s="79" t="s">
        <v>72</v>
      </c>
      <c r="K14" s="80" t="s">
        <v>73</v>
      </c>
      <c r="L14" s="76">
        <v>46093.6758333333</v>
      </c>
      <c r="M14" s="76">
        <v>46097.6822685185</v>
      </c>
      <c r="N14" s="81" t="s">
        <v>74</v>
      </c>
      <c r="O14" s="76">
        <v>46100.8336226852</v>
      </c>
      <c r="P14" s="76">
        <v>46099.8338541667</v>
      </c>
    </row>
    <row r="15" s="59" customFormat="1" spans="1:22">
      <c r="A15" s="74">
        <v>14</v>
      </c>
      <c r="B15" s="66" t="s">
        <v>67</v>
      </c>
      <c r="C15" s="67" t="s">
        <v>68</v>
      </c>
      <c r="D15" s="67" t="s">
        <v>89</v>
      </c>
      <c r="E15" s="75" t="s">
        <v>70</v>
      </c>
      <c r="F15" s="76">
        <v>46104.8821875</v>
      </c>
      <c r="G15" s="76">
        <v>46103.8824074074</v>
      </c>
      <c r="H15" s="77" t="s">
        <v>76</v>
      </c>
      <c r="I15" s="82">
        <v>12000</v>
      </c>
      <c r="J15" s="79" t="s">
        <v>72</v>
      </c>
      <c r="K15" s="80" t="s">
        <v>73</v>
      </c>
      <c r="L15" s="76">
        <v>46093.6757986111</v>
      </c>
      <c r="M15" s="76">
        <v>46097.685162037</v>
      </c>
      <c r="N15" s="81" t="s">
        <v>74</v>
      </c>
      <c r="O15" s="76">
        <v>46100.8336226852</v>
      </c>
      <c r="P15" s="76">
        <v>46099.8338541667</v>
      </c>
    </row>
    <row r="16" s="59" customFormat="1" spans="1:22">
      <c r="A16" s="74">
        <v>15</v>
      </c>
      <c r="B16" s="66" t="s">
        <v>67</v>
      </c>
      <c r="C16" s="67" t="s">
        <v>68</v>
      </c>
      <c r="D16" s="67" t="s">
        <v>90</v>
      </c>
      <c r="E16" s="80" t="s">
        <v>73</v>
      </c>
      <c r="F16" s="76">
        <v>46102.7259375</v>
      </c>
      <c r="G16" s="76">
        <v>46104.7362268519</v>
      </c>
      <c r="H16" s="77" t="s">
        <v>76</v>
      </c>
      <c r="I16" s="82">
        <v>12000</v>
      </c>
      <c r="J16" s="68" t="s">
        <v>72</v>
      </c>
      <c r="K16" s="85"/>
      <c r="L16" s="86"/>
      <c r="M16" s="87"/>
    </row>
    <row r="17" s="59" customFormat="1" spans="1:22">
      <c r="A17" s="74">
        <v>16</v>
      </c>
      <c r="B17" s="66" t="s">
        <v>67</v>
      </c>
      <c r="C17" s="67" t="s">
        <v>68</v>
      </c>
      <c r="D17" s="67" t="s">
        <v>91</v>
      </c>
      <c r="E17" s="75" t="s">
        <v>70</v>
      </c>
      <c r="F17" s="76">
        <v>46152.4253935185</v>
      </c>
      <c r="G17" s="76">
        <v>46150.4256134259</v>
      </c>
      <c r="H17" s="77" t="s">
        <v>76</v>
      </c>
      <c r="I17" s="82">
        <v>12000</v>
      </c>
      <c r="J17" s="84" t="s">
        <v>72</v>
      </c>
      <c r="K17" s="80" t="s">
        <v>73</v>
      </c>
      <c r="L17" s="76">
        <v>46108.6121990741</v>
      </c>
      <c r="M17" s="76">
        <v>46108.6152546296</v>
      </c>
      <c r="N17" s="81" t="s">
        <v>74</v>
      </c>
      <c r="O17" s="76">
        <v>46116.833587963</v>
      </c>
      <c r="P17" s="76">
        <v>46115.8338078704</v>
      </c>
    </row>
    <row r="18" s="59" customFormat="1" spans="1:22">
      <c r="A18" s="74">
        <v>17</v>
      </c>
      <c r="B18" s="66" t="s">
        <v>67</v>
      </c>
      <c r="C18" s="67" t="s">
        <v>68</v>
      </c>
      <c r="D18" s="67" t="s">
        <v>92</v>
      </c>
      <c r="E18" s="75" t="s">
        <v>70</v>
      </c>
      <c r="F18" s="76">
        <v>46178.7354050926</v>
      </c>
      <c r="G18" s="76">
        <v>46176.735625</v>
      </c>
      <c r="H18" s="77" t="s">
        <v>76</v>
      </c>
      <c r="I18" s="82">
        <v>12000</v>
      </c>
      <c r="J18" s="84" t="s">
        <v>72</v>
      </c>
      <c r="K18" s="80" t="s">
        <v>73</v>
      </c>
      <c r="L18" s="76">
        <v>46108.6121990741</v>
      </c>
      <c r="M18" s="76">
        <v>46108.6156944444</v>
      </c>
      <c r="N18" s="81" t="s">
        <v>74</v>
      </c>
      <c r="O18" s="76">
        <v>46116.833587963</v>
      </c>
      <c r="P18" s="76">
        <v>46115.8338078704</v>
      </c>
    </row>
    <row r="19" s="59" customFormat="1" spans="1:22">
      <c r="A19" s="74">
        <v>18</v>
      </c>
      <c r="B19" s="66" t="s">
        <v>67</v>
      </c>
      <c r="C19" s="67" t="s">
        <v>68</v>
      </c>
      <c r="D19" s="67" t="s">
        <v>93</v>
      </c>
      <c r="E19" s="75" t="s">
        <v>70</v>
      </c>
      <c r="F19" s="76">
        <v>46178.7385069444</v>
      </c>
      <c r="G19" s="76">
        <v>46176.7387268519</v>
      </c>
      <c r="H19" s="77" t="s">
        <v>76</v>
      </c>
      <c r="I19" s="82">
        <v>12000</v>
      </c>
      <c r="J19" s="79" t="s">
        <v>72</v>
      </c>
      <c r="K19" s="83" t="s">
        <v>78</v>
      </c>
      <c r="L19" s="76">
        <v>46116</v>
      </c>
      <c r="M19" s="76">
        <v>46122.5763773148</v>
      </c>
    </row>
    <row r="20" s="59" customFormat="1" spans="1:22">
      <c r="A20" s="74">
        <v>19</v>
      </c>
      <c r="B20" s="66" t="s">
        <v>67</v>
      </c>
      <c r="C20" s="67" t="s">
        <v>68</v>
      </c>
      <c r="D20" s="67" t="s">
        <v>94</v>
      </c>
      <c r="E20" s="88"/>
      <c r="F20" s="89"/>
      <c r="G20" s="89"/>
      <c r="H20" s="77" t="s">
        <v>76</v>
      </c>
      <c r="I20" s="82">
        <v>12000</v>
      </c>
      <c r="J20" s="84"/>
      <c r="K20" s="85"/>
      <c r="L20" s="89"/>
      <c r="M20" s="89"/>
    </row>
    <row r="21" s="59" customFormat="1" spans="1:22">
      <c r="A21" s="74">
        <v>20</v>
      </c>
      <c r="B21" s="66" t="s">
        <v>67</v>
      </c>
      <c r="C21" s="67" t="s">
        <v>68</v>
      </c>
      <c r="D21" s="67" t="s">
        <v>95</v>
      </c>
      <c r="E21" s="88"/>
      <c r="F21" s="89"/>
      <c r="G21" s="89"/>
      <c r="H21" s="77" t="s">
        <v>76</v>
      </c>
      <c r="I21" s="82">
        <v>12000</v>
      </c>
      <c r="J21" s="84"/>
      <c r="K21" s="85"/>
      <c r="L21" s="89"/>
      <c r="M21" s="89"/>
    </row>
    <row r="22" s="59" customFormat="1" spans="1:22">
      <c r="A22" s="74">
        <v>21</v>
      </c>
      <c r="B22" s="66" t="s">
        <v>67</v>
      </c>
      <c r="C22" s="67" t="s">
        <v>68</v>
      </c>
      <c r="D22" s="67" t="s">
        <v>96</v>
      </c>
      <c r="E22" s="88"/>
      <c r="F22" s="89"/>
      <c r="G22" s="89"/>
      <c r="H22" s="77" t="s">
        <v>76</v>
      </c>
      <c r="I22" s="82">
        <v>12000</v>
      </c>
      <c r="J22" s="84"/>
      <c r="K22" s="85"/>
      <c r="L22" s="89"/>
      <c r="M22" s="89"/>
    </row>
    <row r="23" s="59" customFormat="1" spans="1:22">
      <c r="A23" s="74">
        <v>22</v>
      </c>
      <c r="B23" s="66" t="s">
        <v>67</v>
      </c>
      <c r="C23" s="67" t="s">
        <v>68</v>
      </c>
      <c r="D23" s="67" t="s">
        <v>97</v>
      </c>
      <c r="E23" s="80" t="s">
        <v>73</v>
      </c>
      <c r="F23" s="90">
        <v>46043.7354050926</v>
      </c>
      <c r="G23" s="90">
        <v>46043.81625</v>
      </c>
      <c r="H23" s="77" t="s">
        <v>71</v>
      </c>
      <c r="I23" s="78">
        <v>16000</v>
      </c>
      <c r="J23" s="79" t="s">
        <v>72</v>
      </c>
      <c r="K23" s="85"/>
      <c r="L23" s="89"/>
      <c r="M23" s="89"/>
    </row>
    <row r="24" s="59" customFormat="1" spans="1:22">
      <c r="A24" s="74">
        <v>23</v>
      </c>
      <c r="B24" s="66" t="s">
        <v>67</v>
      </c>
      <c r="C24" s="67" t="s">
        <v>68</v>
      </c>
      <c r="D24" s="67" t="s">
        <v>98</v>
      </c>
      <c r="E24" s="75" t="s">
        <v>70</v>
      </c>
      <c r="F24" s="76">
        <v>46239.7488425926</v>
      </c>
      <c r="G24" s="76">
        <v>46237.7490740741</v>
      </c>
      <c r="H24" s="77" t="s">
        <v>76</v>
      </c>
      <c r="I24" s="82">
        <v>12000</v>
      </c>
      <c r="J24" s="79" t="s">
        <v>72</v>
      </c>
      <c r="K24" s="80" t="s">
        <v>73</v>
      </c>
      <c r="L24" s="76">
        <v>46093.6758217593</v>
      </c>
      <c r="M24" s="76">
        <v>46097.6853125</v>
      </c>
      <c r="N24" s="81" t="s">
        <v>74</v>
      </c>
      <c r="O24" s="76">
        <v>46100.8336226852</v>
      </c>
      <c r="P24" s="76">
        <v>46099.8338541667</v>
      </c>
      <c r="Q24" s="75" t="s">
        <v>70</v>
      </c>
      <c r="R24" s="76">
        <v>46104.8821875</v>
      </c>
      <c r="S24" s="76">
        <v>46103.8824074074</v>
      </c>
      <c r="T24" s="81" t="s">
        <v>74</v>
      </c>
      <c r="U24" s="76">
        <v>46144.8337268519</v>
      </c>
      <c r="V24" s="76">
        <v>46143.8339467593</v>
      </c>
    </row>
    <row r="25" s="59" customFormat="1" spans="1:22">
      <c r="A25" s="74">
        <v>24</v>
      </c>
      <c r="B25" s="66" t="s">
        <v>67</v>
      </c>
      <c r="C25" s="67" t="s">
        <v>68</v>
      </c>
      <c r="D25" s="67" t="s">
        <v>99</v>
      </c>
      <c r="E25" s="75" t="s">
        <v>70</v>
      </c>
      <c r="F25" s="76">
        <v>46104.8821875</v>
      </c>
      <c r="G25" s="76">
        <v>46103.8824074074</v>
      </c>
      <c r="H25" s="77" t="s">
        <v>76</v>
      </c>
      <c r="I25" s="82">
        <v>12000</v>
      </c>
      <c r="J25" s="79" t="s">
        <v>72</v>
      </c>
      <c r="K25" s="80" t="s">
        <v>73</v>
      </c>
      <c r="L25" s="76">
        <v>46093.6758101852</v>
      </c>
      <c r="M25" s="76">
        <v>46097.6932175926</v>
      </c>
      <c r="N25" s="81" t="s">
        <v>74</v>
      </c>
      <c r="O25" s="76">
        <v>46100.8336226852</v>
      </c>
      <c r="P25" s="76">
        <v>46099.8338541667</v>
      </c>
    </row>
    <row r="26" s="59" customFormat="1" spans="1:22">
      <c r="A26" s="74">
        <v>25</v>
      </c>
      <c r="B26" s="66" t="s">
        <v>67</v>
      </c>
      <c r="C26" s="67" t="s">
        <v>68</v>
      </c>
      <c r="D26" s="67" t="s">
        <v>100</v>
      </c>
      <c r="E26" s="75" t="s">
        <v>70</v>
      </c>
      <c r="F26" s="76">
        <v>46239.5046064815</v>
      </c>
      <c r="G26" s="76">
        <v>46237.5048263889</v>
      </c>
      <c r="H26" s="77" t="s">
        <v>76</v>
      </c>
      <c r="I26" s="82">
        <v>12000</v>
      </c>
      <c r="J26" s="68" t="s">
        <v>72</v>
      </c>
      <c r="K26" s="80" t="s">
        <v>73</v>
      </c>
      <c r="L26" s="76">
        <v>46102.7259375</v>
      </c>
      <c r="M26" s="76">
        <v>46104.7363078704</v>
      </c>
      <c r="N26" s="81" t="s">
        <v>74</v>
      </c>
      <c r="O26" s="76">
        <v>46144.8337268519</v>
      </c>
      <c r="P26" s="76">
        <v>46143.8339467593</v>
      </c>
    </row>
    <row r="27" s="59" customFormat="1" spans="1:22">
      <c r="A27" s="74">
        <v>26</v>
      </c>
      <c r="B27" s="66" t="s">
        <v>67</v>
      </c>
      <c r="C27" s="67" t="s">
        <v>68</v>
      </c>
      <c r="D27" s="67" t="s">
        <v>101</v>
      </c>
      <c r="E27" s="75" t="s">
        <v>70</v>
      </c>
      <c r="F27" s="76">
        <v>46239.6489814815</v>
      </c>
      <c r="G27" s="76">
        <v>46237.6492013889</v>
      </c>
      <c r="H27" s="77" t="s">
        <v>76</v>
      </c>
      <c r="I27" s="82">
        <v>12000</v>
      </c>
      <c r="J27" s="79" t="s">
        <v>72</v>
      </c>
      <c r="K27" s="80" t="s">
        <v>73</v>
      </c>
      <c r="L27" s="76">
        <v>46093.6758101852</v>
      </c>
      <c r="M27" s="76">
        <v>46097.6933217593</v>
      </c>
      <c r="N27" s="81" t="s">
        <v>74</v>
      </c>
      <c r="O27" s="76">
        <v>46100.8336226852</v>
      </c>
      <c r="P27" s="76">
        <v>46099.8338541667</v>
      </c>
      <c r="Q27" s="75" t="s">
        <v>70</v>
      </c>
      <c r="R27" s="76">
        <v>46104.8821875</v>
      </c>
      <c r="S27" s="76">
        <v>46103.8824074074</v>
      </c>
      <c r="T27" s="81" t="s">
        <v>74</v>
      </c>
      <c r="U27" s="76">
        <v>46144.8337268519</v>
      </c>
      <c r="V27" s="76">
        <v>46143.8339467593</v>
      </c>
    </row>
    <row r="28" s="59" customFormat="1" spans="1:22">
      <c r="A28" s="74">
        <v>27</v>
      </c>
      <c r="B28" s="66" t="s">
        <v>67</v>
      </c>
      <c r="C28" s="67" t="s">
        <v>68</v>
      </c>
      <c r="D28" s="67" t="s">
        <v>102</v>
      </c>
      <c r="E28" s="75" t="s">
        <v>70</v>
      </c>
      <c r="F28" s="76">
        <v>46239.6525578704</v>
      </c>
      <c r="G28" s="76">
        <v>46237.6527777778</v>
      </c>
      <c r="H28" s="77" t="s">
        <v>76</v>
      </c>
      <c r="I28" s="82">
        <v>12000</v>
      </c>
      <c r="J28" s="79" t="s">
        <v>72</v>
      </c>
      <c r="K28" s="80" t="s">
        <v>73</v>
      </c>
      <c r="L28" s="76">
        <v>46093.6758333333</v>
      </c>
      <c r="M28" s="76">
        <v>46097.6936805556</v>
      </c>
      <c r="N28" s="81" t="s">
        <v>74</v>
      </c>
      <c r="O28" s="76">
        <v>46100.8336226852</v>
      </c>
      <c r="P28" s="76">
        <v>46099.8338541667</v>
      </c>
      <c r="Q28" s="75" t="s">
        <v>70</v>
      </c>
      <c r="R28" s="76">
        <v>46104.8821875</v>
      </c>
      <c r="S28" s="76">
        <v>46103.8824074074</v>
      </c>
      <c r="T28" s="81" t="s">
        <v>74</v>
      </c>
      <c r="U28" s="76">
        <v>46144.8337268519</v>
      </c>
      <c r="V28" s="76">
        <v>46143.8339467593</v>
      </c>
    </row>
    <row r="29" s="59" customFormat="1" spans="1:22">
      <c r="A29" s="74">
        <v>28</v>
      </c>
      <c r="B29" s="66" t="s">
        <v>67</v>
      </c>
      <c r="C29" s="67" t="s">
        <v>68</v>
      </c>
      <c r="D29" s="67" t="s">
        <v>103</v>
      </c>
      <c r="E29" s="75" t="s">
        <v>70</v>
      </c>
      <c r="F29" s="76">
        <v>46239.6596643518</v>
      </c>
      <c r="G29" s="76">
        <v>46237.6598958333</v>
      </c>
      <c r="H29" s="77" t="s">
        <v>76</v>
      </c>
      <c r="I29" s="82">
        <v>12000</v>
      </c>
      <c r="J29" s="68" t="s">
        <v>72</v>
      </c>
      <c r="K29" s="80" t="s">
        <v>73</v>
      </c>
      <c r="L29" s="76">
        <v>46102.7259375</v>
      </c>
      <c r="M29" s="76">
        <v>46104.7363773148</v>
      </c>
      <c r="N29" s="81" t="s">
        <v>74</v>
      </c>
      <c r="O29" s="76">
        <v>46157.8334837963</v>
      </c>
      <c r="P29" s="76">
        <v>46156.8336921296</v>
      </c>
    </row>
    <row r="30" s="59" customFormat="1" spans="1:22">
      <c r="A30" s="74">
        <v>29</v>
      </c>
      <c r="B30" s="66" t="s">
        <v>67</v>
      </c>
      <c r="C30" s="67" t="s">
        <v>68</v>
      </c>
      <c r="D30" s="67" t="s">
        <v>104</v>
      </c>
      <c r="E30" s="75" t="s">
        <v>70</v>
      </c>
      <c r="F30" s="76">
        <v>46236.4528009259</v>
      </c>
      <c r="G30" s="76">
        <v>46234.4530324074</v>
      </c>
      <c r="H30" s="77" t="s">
        <v>76</v>
      </c>
      <c r="I30" s="82">
        <v>12000</v>
      </c>
      <c r="J30" s="79" t="s">
        <v>72</v>
      </c>
      <c r="K30" s="80" t="s">
        <v>73</v>
      </c>
      <c r="L30" s="76">
        <v>46093.6758101852</v>
      </c>
      <c r="M30" s="76">
        <v>46097.693912037</v>
      </c>
      <c r="N30" s="81" t="s">
        <v>74</v>
      </c>
      <c r="O30" s="76">
        <v>46100.8336226852</v>
      </c>
      <c r="P30" s="76">
        <v>46099.8338541667</v>
      </c>
      <c r="Q30" s="75" t="s">
        <v>70</v>
      </c>
      <c r="R30" s="76">
        <v>46104.8821875</v>
      </c>
      <c r="S30" s="76">
        <v>46103.8824074074</v>
      </c>
      <c r="T30" s="81" t="s">
        <v>74</v>
      </c>
      <c r="U30" s="76">
        <v>46144.8337268519</v>
      </c>
      <c r="V30" s="76">
        <v>46143.8339467593</v>
      </c>
    </row>
    <row r="31" s="59" customFormat="1" spans="1:22">
      <c r="A31" s="74">
        <v>30</v>
      </c>
      <c r="B31" s="66" t="s">
        <v>67</v>
      </c>
      <c r="C31" s="67" t="s">
        <v>68</v>
      </c>
      <c r="D31" s="67" t="s">
        <v>105</v>
      </c>
      <c r="E31" s="75" t="s">
        <v>70</v>
      </c>
      <c r="F31" s="76">
        <v>46236.4597453704</v>
      </c>
      <c r="G31" s="76">
        <v>46234.4599768519</v>
      </c>
      <c r="H31" s="77" t="s">
        <v>76</v>
      </c>
      <c r="I31" s="82">
        <v>12000</v>
      </c>
      <c r="J31" s="79" t="s">
        <v>72</v>
      </c>
      <c r="K31" s="80" t="s">
        <v>73</v>
      </c>
      <c r="L31" s="76">
        <v>46093.6758101852</v>
      </c>
      <c r="M31" s="76">
        <v>46097.6940625</v>
      </c>
      <c r="N31" s="81" t="s">
        <v>74</v>
      </c>
      <c r="O31" s="76">
        <v>46100.8336226852</v>
      </c>
      <c r="P31" s="76">
        <v>46099.8338541667</v>
      </c>
      <c r="Q31" s="75" t="s">
        <v>70</v>
      </c>
      <c r="R31" s="76">
        <v>46104.8821875</v>
      </c>
      <c r="S31" s="76">
        <v>46103.8824074074</v>
      </c>
      <c r="T31" s="81" t="s">
        <v>74</v>
      </c>
      <c r="U31" s="76">
        <v>46144.8337268519</v>
      </c>
      <c r="V31" s="76">
        <v>46143.8339467593</v>
      </c>
    </row>
    <row r="32" s="59" customFormat="1" spans="1:22">
      <c r="A32" s="74">
        <v>31</v>
      </c>
      <c r="B32" s="66" t="s">
        <v>67</v>
      </c>
      <c r="C32" s="67" t="s">
        <v>68</v>
      </c>
      <c r="D32" s="67" t="s">
        <v>106</v>
      </c>
      <c r="E32" s="75" t="s">
        <v>70</v>
      </c>
      <c r="F32" s="76">
        <v>46236.4692361111</v>
      </c>
      <c r="G32" s="76">
        <v>46234.4694560185</v>
      </c>
      <c r="H32" s="77" t="s">
        <v>76</v>
      </c>
      <c r="I32" s="82">
        <v>12000</v>
      </c>
      <c r="J32" s="68" t="s">
        <v>72</v>
      </c>
      <c r="K32" s="80" t="s">
        <v>73</v>
      </c>
      <c r="L32" s="76">
        <v>46102.7259375</v>
      </c>
      <c r="M32" s="76">
        <v>46104.7364583333</v>
      </c>
      <c r="N32" s="81" t="s">
        <v>74</v>
      </c>
      <c r="O32" s="76">
        <v>46143.8336805556</v>
      </c>
      <c r="P32" s="76">
        <v>46142.833900463</v>
      </c>
    </row>
    <row r="33" s="59" customFormat="1" spans="1:22">
      <c r="A33" s="74">
        <v>32</v>
      </c>
      <c r="B33" s="66" t="s">
        <v>67</v>
      </c>
      <c r="C33" s="67" t="s">
        <v>68</v>
      </c>
      <c r="D33" s="67" t="s">
        <v>107</v>
      </c>
      <c r="E33" s="75" t="s">
        <v>70</v>
      </c>
      <c r="F33" s="76">
        <v>46104.8821875</v>
      </c>
      <c r="G33" s="76">
        <v>46103.8824074074</v>
      </c>
      <c r="H33" s="77" t="s">
        <v>76</v>
      </c>
      <c r="I33" s="82">
        <v>12000</v>
      </c>
      <c r="J33" s="79" t="s">
        <v>72</v>
      </c>
      <c r="K33" s="80" t="s">
        <v>73</v>
      </c>
      <c r="L33" s="76">
        <v>46093.6758333333</v>
      </c>
      <c r="M33" s="76">
        <v>46097.696412037</v>
      </c>
      <c r="N33" s="81" t="s">
        <v>74</v>
      </c>
      <c r="O33" s="76">
        <v>46100.8336226852</v>
      </c>
      <c r="P33" s="76">
        <v>46099.8338541667</v>
      </c>
    </row>
    <row r="34" s="59" customFormat="1" spans="1:22">
      <c r="A34" s="74">
        <v>33</v>
      </c>
      <c r="B34" s="66" t="s">
        <v>67</v>
      </c>
      <c r="C34" s="67" t="s">
        <v>68</v>
      </c>
      <c r="D34" s="67" t="s">
        <v>108</v>
      </c>
      <c r="E34" s="81" t="s">
        <v>74</v>
      </c>
      <c r="F34" s="76">
        <v>46143.8336805556</v>
      </c>
      <c r="G34" s="76">
        <v>46142.833900463</v>
      </c>
      <c r="H34" s="77" t="s">
        <v>76</v>
      </c>
      <c r="I34" s="82">
        <v>12000</v>
      </c>
      <c r="J34" s="79" t="s">
        <v>72</v>
      </c>
      <c r="K34" s="80" t="s">
        <v>73</v>
      </c>
      <c r="L34" s="76">
        <v>46093.6758101852</v>
      </c>
      <c r="M34" s="76">
        <v>46097.6965046296</v>
      </c>
      <c r="N34" s="81" t="s">
        <v>74</v>
      </c>
      <c r="O34" s="76">
        <v>46100.8336226852</v>
      </c>
      <c r="P34" s="76">
        <v>46099.8338541667</v>
      </c>
      <c r="Q34" s="75" t="s">
        <v>70</v>
      </c>
      <c r="R34" s="76">
        <v>46104.8821875</v>
      </c>
      <c r="S34" s="76">
        <v>46103.8824074074</v>
      </c>
    </row>
    <row r="35" s="59" customFormat="1" spans="1:22">
      <c r="A35" s="74">
        <v>34</v>
      </c>
      <c r="B35" s="66" t="s">
        <v>67</v>
      </c>
      <c r="C35" s="67" t="s">
        <v>68</v>
      </c>
      <c r="D35" s="67" t="s">
        <v>109</v>
      </c>
      <c r="E35" s="80" t="s">
        <v>73</v>
      </c>
      <c r="F35" s="76">
        <v>46102.7259375</v>
      </c>
      <c r="G35" s="76">
        <v>46104.7365393518</v>
      </c>
      <c r="H35" s="77" t="s">
        <v>76</v>
      </c>
      <c r="I35" s="82">
        <v>12000</v>
      </c>
      <c r="J35" s="68" t="s">
        <v>72</v>
      </c>
      <c r="K35" s="85"/>
      <c r="L35" s="86"/>
      <c r="M35" s="87"/>
    </row>
    <row r="36" s="59" customFormat="1" spans="1:22">
      <c r="A36" s="74">
        <v>35</v>
      </c>
      <c r="B36" s="66" t="s">
        <v>67</v>
      </c>
      <c r="C36" s="67" t="s">
        <v>68</v>
      </c>
      <c r="D36" s="67" t="s">
        <v>110</v>
      </c>
      <c r="E36" s="75" t="s">
        <v>70</v>
      </c>
      <c r="F36" s="76">
        <v>46104.8821875</v>
      </c>
      <c r="G36" s="76">
        <v>46103.8824074074</v>
      </c>
      <c r="H36" s="77" t="s">
        <v>76</v>
      </c>
      <c r="I36" s="82">
        <v>12000</v>
      </c>
      <c r="J36" s="79" t="s">
        <v>72</v>
      </c>
      <c r="K36" s="80" t="s">
        <v>73</v>
      </c>
      <c r="L36" s="76">
        <v>46093.6758333333</v>
      </c>
      <c r="M36" s="76">
        <v>46097.6971643519</v>
      </c>
      <c r="N36" s="81" t="s">
        <v>74</v>
      </c>
      <c r="O36" s="76">
        <v>46100.8336226852</v>
      </c>
      <c r="P36" s="76">
        <v>46099.8338541667</v>
      </c>
    </row>
    <row r="37" s="59" customFormat="1" spans="1:22">
      <c r="A37" s="74">
        <v>36</v>
      </c>
      <c r="B37" s="66" t="s">
        <v>67</v>
      </c>
      <c r="C37" s="67" t="s">
        <v>68</v>
      </c>
      <c r="D37" s="67" t="s">
        <v>111</v>
      </c>
      <c r="E37" s="75" t="s">
        <v>70</v>
      </c>
      <c r="F37" s="76">
        <v>46104.8821875</v>
      </c>
      <c r="G37" s="76">
        <v>46103.8824074074</v>
      </c>
      <c r="H37" s="77" t="s">
        <v>76</v>
      </c>
      <c r="I37" s="82">
        <v>12000</v>
      </c>
      <c r="J37" s="79" t="s">
        <v>72</v>
      </c>
      <c r="K37" s="80" t="s">
        <v>73</v>
      </c>
      <c r="L37" s="76">
        <v>46093.6758217593</v>
      </c>
      <c r="M37" s="76">
        <v>46097.6979398148</v>
      </c>
      <c r="N37" s="81" t="s">
        <v>74</v>
      </c>
      <c r="O37" s="76">
        <v>46100.8336226852</v>
      </c>
      <c r="P37" s="76">
        <v>46099.8338541667</v>
      </c>
    </row>
    <row r="38" s="59" customFormat="1" spans="1:22">
      <c r="A38" s="74">
        <v>37</v>
      </c>
      <c r="B38" s="66" t="s">
        <v>67</v>
      </c>
      <c r="C38" s="67" t="s">
        <v>68</v>
      </c>
      <c r="D38" s="67" t="s">
        <v>112</v>
      </c>
      <c r="E38" s="80" t="s">
        <v>73</v>
      </c>
      <c r="F38" s="76">
        <v>46102.7259375</v>
      </c>
      <c r="G38" s="76">
        <v>46104.7367708333</v>
      </c>
      <c r="H38" s="77" t="s">
        <v>76</v>
      </c>
      <c r="I38" s="82">
        <v>12000</v>
      </c>
      <c r="J38" s="68" t="s">
        <v>72</v>
      </c>
      <c r="K38" s="85"/>
      <c r="L38" s="86"/>
      <c r="M38" s="87"/>
    </row>
    <row r="39" s="59" customFormat="1" spans="1:22">
      <c r="A39" s="74">
        <v>38</v>
      </c>
      <c r="B39" s="66" t="s">
        <v>67</v>
      </c>
      <c r="C39" s="67" t="s">
        <v>68</v>
      </c>
      <c r="D39" s="67" t="s">
        <v>113</v>
      </c>
      <c r="E39" s="75" t="s">
        <v>70</v>
      </c>
      <c r="F39" s="76">
        <v>46104.8821875</v>
      </c>
      <c r="G39" s="76">
        <v>46103.8824074074</v>
      </c>
      <c r="H39" s="77" t="s">
        <v>76</v>
      </c>
      <c r="I39" s="82">
        <v>12000</v>
      </c>
      <c r="J39" s="79" t="s">
        <v>72</v>
      </c>
      <c r="K39" s="80" t="s">
        <v>73</v>
      </c>
      <c r="L39" s="76">
        <v>46093.6758449074</v>
      </c>
      <c r="M39" s="76">
        <v>46097.6980671296</v>
      </c>
      <c r="N39" s="81" t="s">
        <v>74</v>
      </c>
      <c r="O39" s="76">
        <v>46100.8336226852</v>
      </c>
      <c r="P39" s="76">
        <v>46099.8338541667</v>
      </c>
    </row>
    <row r="40" s="59" customFormat="1" spans="1:22">
      <c r="A40" s="74">
        <v>39</v>
      </c>
      <c r="B40" s="66" t="s">
        <v>67</v>
      </c>
      <c r="C40" s="67" t="s">
        <v>68</v>
      </c>
      <c r="D40" s="67" t="s">
        <v>114</v>
      </c>
      <c r="E40" s="75" t="s">
        <v>70</v>
      </c>
      <c r="F40" s="76">
        <v>46104.8821875</v>
      </c>
      <c r="G40" s="76">
        <v>46103.8824074074</v>
      </c>
      <c r="H40" s="77" t="s">
        <v>76</v>
      </c>
      <c r="I40" s="82">
        <v>12000</v>
      </c>
      <c r="J40" s="79" t="s">
        <v>72</v>
      </c>
      <c r="K40" s="80" t="s">
        <v>73</v>
      </c>
      <c r="L40" s="76">
        <v>46093.6758101852</v>
      </c>
      <c r="M40" s="76">
        <v>46097.6982060185</v>
      </c>
      <c r="N40" s="81" t="s">
        <v>74</v>
      </c>
      <c r="O40" s="76">
        <v>46100.8336226852</v>
      </c>
      <c r="P40" s="76">
        <v>46099.8338541667</v>
      </c>
    </row>
    <row r="41" s="59" customFormat="1" spans="1:22">
      <c r="A41" s="74">
        <v>40</v>
      </c>
      <c r="B41" s="66" t="s">
        <v>67</v>
      </c>
      <c r="C41" s="67" t="s">
        <v>68</v>
      </c>
      <c r="D41" s="67" t="s">
        <v>115</v>
      </c>
      <c r="E41" s="80" t="s">
        <v>73</v>
      </c>
      <c r="F41" s="76">
        <v>46102.7259375</v>
      </c>
      <c r="G41" s="76">
        <v>46104.7368634259</v>
      </c>
      <c r="H41" s="77" t="s">
        <v>76</v>
      </c>
      <c r="I41" s="82">
        <v>12000</v>
      </c>
      <c r="J41" s="68" t="s">
        <v>72</v>
      </c>
      <c r="K41" s="85"/>
      <c r="L41" s="89"/>
      <c r="M41" s="89"/>
      <c r="O41" s="89"/>
      <c r="P41" s="89"/>
      <c r="Q41" s="84"/>
      <c r="R41" s="89"/>
      <c r="S41" s="89"/>
    </row>
    <row r="42" s="59" customFormat="1" spans="1:22">
      <c r="A42" s="74">
        <v>41</v>
      </c>
      <c r="B42" s="66" t="s">
        <v>67</v>
      </c>
      <c r="C42" s="67" t="s">
        <v>68</v>
      </c>
      <c r="D42" s="67" t="s">
        <v>116</v>
      </c>
      <c r="E42" s="88"/>
      <c r="F42" s="89"/>
      <c r="G42" s="89"/>
      <c r="H42" s="77" t="s">
        <v>76</v>
      </c>
      <c r="I42" s="82">
        <v>12000</v>
      </c>
      <c r="J42" s="84"/>
      <c r="K42" s="85"/>
      <c r="L42" s="89"/>
      <c r="M42" s="89"/>
      <c r="O42" s="89"/>
      <c r="P42" s="89"/>
      <c r="Q42" s="84"/>
      <c r="R42" s="89"/>
      <c r="S42" s="89"/>
    </row>
    <row r="43" s="59" customFormat="1" spans="1:22">
      <c r="A43" s="74">
        <v>42</v>
      </c>
      <c r="B43" s="66" t="s">
        <v>67</v>
      </c>
      <c r="C43" s="67" t="s">
        <v>68</v>
      </c>
      <c r="D43" s="67" t="s">
        <v>117</v>
      </c>
      <c r="E43" s="88"/>
      <c r="F43" s="89"/>
      <c r="G43" s="89"/>
      <c r="H43" s="77" t="s">
        <v>76</v>
      </c>
      <c r="I43" s="82">
        <v>12000</v>
      </c>
      <c r="J43" s="84"/>
      <c r="K43" s="85"/>
      <c r="L43" s="89"/>
      <c r="M43" s="89"/>
      <c r="O43" s="89"/>
      <c r="P43" s="89"/>
      <c r="Q43" s="84"/>
      <c r="R43" s="89"/>
      <c r="S43" s="89"/>
    </row>
    <row r="44" s="59" customFormat="1" spans="1:22">
      <c r="A44" s="74">
        <v>43</v>
      </c>
      <c r="B44" s="66" t="s">
        <v>67</v>
      </c>
      <c r="C44" s="67" t="s">
        <v>68</v>
      </c>
      <c r="D44" s="67" t="s">
        <v>118</v>
      </c>
      <c r="E44" s="88"/>
      <c r="F44" s="89"/>
      <c r="G44" s="89"/>
      <c r="H44" s="77" t="s">
        <v>76</v>
      </c>
      <c r="I44" s="82">
        <v>12000</v>
      </c>
      <c r="J44" s="84"/>
      <c r="K44" s="85"/>
      <c r="L44" s="89"/>
      <c r="M44" s="89"/>
      <c r="O44" s="89"/>
      <c r="P44" s="89"/>
      <c r="Q44" s="84"/>
      <c r="R44" s="89"/>
      <c r="S44" s="89"/>
    </row>
    <row r="45" s="59" customFormat="1" spans="1:22">
      <c r="A45" s="74">
        <v>44</v>
      </c>
      <c r="B45" s="66" t="s">
        <v>67</v>
      </c>
      <c r="C45" s="67" t="s">
        <v>68</v>
      </c>
      <c r="D45" s="67" t="s">
        <v>119</v>
      </c>
      <c r="E45" s="88"/>
      <c r="F45" s="89"/>
      <c r="G45" s="89"/>
      <c r="H45" s="77" t="s">
        <v>76</v>
      </c>
      <c r="I45" s="82">
        <v>12000</v>
      </c>
      <c r="J45" s="84"/>
      <c r="K45" s="85"/>
      <c r="L45" s="89"/>
      <c r="M45" s="89"/>
      <c r="O45" s="89"/>
      <c r="P45" s="89"/>
      <c r="Q45" s="84"/>
      <c r="R45" s="89"/>
      <c r="S45" s="89"/>
    </row>
    <row r="46" s="59" customFormat="1" spans="1:22">
      <c r="A46" s="74">
        <v>45</v>
      </c>
      <c r="B46" s="66" t="s">
        <v>67</v>
      </c>
      <c r="C46" s="67" t="s">
        <v>68</v>
      </c>
      <c r="D46" s="59" t="s">
        <v>120</v>
      </c>
      <c r="E46" s="75" t="s">
        <v>70</v>
      </c>
      <c r="F46" s="76">
        <v>46235.5209027778</v>
      </c>
      <c r="G46" s="76">
        <v>46233.5211342593</v>
      </c>
      <c r="H46" s="77" t="s">
        <v>71</v>
      </c>
      <c r="I46" s="78">
        <v>16000</v>
      </c>
      <c r="J46" s="68" t="s">
        <v>72</v>
      </c>
      <c r="K46" s="80" t="s">
        <v>73</v>
      </c>
      <c r="L46" s="76">
        <v>46102.7259375</v>
      </c>
      <c r="M46" s="76">
        <v>46104.7375810185</v>
      </c>
      <c r="N46" s="81" t="s">
        <v>74</v>
      </c>
      <c r="O46" s="76">
        <v>46144.8337268519</v>
      </c>
      <c r="P46" s="76">
        <v>46143.8339467593</v>
      </c>
    </row>
    <row r="47" s="59" customFormat="1" spans="1:22">
      <c r="A47" s="74">
        <v>46</v>
      </c>
      <c r="B47" s="66" t="s">
        <v>67</v>
      </c>
      <c r="C47" s="67" t="s">
        <v>68</v>
      </c>
      <c r="D47" s="59" t="s">
        <v>121</v>
      </c>
      <c r="E47" s="75" t="s">
        <v>70</v>
      </c>
      <c r="F47" s="76">
        <v>46235.5244097222</v>
      </c>
      <c r="G47" s="76">
        <v>46233.5246296296</v>
      </c>
      <c r="H47" s="77" t="s">
        <v>76</v>
      </c>
      <c r="I47" s="82">
        <v>12000</v>
      </c>
      <c r="J47" s="79" t="s">
        <v>72</v>
      </c>
      <c r="K47" s="80" t="s">
        <v>73</v>
      </c>
      <c r="L47" s="76">
        <v>46093.6758217593</v>
      </c>
      <c r="M47" s="76">
        <v>46097.70125</v>
      </c>
      <c r="N47" s="81" t="s">
        <v>74</v>
      </c>
      <c r="O47" s="76">
        <v>46100.8336226852</v>
      </c>
      <c r="P47" s="76">
        <v>46099.8338541667</v>
      </c>
      <c r="Q47" s="75" t="s">
        <v>70</v>
      </c>
      <c r="R47" s="76">
        <v>46104.8821875</v>
      </c>
      <c r="S47" s="76">
        <v>46103.8824074074</v>
      </c>
      <c r="T47" s="81" t="s">
        <v>74</v>
      </c>
      <c r="U47" s="76">
        <v>46144.8337268519</v>
      </c>
      <c r="V47" s="76">
        <v>46143.8339467593</v>
      </c>
    </row>
    <row r="48" s="59" customFormat="1" spans="1:22">
      <c r="A48" s="74">
        <v>47</v>
      </c>
      <c r="B48" s="66" t="s">
        <v>67</v>
      </c>
      <c r="C48" s="67" t="s">
        <v>68</v>
      </c>
      <c r="D48" s="59" t="s">
        <v>122</v>
      </c>
      <c r="E48" s="75" t="s">
        <v>70</v>
      </c>
      <c r="F48" s="76">
        <v>46236.7596412037</v>
      </c>
      <c r="G48" s="76">
        <v>46234.7598611111</v>
      </c>
      <c r="H48" s="77" t="s">
        <v>76</v>
      </c>
      <c r="I48" s="82">
        <v>12000</v>
      </c>
      <c r="J48" s="79" t="s">
        <v>72</v>
      </c>
      <c r="K48" s="80" t="s">
        <v>73</v>
      </c>
      <c r="L48" s="76">
        <v>46093.6758101852</v>
      </c>
      <c r="M48" s="76">
        <v>46097.7013425926</v>
      </c>
      <c r="N48" s="81" t="s">
        <v>74</v>
      </c>
      <c r="O48" s="76">
        <v>46100.8336226852</v>
      </c>
      <c r="P48" s="76">
        <v>46099.8338541667</v>
      </c>
      <c r="Q48" s="75" t="s">
        <v>70</v>
      </c>
      <c r="R48" s="76">
        <v>46104.8821875</v>
      </c>
      <c r="S48" s="76">
        <v>46103.8824074074</v>
      </c>
      <c r="T48" s="81" t="s">
        <v>74</v>
      </c>
      <c r="U48" s="76">
        <v>46143.8336805556</v>
      </c>
      <c r="V48" s="76">
        <v>46142.833900463</v>
      </c>
    </row>
    <row r="49" s="59" customFormat="1" spans="1:22">
      <c r="A49" s="74">
        <v>48</v>
      </c>
      <c r="B49" s="66" t="s">
        <v>67</v>
      </c>
      <c r="C49" s="67" t="s">
        <v>68</v>
      </c>
      <c r="D49" s="59" t="s">
        <v>123</v>
      </c>
      <c r="E49" s="80" t="s">
        <v>73</v>
      </c>
      <c r="F49" s="76">
        <v>46102.7259375</v>
      </c>
      <c r="G49" s="76">
        <v>46104.737662037</v>
      </c>
      <c r="H49" s="77" t="s">
        <v>76</v>
      </c>
      <c r="I49" s="82">
        <v>12000</v>
      </c>
      <c r="J49" s="68" t="s">
        <v>72</v>
      </c>
      <c r="K49" s="85"/>
      <c r="L49" s="89"/>
      <c r="M49" s="89"/>
    </row>
    <row r="50" s="59" customFormat="1" spans="1:22">
      <c r="A50" s="74">
        <v>49</v>
      </c>
      <c r="B50" s="66" t="s">
        <v>67</v>
      </c>
      <c r="C50" s="67" t="s">
        <v>68</v>
      </c>
      <c r="D50" s="59" t="s">
        <v>124</v>
      </c>
      <c r="E50" s="75" t="s">
        <v>70</v>
      </c>
      <c r="F50" s="76">
        <v>46236.7596412037</v>
      </c>
      <c r="G50" s="76">
        <v>46234.7598726852</v>
      </c>
      <c r="H50" s="77" t="s">
        <v>76</v>
      </c>
      <c r="I50" s="82">
        <v>12000</v>
      </c>
      <c r="J50" s="79" t="s">
        <v>72</v>
      </c>
      <c r="K50" s="80" t="s">
        <v>73</v>
      </c>
      <c r="L50" s="76">
        <v>46093.6757986111</v>
      </c>
      <c r="M50" s="76">
        <v>46097.7014583333</v>
      </c>
      <c r="N50" s="81" t="s">
        <v>74</v>
      </c>
      <c r="O50" s="76">
        <v>46100.8336226852</v>
      </c>
      <c r="P50" s="76">
        <v>46099.8338541667</v>
      </c>
      <c r="Q50" s="75" t="s">
        <v>70</v>
      </c>
      <c r="R50" s="76">
        <v>46104.8821875</v>
      </c>
      <c r="S50" s="76">
        <v>46103.8824074074</v>
      </c>
      <c r="T50" s="81" t="s">
        <v>74</v>
      </c>
      <c r="U50" s="76">
        <v>46143.8336805556</v>
      </c>
      <c r="V50" s="76">
        <v>46142.833900463</v>
      </c>
    </row>
    <row r="51" s="59" customFormat="1" spans="1:22">
      <c r="A51" s="74">
        <v>50</v>
      </c>
      <c r="B51" s="66" t="s">
        <v>67</v>
      </c>
      <c r="C51" s="67" t="s">
        <v>68</v>
      </c>
      <c r="D51" s="59" t="s">
        <v>125</v>
      </c>
      <c r="E51" s="75" t="s">
        <v>70</v>
      </c>
      <c r="F51" s="76">
        <v>46236.7596527778</v>
      </c>
      <c r="G51" s="76">
        <v>46234.7598842593</v>
      </c>
      <c r="H51" s="77" t="s">
        <v>76</v>
      </c>
      <c r="I51" s="82">
        <v>12000</v>
      </c>
      <c r="J51" s="79" t="s">
        <v>72</v>
      </c>
      <c r="K51" s="80" t="s">
        <v>73</v>
      </c>
      <c r="L51" s="76">
        <v>46093.6758333333</v>
      </c>
      <c r="M51" s="76">
        <v>46097.7050925926</v>
      </c>
      <c r="N51" s="81" t="s">
        <v>74</v>
      </c>
      <c r="O51" s="76">
        <v>46100.8336226852</v>
      </c>
      <c r="P51" s="76">
        <v>46099.8338541667</v>
      </c>
      <c r="Q51" s="75" t="s">
        <v>70</v>
      </c>
      <c r="R51" s="76">
        <v>46104.8821875</v>
      </c>
      <c r="S51" s="76">
        <v>46103.8824074074</v>
      </c>
      <c r="T51" s="81" t="s">
        <v>74</v>
      </c>
      <c r="U51" s="76">
        <v>46157.8334837963</v>
      </c>
      <c r="V51" s="76">
        <v>46156.8336921296</v>
      </c>
    </row>
    <row r="52" s="59" customFormat="1" spans="1:22">
      <c r="A52" s="74">
        <v>51</v>
      </c>
      <c r="B52" s="66" t="s">
        <v>67</v>
      </c>
      <c r="C52" s="67" t="s">
        <v>68</v>
      </c>
      <c r="D52" s="59" t="s">
        <v>126</v>
      </c>
      <c r="E52" s="75" t="s">
        <v>70</v>
      </c>
      <c r="F52" s="76">
        <v>46236.7596643519</v>
      </c>
      <c r="G52" s="76">
        <v>46234.7598842593</v>
      </c>
      <c r="H52" s="77" t="s">
        <v>76</v>
      </c>
      <c r="I52" s="82">
        <v>12000</v>
      </c>
      <c r="J52" s="68" t="s">
        <v>72</v>
      </c>
      <c r="K52" s="80" t="s">
        <v>73</v>
      </c>
      <c r="L52" s="76">
        <v>46102.7259375</v>
      </c>
      <c r="M52" s="76">
        <v>46104.7369328704</v>
      </c>
      <c r="N52" s="81" t="s">
        <v>74</v>
      </c>
      <c r="O52" s="76">
        <v>46155.8334143519</v>
      </c>
      <c r="P52" s="76">
        <v>46154.8336458333</v>
      </c>
    </row>
    <row r="53" s="59" customFormat="1" spans="1:22">
      <c r="A53" s="74">
        <v>52</v>
      </c>
      <c r="B53" s="66" t="s">
        <v>67</v>
      </c>
      <c r="C53" s="67" t="s">
        <v>68</v>
      </c>
      <c r="D53" s="59" t="s">
        <v>127</v>
      </c>
      <c r="E53" s="75" t="s">
        <v>70</v>
      </c>
      <c r="F53" s="76">
        <v>46236.7596412037</v>
      </c>
      <c r="G53" s="76">
        <v>46234.7598726852</v>
      </c>
      <c r="H53" s="77" t="s">
        <v>76</v>
      </c>
      <c r="I53" s="82">
        <v>12000</v>
      </c>
      <c r="J53" s="79" t="s">
        <v>72</v>
      </c>
      <c r="K53" s="80" t="s">
        <v>73</v>
      </c>
      <c r="L53" s="76">
        <v>46093.6758101852</v>
      </c>
      <c r="M53" s="76">
        <v>46097.7052083333</v>
      </c>
      <c r="N53" s="81" t="s">
        <v>74</v>
      </c>
      <c r="O53" s="76">
        <v>46100.8336226852</v>
      </c>
      <c r="P53" s="76">
        <v>46099.8338541667</v>
      </c>
      <c r="Q53" s="75" t="s">
        <v>70</v>
      </c>
      <c r="R53" s="76">
        <v>46104.8821875</v>
      </c>
      <c r="S53" s="76">
        <v>46103.8824074074</v>
      </c>
      <c r="T53" s="81" t="s">
        <v>74</v>
      </c>
      <c r="U53" s="76">
        <v>46144.8337268519</v>
      </c>
      <c r="V53" s="76">
        <v>46143.8339467593</v>
      </c>
    </row>
    <row r="54" s="59" customFormat="1" spans="1:22">
      <c r="A54" s="74">
        <v>53</v>
      </c>
      <c r="B54" s="66" t="s">
        <v>67</v>
      </c>
      <c r="C54" s="67" t="s">
        <v>68</v>
      </c>
      <c r="D54" s="59" t="s">
        <v>128</v>
      </c>
      <c r="E54" s="75" t="s">
        <v>70</v>
      </c>
      <c r="F54" s="76">
        <v>46236.7597222222</v>
      </c>
      <c r="G54" s="76">
        <v>46234.7599537037</v>
      </c>
      <c r="H54" s="77" t="s">
        <v>76</v>
      </c>
      <c r="I54" s="82">
        <v>12000</v>
      </c>
      <c r="J54" s="79" t="s">
        <v>72</v>
      </c>
      <c r="K54" s="80" t="s">
        <v>73</v>
      </c>
      <c r="L54" s="76">
        <v>46093.6758217593</v>
      </c>
      <c r="M54" s="76">
        <v>46097.7053009259</v>
      </c>
      <c r="N54" s="81" t="s">
        <v>74</v>
      </c>
      <c r="O54" s="76">
        <v>46100.8336226852</v>
      </c>
      <c r="P54" s="76">
        <v>46099.8338541667</v>
      </c>
      <c r="Q54" s="75" t="s">
        <v>70</v>
      </c>
      <c r="R54" s="76">
        <v>46104.8821875</v>
      </c>
      <c r="S54" s="76">
        <v>46103.8824074074</v>
      </c>
      <c r="T54" s="81" t="s">
        <v>74</v>
      </c>
      <c r="U54" s="76">
        <v>46143.8336805556</v>
      </c>
      <c r="V54" s="76">
        <v>46142.833900463</v>
      </c>
    </row>
    <row r="55" s="59" customFormat="1" spans="1:22">
      <c r="A55" s="74">
        <v>54</v>
      </c>
      <c r="B55" s="66" t="s">
        <v>67</v>
      </c>
      <c r="C55" s="67" t="s">
        <v>68</v>
      </c>
      <c r="D55" s="59" t="s">
        <v>129</v>
      </c>
      <c r="E55" s="75" t="s">
        <v>70</v>
      </c>
      <c r="F55" s="76">
        <v>46240.4958449074</v>
      </c>
      <c r="G55" s="76">
        <v>46238.4960763889</v>
      </c>
      <c r="H55" s="77" t="s">
        <v>76</v>
      </c>
      <c r="I55" s="82">
        <v>12000</v>
      </c>
      <c r="J55" s="68" t="s">
        <v>72</v>
      </c>
      <c r="K55" s="80" t="s">
        <v>73</v>
      </c>
      <c r="L55" s="76">
        <v>46102.7259375</v>
      </c>
      <c r="M55" s="76">
        <v>46104.7377199074</v>
      </c>
      <c r="N55" s="81" t="s">
        <v>74</v>
      </c>
      <c r="O55" s="76">
        <v>46144.8337268519</v>
      </c>
      <c r="P55" s="76">
        <v>46143.8339467593</v>
      </c>
    </row>
    <row r="56" s="59" customFormat="1" spans="1:22">
      <c r="A56" s="74">
        <v>55</v>
      </c>
      <c r="B56" s="66" t="s">
        <v>67</v>
      </c>
      <c r="C56" s="67" t="s">
        <v>68</v>
      </c>
      <c r="D56" s="59" t="s">
        <v>130</v>
      </c>
      <c r="E56" s="75" t="s">
        <v>70</v>
      </c>
      <c r="F56" s="76">
        <v>46240.6795023148</v>
      </c>
      <c r="G56" s="76">
        <v>46238.6797222222</v>
      </c>
      <c r="H56" s="77" t="s">
        <v>76</v>
      </c>
      <c r="I56" s="82">
        <v>12000</v>
      </c>
      <c r="J56" s="79" t="s">
        <v>72</v>
      </c>
      <c r="K56" s="80" t="s">
        <v>73</v>
      </c>
      <c r="L56" s="76">
        <v>46093.6758101852</v>
      </c>
      <c r="M56" s="76">
        <v>46097.7053935185</v>
      </c>
      <c r="N56" s="81" t="s">
        <v>74</v>
      </c>
      <c r="O56" s="76">
        <v>46100.8336226852</v>
      </c>
      <c r="P56" s="76">
        <v>46099.8338541667</v>
      </c>
      <c r="Q56" s="75" t="s">
        <v>70</v>
      </c>
      <c r="R56" s="76">
        <v>46104.8821875</v>
      </c>
      <c r="S56" s="76">
        <v>46103.8824074074</v>
      </c>
      <c r="T56" s="81" t="s">
        <v>74</v>
      </c>
      <c r="U56" s="76">
        <v>46144.8337268519</v>
      </c>
      <c r="V56" s="76">
        <v>46143.8339467593</v>
      </c>
    </row>
    <row r="57" s="59" customFormat="1" spans="1:22">
      <c r="A57" s="74">
        <v>56</v>
      </c>
      <c r="B57" s="66" t="s">
        <v>67</v>
      </c>
      <c r="C57" s="67" t="s">
        <v>68</v>
      </c>
      <c r="D57" s="59" t="s">
        <v>131</v>
      </c>
      <c r="E57" s="75" t="s">
        <v>70</v>
      </c>
      <c r="F57" s="76">
        <v>46240.6830671296</v>
      </c>
      <c r="G57" s="76">
        <v>46238.6833912037</v>
      </c>
      <c r="H57" s="77" t="s">
        <v>76</v>
      </c>
      <c r="I57" s="82">
        <v>12000</v>
      </c>
      <c r="J57" s="79" t="s">
        <v>72</v>
      </c>
      <c r="K57" s="80" t="s">
        <v>73</v>
      </c>
      <c r="L57" s="76">
        <v>46093.6758217593</v>
      </c>
      <c r="M57" s="76">
        <v>46097.7103356481</v>
      </c>
      <c r="N57" s="81" t="s">
        <v>74</v>
      </c>
      <c r="O57" s="76">
        <v>46100.8336226852</v>
      </c>
      <c r="P57" s="76">
        <v>46099.8338541667</v>
      </c>
      <c r="Q57" s="75" t="s">
        <v>70</v>
      </c>
      <c r="R57" s="76">
        <v>46104.8821875</v>
      </c>
      <c r="S57" s="76">
        <v>46103.8824074074</v>
      </c>
      <c r="T57" s="81" t="s">
        <v>74</v>
      </c>
      <c r="U57" s="76">
        <v>46155.8334143519</v>
      </c>
      <c r="V57" s="76">
        <v>46154.8336458333</v>
      </c>
    </row>
    <row r="58" s="59" customFormat="1" spans="1:22">
      <c r="A58" s="74">
        <v>57</v>
      </c>
      <c r="B58" s="66" t="s">
        <v>67</v>
      </c>
      <c r="C58" s="67" t="s">
        <v>68</v>
      </c>
      <c r="D58" s="59" t="s">
        <v>132</v>
      </c>
      <c r="E58" s="75" t="s">
        <v>70</v>
      </c>
      <c r="F58" s="76">
        <v>46240.6830671296</v>
      </c>
      <c r="G58" s="76">
        <v>46238.683287037</v>
      </c>
      <c r="H58" s="77" t="s">
        <v>76</v>
      </c>
      <c r="I58" s="82">
        <v>12000</v>
      </c>
      <c r="J58" s="68" t="s">
        <v>72</v>
      </c>
      <c r="K58" s="80" t="s">
        <v>73</v>
      </c>
      <c r="L58" s="76">
        <v>46102.7259375</v>
      </c>
      <c r="M58" s="76">
        <v>46104.7370023148</v>
      </c>
      <c r="N58" s="81" t="s">
        <v>74</v>
      </c>
      <c r="O58" s="76">
        <v>46144.8337268519</v>
      </c>
      <c r="P58" s="76">
        <v>46143.8339467593</v>
      </c>
    </row>
    <row r="59" s="59" customFormat="1" spans="1:22">
      <c r="A59" s="74">
        <v>58</v>
      </c>
      <c r="B59" s="66" t="s">
        <v>67</v>
      </c>
      <c r="C59" s="67" t="s">
        <v>68</v>
      </c>
      <c r="D59" s="59" t="s">
        <v>133</v>
      </c>
      <c r="E59" s="75" t="s">
        <v>70</v>
      </c>
      <c r="F59" s="76">
        <v>46239.7700231482</v>
      </c>
      <c r="G59" s="76">
        <v>46237.7702546296</v>
      </c>
      <c r="H59" s="77" t="s">
        <v>76</v>
      </c>
      <c r="I59" s="82">
        <v>12000</v>
      </c>
      <c r="J59" s="79" t="s">
        <v>72</v>
      </c>
      <c r="K59" s="80" t="s">
        <v>73</v>
      </c>
      <c r="L59" s="76">
        <v>46093.6758101852</v>
      </c>
      <c r="M59" s="76">
        <v>46097.7104282407</v>
      </c>
      <c r="N59" s="81" t="s">
        <v>74</v>
      </c>
      <c r="O59" s="76">
        <v>46100.8336226852</v>
      </c>
      <c r="P59" s="76">
        <v>46099.8338541667</v>
      </c>
      <c r="Q59" s="75" t="s">
        <v>70</v>
      </c>
      <c r="R59" s="76">
        <v>46104.8821875</v>
      </c>
      <c r="S59" s="76">
        <v>46103.8824074074</v>
      </c>
      <c r="T59" s="81" t="s">
        <v>74</v>
      </c>
      <c r="U59" s="76">
        <v>46144.8337268519</v>
      </c>
      <c r="V59" s="76">
        <v>46143.8339467593</v>
      </c>
    </row>
    <row r="60" s="59" customFormat="1" spans="1:22">
      <c r="A60" s="74">
        <v>59</v>
      </c>
      <c r="B60" s="66" t="s">
        <v>67</v>
      </c>
      <c r="C60" s="67" t="s">
        <v>68</v>
      </c>
      <c r="D60" s="59" t="s">
        <v>134</v>
      </c>
      <c r="E60" s="75" t="s">
        <v>70</v>
      </c>
      <c r="F60" s="76">
        <v>46240.4665740741</v>
      </c>
      <c r="G60" s="76">
        <v>46238.4667939815</v>
      </c>
      <c r="H60" s="77" t="s">
        <v>76</v>
      </c>
      <c r="I60" s="82">
        <v>12000</v>
      </c>
      <c r="J60" s="79" t="s">
        <v>72</v>
      </c>
      <c r="K60" s="80" t="s">
        <v>73</v>
      </c>
      <c r="L60" s="76">
        <v>46093.6758333333</v>
      </c>
      <c r="M60" s="76">
        <v>46097.7105324074</v>
      </c>
      <c r="N60" s="81" t="s">
        <v>74</v>
      </c>
      <c r="O60" s="76">
        <v>46100.8336226852</v>
      </c>
      <c r="P60" s="76">
        <v>46099.8338541667</v>
      </c>
      <c r="Q60" s="75" t="s">
        <v>70</v>
      </c>
      <c r="R60" s="76">
        <v>46106.6277546296</v>
      </c>
      <c r="S60" s="76">
        <v>46104.627962963</v>
      </c>
      <c r="T60" s="81" t="s">
        <v>74</v>
      </c>
      <c r="U60" s="76">
        <v>46144.8337268519</v>
      </c>
      <c r="V60" s="76">
        <v>46143.8339467593</v>
      </c>
    </row>
    <row r="61" s="59" customFormat="1" spans="1:22">
      <c r="A61" s="74">
        <v>60</v>
      </c>
      <c r="B61" s="66" t="s">
        <v>67</v>
      </c>
      <c r="C61" s="67" t="s">
        <v>68</v>
      </c>
      <c r="D61" s="59" t="s">
        <v>135</v>
      </c>
      <c r="E61" s="75" t="s">
        <v>70</v>
      </c>
      <c r="F61" s="76">
        <v>46240.6937384259</v>
      </c>
      <c r="G61" s="76">
        <v>46238.6939699074</v>
      </c>
      <c r="H61" s="77" t="s">
        <v>76</v>
      </c>
      <c r="I61" s="82">
        <v>12000</v>
      </c>
      <c r="J61" s="68" t="s">
        <v>72</v>
      </c>
      <c r="K61" s="80" t="s">
        <v>73</v>
      </c>
      <c r="L61" s="76">
        <v>46102.7259375</v>
      </c>
      <c r="M61" s="76">
        <v>46104.7370717593</v>
      </c>
      <c r="N61" s="81" t="s">
        <v>74</v>
      </c>
      <c r="O61" s="76">
        <v>46144.8337268519</v>
      </c>
      <c r="P61" s="76">
        <v>46143.8339467593</v>
      </c>
    </row>
    <row r="62" s="59" customFormat="1" spans="1:22">
      <c r="A62" s="74">
        <v>61</v>
      </c>
      <c r="B62" s="66" t="s">
        <v>67</v>
      </c>
      <c r="C62" s="67" t="s">
        <v>68</v>
      </c>
      <c r="D62" s="59" t="s">
        <v>136</v>
      </c>
      <c r="E62" s="75" t="s">
        <v>70</v>
      </c>
      <c r="F62" s="76">
        <v>46240.7008796296</v>
      </c>
      <c r="G62" s="76">
        <v>46238.701099537</v>
      </c>
      <c r="H62" s="77" t="s">
        <v>76</v>
      </c>
      <c r="I62" s="82">
        <v>12000</v>
      </c>
      <c r="J62" s="79" t="s">
        <v>72</v>
      </c>
      <c r="K62" s="80" t="s">
        <v>73</v>
      </c>
      <c r="L62" s="76">
        <v>46093.6757986111</v>
      </c>
      <c r="M62" s="76">
        <v>46097.7107638889</v>
      </c>
      <c r="N62" s="81" t="s">
        <v>74</v>
      </c>
      <c r="O62" s="76">
        <v>46100.8336226852</v>
      </c>
      <c r="P62" s="76">
        <v>46099.8338541667</v>
      </c>
      <c r="Q62" s="75" t="s">
        <v>70</v>
      </c>
      <c r="R62" s="76">
        <v>46104.8821875</v>
      </c>
      <c r="S62" s="76">
        <v>46103.8824074074</v>
      </c>
      <c r="T62" s="81" t="s">
        <v>74</v>
      </c>
      <c r="U62" s="76">
        <v>46144.8337268519</v>
      </c>
      <c r="V62" s="76">
        <v>46143.8339467593</v>
      </c>
    </row>
    <row r="63" s="59" customFormat="1" spans="1:22">
      <c r="A63" s="74">
        <v>62</v>
      </c>
      <c r="B63" s="66" t="s">
        <v>67</v>
      </c>
      <c r="C63" s="67" t="s">
        <v>68</v>
      </c>
      <c r="D63" s="59" t="s">
        <v>137</v>
      </c>
      <c r="E63" s="75" t="s">
        <v>70</v>
      </c>
      <c r="F63" s="76">
        <v>46242.6734143519</v>
      </c>
      <c r="G63" s="76">
        <v>46240.6736458333</v>
      </c>
      <c r="H63" s="77" t="s">
        <v>76</v>
      </c>
      <c r="I63" s="82">
        <v>12000</v>
      </c>
      <c r="J63" s="79" t="s">
        <v>72</v>
      </c>
      <c r="K63" s="80" t="s">
        <v>73</v>
      </c>
      <c r="L63" s="76">
        <v>46093.6758217593</v>
      </c>
      <c r="M63" s="76">
        <v>46097.7117592593</v>
      </c>
      <c r="N63" s="81" t="s">
        <v>74</v>
      </c>
      <c r="O63" s="76">
        <v>46100.8336226852</v>
      </c>
      <c r="P63" s="76">
        <v>46099.8338541667</v>
      </c>
      <c r="Q63" s="75" t="s">
        <v>70</v>
      </c>
      <c r="R63" s="76">
        <v>46104.8821875</v>
      </c>
      <c r="S63" s="76">
        <v>46103.8824074074</v>
      </c>
      <c r="T63" s="81" t="s">
        <v>74</v>
      </c>
      <c r="U63" s="76">
        <v>46144.8337268519</v>
      </c>
      <c r="V63" s="76">
        <v>46143.8339467593</v>
      </c>
    </row>
    <row r="64" s="59" customFormat="1" spans="1:22">
      <c r="A64" s="74">
        <v>63</v>
      </c>
      <c r="B64" s="66" t="s">
        <v>67</v>
      </c>
      <c r="C64" s="67" t="s">
        <v>68</v>
      </c>
      <c r="D64" s="59" t="s">
        <v>138</v>
      </c>
      <c r="E64" s="88"/>
      <c r="F64" s="89"/>
      <c r="G64" s="89"/>
      <c r="H64" s="77" t="s">
        <v>76</v>
      </c>
      <c r="I64" s="82">
        <v>12000</v>
      </c>
      <c r="J64" s="84"/>
      <c r="K64" s="85"/>
      <c r="L64" s="89"/>
      <c r="M64" s="89"/>
    </row>
    <row r="65" s="59" customFormat="1" spans="1:22">
      <c r="A65" s="74">
        <v>64</v>
      </c>
      <c r="B65" s="66" t="s">
        <v>67</v>
      </c>
      <c r="C65" s="67" t="s">
        <v>68</v>
      </c>
      <c r="D65" s="59" t="s">
        <v>139</v>
      </c>
      <c r="E65" s="88"/>
      <c r="F65" s="89"/>
      <c r="G65" s="89"/>
      <c r="H65" s="77" t="s">
        <v>76</v>
      </c>
      <c r="I65" s="82">
        <v>12000</v>
      </c>
      <c r="J65" s="84"/>
      <c r="K65" s="85"/>
      <c r="L65" s="89"/>
      <c r="M65" s="89"/>
    </row>
    <row r="66" s="59" customFormat="1" spans="1:22">
      <c r="A66" s="74">
        <v>65</v>
      </c>
      <c r="B66" s="66" t="s">
        <v>67</v>
      </c>
      <c r="C66" s="67" t="s">
        <v>68</v>
      </c>
      <c r="D66" s="59" t="s">
        <v>140</v>
      </c>
      <c r="E66" s="88"/>
      <c r="F66" s="89"/>
      <c r="G66" s="89"/>
      <c r="H66" s="77" t="s">
        <v>76</v>
      </c>
      <c r="I66" s="82">
        <v>12000</v>
      </c>
      <c r="J66" s="84"/>
      <c r="K66" s="85"/>
      <c r="L66" s="89"/>
      <c r="M66" s="89"/>
    </row>
    <row r="67" s="59" customFormat="1" spans="1:22">
      <c r="A67" s="74">
        <v>66</v>
      </c>
      <c r="B67" s="66" t="s">
        <v>67</v>
      </c>
      <c r="C67" s="67" t="s">
        <v>68</v>
      </c>
      <c r="D67" s="59" t="s">
        <v>141</v>
      </c>
      <c r="E67" s="80" t="s">
        <v>73</v>
      </c>
      <c r="F67" s="90">
        <v>46043.7354050926</v>
      </c>
      <c r="G67" s="90">
        <v>46043.8163194444</v>
      </c>
      <c r="H67" s="77" t="s">
        <v>71</v>
      </c>
      <c r="I67" s="78">
        <v>16000</v>
      </c>
      <c r="J67" s="79" t="s">
        <v>72</v>
      </c>
      <c r="K67" s="85"/>
      <c r="L67" s="89"/>
      <c r="M67" s="89"/>
    </row>
    <row r="68" s="59" customFormat="1" spans="1:22">
      <c r="A68" s="74">
        <v>67</v>
      </c>
      <c r="B68" s="66" t="s">
        <v>67</v>
      </c>
      <c r="C68" s="67" t="s">
        <v>68</v>
      </c>
      <c r="D68" s="59" t="s">
        <v>142</v>
      </c>
      <c r="E68" s="75" t="s">
        <v>70</v>
      </c>
      <c r="F68" s="76">
        <v>46124.8822453704</v>
      </c>
      <c r="G68" s="76">
        <v>46123.8824652778</v>
      </c>
      <c r="H68" s="77" t="s">
        <v>76</v>
      </c>
      <c r="I68" s="82">
        <v>12000</v>
      </c>
      <c r="J68" s="79" t="s">
        <v>72</v>
      </c>
      <c r="K68" s="80" t="s">
        <v>73</v>
      </c>
      <c r="L68" s="90">
        <v>46093.6751851852</v>
      </c>
      <c r="M68" s="90">
        <v>46097.7128356481</v>
      </c>
      <c r="N68" s="81" t="s">
        <v>74</v>
      </c>
      <c r="O68" s="76">
        <v>46100.8336226852</v>
      </c>
      <c r="P68" s="76">
        <v>46099.8338541667</v>
      </c>
    </row>
    <row r="69" s="59" customFormat="1" spans="1:22">
      <c r="A69" s="74">
        <v>68</v>
      </c>
      <c r="B69" s="66" t="s">
        <v>67</v>
      </c>
      <c r="C69" s="67" t="s">
        <v>68</v>
      </c>
      <c r="D69" s="59" t="s">
        <v>143</v>
      </c>
      <c r="E69" s="75" t="s">
        <v>70</v>
      </c>
      <c r="F69" s="76">
        <v>46124.8822453704</v>
      </c>
      <c r="G69" s="76">
        <v>46123.8824652778</v>
      </c>
      <c r="H69" s="77" t="s">
        <v>76</v>
      </c>
      <c r="I69" s="82">
        <v>12000</v>
      </c>
      <c r="J69" s="79" t="s">
        <v>72</v>
      </c>
      <c r="K69" s="80" t="s">
        <v>73</v>
      </c>
      <c r="L69" s="90">
        <v>46093.6751851852</v>
      </c>
      <c r="M69" s="90">
        <v>46097.7146180556</v>
      </c>
      <c r="N69" s="81" t="s">
        <v>74</v>
      </c>
      <c r="O69" s="76">
        <v>46100.8336226852</v>
      </c>
      <c r="P69" s="76">
        <v>46099.8338541667</v>
      </c>
    </row>
    <row r="70" s="59" customFormat="1" spans="1:22">
      <c r="A70" s="74">
        <v>69</v>
      </c>
      <c r="B70" s="66" t="s">
        <v>67</v>
      </c>
      <c r="C70" s="67" t="s">
        <v>68</v>
      </c>
      <c r="D70" s="59" t="s">
        <v>144</v>
      </c>
      <c r="E70" s="75" t="s">
        <v>70</v>
      </c>
      <c r="F70" s="76">
        <v>46124.8822453704</v>
      </c>
      <c r="G70" s="76">
        <v>46123.8824652778</v>
      </c>
      <c r="H70" s="77" t="s">
        <v>76</v>
      </c>
      <c r="I70" s="82">
        <v>12000</v>
      </c>
      <c r="J70" s="68" t="s">
        <v>72</v>
      </c>
      <c r="K70" s="83" t="s">
        <v>78</v>
      </c>
      <c r="L70" s="76">
        <v>46102</v>
      </c>
      <c r="M70" s="76">
        <v>46104.7371412037</v>
      </c>
    </row>
    <row r="71" s="59" customFormat="1" spans="1:22">
      <c r="A71" s="74">
        <v>70</v>
      </c>
      <c r="B71" s="66" t="s">
        <v>67</v>
      </c>
      <c r="C71" s="67" t="s">
        <v>68</v>
      </c>
      <c r="D71" s="59" t="s">
        <v>145</v>
      </c>
      <c r="E71" s="75" t="s">
        <v>70</v>
      </c>
      <c r="F71" s="90">
        <v>46090.7499652778</v>
      </c>
      <c r="G71" s="90">
        <v>46088.7500925926</v>
      </c>
      <c r="H71" s="77" t="s">
        <v>76</v>
      </c>
      <c r="I71" s="82">
        <v>12000</v>
      </c>
      <c r="J71" s="79" t="s">
        <v>72</v>
      </c>
      <c r="K71" s="80" t="s">
        <v>73</v>
      </c>
      <c r="L71" s="90">
        <v>46043.7497337963</v>
      </c>
      <c r="M71" s="90">
        <v>46043.8163888889</v>
      </c>
      <c r="N71" s="81" t="s">
        <v>74</v>
      </c>
      <c r="O71" s="90">
        <v>46050.8336111111</v>
      </c>
      <c r="P71" s="90">
        <v>46049.8337615741</v>
      </c>
    </row>
    <row r="72" s="59" customFormat="1" spans="1:22">
      <c r="A72" s="74">
        <v>71</v>
      </c>
      <c r="B72" s="66" t="s">
        <v>67</v>
      </c>
      <c r="C72" s="67" t="s">
        <v>68</v>
      </c>
      <c r="D72" s="59" t="s">
        <v>146</v>
      </c>
      <c r="E72" s="75" t="s">
        <v>70</v>
      </c>
      <c r="F72" s="90">
        <v>46090.7499421296</v>
      </c>
      <c r="G72" s="90">
        <v>46088.7500810185</v>
      </c>
      <c r="H72" s="77" t="s">
        <v>76</v>
      </c>
      <c r="I72" s="82">
        <v>12000</v>
      </c>
      <c r="J72" s="79" t="s">
        <v>72</v>
      </c>
      <c r="K72" s="80" t="s">
        <v>73</v>
      </c>
      <c r="L72" s="90">
        <v>46043.7497222222</v>
      </c>
      <c r="M72" s="90">
        <v>46043.817650463</v>
      </c>
      <c r="N72" s="81" t="s">
        <v>74</v>
      </c>
      <c r="O72" s="90">
        <v>46050.8336111111</v>
      </c>
      <c r="P72" s="90">
        <v>46049.8337615741</v>
      </c>
    </row>
    <row r="73" s="59" customFormat="1" spans="1:22">
      <c r="A73" s="74">
        <v>72</v>
      </c>
      <c r="B73" s="66" t="s">
        <v>67</v>
      </c>
      <c r="C73" s="67" t="s">
        <v>68</v>
      </c>
      <c r="D73" s="59" t="s">
        <v>147</v>
      </c>
      <c r="E73" s="75" t="s">
        <v>70</v>
      </c>
      <c r="F73" s="90">
        <v>46090.7539814815</v>
      </c>
      <c r="G73" s="90">
        <v>46088.7541203704</v>
      </c>
      <c r="H73" s="77" t="s">
        <v>76</v>
      </c>
      <c r="I73" s="82">
        <v>12000</v>
      </c>
      <c r="J73" s="79" t="s">
        <v>72</v>
      </c>
      <c r="K73" s="80" t="s">
        <v>73</v>
      </c>
      <c r="L73" s="90">
        <v>46046.5837731482</v>
      </c>
      <c r="M73" s="90">
        <v>46050.6700115741</v>
      </c>
      <c r="N73" s="81" t="s">
        <v>74</v>
      </c>
      <c r="O73" s="90">
        <v>46054.8342361111</v>
      </c>
      <c r="P73" s="90">
        <v>46053.8343981481</v>
      </c>
    </row>
    <row r="74" s="59" customFormat="1" spans="1:22">
      <c r="A74" s="74">
        <v>73</v>
      </c>
      <c r="B74" s="66" t="s">
        <v>67</v>
      </c>
      <c r="C74" s="67" t="s">
        <v>68</v>
      </c>
      <c r="D74" s="59" t="s">
        <v>148</v>
      </c>
      <c r="E74" s="75" t="s">
        <v>70</v>
      </c>
      <c r="F74" s="91">
        <v>46090.7574074074</v>
      </c>
      <c r="G74" s="90">
        <v>46088.7575462963</v>
      </c>
      <c r="H74" s="77" t="s">
        <v>76</v>
      </c>
      <c r="I74" s="82">
        <v>12000</v>
      </c>
      <c r="J74" s="79" t="s">
        <v>72</v>
      </c>
      <c r="K74" s="80" t="s">
        <v>73</v>
      </c>
      <c r="L74" s="90">
        <v>46043.7497569444</v>
      </c>
      <c r="M74" s="90">
        <v>46043.8183101852</v>
      </c>
      <c r="N74" s="81" t="s">
        <v>74</v>
      </c>
      <c r="O74" s="91">
        <v>46046.5837731482</v>
      </c>
      <c r="P74" s="90">
        <v>46049.8337615741</v>
      </c>
    </row>
    <row r="75" s="59" customFormat="1" spans="1:22">
      <c r="A75" s="74">
        <v>74</v>
      </c>
      <c r="B75" s="66" t="s">
        <v>67</v>
      </c>
      <c r="C75" s="67" t="s">
        <v>68</v>
      </c>
      <c r="D75" s="59" t="s">
        <v>149</v>
      </c>
      <c r="E75" s="75" t="s">
        <v>70</v>
      </c>
      <c r="F75" s="91">
        <v>46091.4219097222</v>
      </c>
      <c r="G75" s="90">
        <v>46089.4220486111</v>
      </c>
      <c r="H75" s="77" t="s">
        <v>76</v>
      </c>
      <c r="I75" s="82">
        <v>12000</v>
      </c>
      <c r="J75" s="79" t="s">
        <v>72</v>
      </c>
      <c r="K75" s="80" t="s">
        <v>73</v>
      </c>
      <c r="L75" s="90">
        <v>46043.7497453704</v>
      </c>
      <c r="M75" s="90">
        <v>46043.8206365741</v>
      </c>
      <c r="N75" s="81" t="s">
        <v>74</v>
      </c>
      <c r="O75" s="91">
        <v>46046.5837731482</v>
      </c>
      <c r="P75" s="90">
        <v>46049.8337615741</v>
      </c>
    </row>
    <row r="76" s="59" customFormat="1" spans="1:22">
      <c r="A76" s="74">
        <v>75</v>
      </c>
      <c r="B76" s="66" t="s">
        <v>67</v>
      </c>
      <c r="C76" s="67" t="s">
        <v>68</v>
      </c>
      <c r="D76" s="59" t="s">
        <v>150</v>
      </c>
      <c r="E76" s="75" t="s">
        <v>70</v>
      </c>
      <c r="F76" s="90">
        <v>46091.4253009259</v>
      </c>
      <c r="G76" s="90">
        <v>46089.4254398148</v>
      </c>
      <c r="H76" s="77" t="s">
        <v>76</v>
      </c>
      <c r="I76" s="82">
        <v>12000</v>
      </c>
      <c r="J76" s="79" t="s">
        <v>72</v>
      </c>
      <c r="K76" s="80" t="s">
        <v>73</v>
      </c>
      <c r="L76" s="90">
        <v>46046.5837731482</v>
      </c>
      <c r="M76" s="90">
        <v>46050.6750925926</v>
      </c>
      <c r="N76" s="81" t="s">
        <v>74</v>
      </c>
      <c r="O76" s="90">
        <v>46054.8342361111</v>
      </c>
      <c r="P76" s="90">
        <v>46053.8343981481</v>
      </c>
    </row>
    <row r="77" s="59" customFormat="1" spans="1:22">
      <c r="A77" s="74">
        <v>76</v>
      </c>
      <c r="B77" s="66" t="s">
        <v>67</v>
      </c>
      <c r="C77" s="67" t="s">
        <v>68</v>
      </c>
      <c r="D77" s="59" t="s">
        <v>151</v>
      </c>
      <c r="E77" s="75" t="s">
        <v>70</v>
      </c>
      <c r="F77" s="91">
        <v>46091.4503703704</v>
      </c>
      <c r="G77" s="90">
        <v>46089.4505208333</v>
      </c>
      <c r="H77" s="77" t="s">
        <v>76</v>
      </c>
      <c r="I77" s="82">
        <v>12000</v>
      </c>
      <c r="J77" s="79" t="s">
        <v>72</v>
      </c>
      <c r="K77" s="80" t="s">
        <v>73</v>
      </c>
      <c r="L77" s="90">
        <v>46043.7497453704</v>
      </c>
      <c r="M77" s="90">
        <v>46043.8759837963</v>
      </c>
      <c r="N77" s="81" t="s">
        <v>74</v>
      </c>
      <c r="O77" s="91">
        <v>46046.5837731482</v>
      </c>
      <c r="P77" s="90">
        <v>46049.8337615741</v>
      </c>
    </row>
    <row r="78" s="59" customFormat="1" spans="1:22">
      <c r="A78" s="74">
        <v>77</v>
      </c>
      <c r="B78" s="66" t="s">
        <v>67</v>
      </c>
      <c r="C78" s="67" t="s">
        <v>68</v>
      </c>
      <c r="D78" s="59" t="s">
        <v>152</v>
      </c>
      <c r="E78" s="75" t="s">
        <v>70</v>
      </c>
      <c r="F78" s="91">
        <v>46091.4502314815</v>
      </c>
      <c r="G78" s="90">
        <v>46089.4503703704</v>
      </c>
      <c r="H78" s="77" t="s">
        <v>76</v>
      </c>
      <c r="I78" s="82">
        <v>12000</v>
      </c>
      <c r="J78" s="79" t="s">
        <v>72</v>
      </c>
      <c r="K78" s="80" t="s">
        <v>73</v>
      </c>
      <c r="L78" s="90">
        <v>46043.7497222222</v>
      </c>
      <c r="M78" s="90">
        <v>46046.6397337963</v>
      </c>
      <c r="N78" s="81" t="s">
        <v>74</v>
      </c>
      <c r="O78" s="91">
        <v>46046.5837731482</v>
      </c>
      <c r="P78" s="90">
        <v>46049.8337615741</v>
      </c>
    </row>
    <row r="79" s="59" customFormat="1" spans="1:22">
      <c r="A79" s="74">
        <v>78</v>
      </c>
      <c r="B79" s="66" t="s">
        <v>67</v>
      </c>
      <c r="C79" s="67" t="s">
        <v>68</v>
      </c>
      <c r="D79" s="59" t="s">
        <v>153</v>
      </c>
      <c r="E79" s="75" t="s">
        <v>70</v>
      </c>
      <c r="F79" s="90">
        <v>46091.4502083333</v>
      </c>
      <c r="G79" s="90">
        <v>46089.4503472222</v>
      </c>
      <c r="H79" s="77" t="s">
        <v>76</v>
      </c>
      <c r="I79" s="82">
        <v>12000</v>
      </c>
      <c r="J79" s="79" t="s">
        <v>72</v>
      </c>
      <c r="K79" s="80" t="s">
        <v>73</v>
      </c>
      <c r="L79" s="90">
        <v>46046.5837731482</v>
      </c>
      <c r="M79" s="90">
        <v>46050.6751736111</v>
      </c>
      <c r="N79" s="81" t="s">
        <v>74</v>
      </c>
      <c r="O79" s="90">
        <v>46054.8342361111</v>
      </c>
      <c r="P79" s="90">
        <v>46053.8343981481</v>
      </c>
    </row>
    <row r="80" s="59" customFormat="1" spans="1:22">
      <c r="A80" s="74">
        <v>79</v>
      </c>
      <c r="B80" s="66" t="s">
        <v>67</v>
      </c>
      <c r="C80" s="67" t="s">
        <v>68</v>
      </c>
      <c r="D80" s="59" t="s">
        <v>154</v>
      </c>
      <c r="E80" s="75" t="s">
        <v>70</v>
      </c>
      <c r="F80" s="76">
        <v>46240.7008564815</v>
      </c>
      <c r="G80" s="76">
        <v>46238.7010763889</v>
      </c>
      <c r="H80" s="77" t="s">
        <v>76</v>
      </c>
      <c r="I80" s="82">
        <v>12000</v>
      </c>
      <c r="J80" s="79" t="s">
        <v>72</v>
      </c>
      <c r="K80" s="80" t="s">
        <v>73</v>
      </c>
      <c r="L80" s="76">
        <v>46093.6758217593</v>
      </c>
      <c r="M80" s="76">
        <v>46097.7153240741</v>
      </c>
      <c r="N80" s="81" t="s">
        <v>74</v>
      </c>
      <c r="O80" s="76">
        <v>46100.8336226852</v>
      </c>
      <c r="P80" s="76">
        <v>46099.8338541667</v>
      </c>
      <c r="Q80" s="75" t="s">
        <v>70</v>
      </c>
      <c r="R80" s="76">
        <v>46104.8821875</v>
      </c>
      <c r="S80" s="76">
        <v>46103.8824074074</v>
      </c>
      <c r="T80" s="81" t="s">
        <v>74</v>
      </c>
      <c r="U80" s="76">
        <v>46144.8337268519</v>
      </c>
      <c r="V80" s="76">
        <v>46143.8339467593</v>
      </c>
    </row>
    <row r="81" s="59" customFormat="1" spans="1:16">
      <c r="A81" s="74">
        <v>80</v>
      </c>
      <c r="B81" s="66" t="s">
        <v>67</v>
      </c>
      <c r="C81" s="67" t="s">
        <v>68</v>
      </c>
      <c r="D81" s="59" t="s">
        <v>155</v>
      </c>
      <c r="E81" s="75" t="s">
        <v>70</v>
      </c>
      <c r="F81" s="76">
        <v>46104.8821875</v>
      </c>
      <c r="G81" s="76">
        <v>46103.8824074074</v>
      </c>
      <c r="H81" s="77" t="s">
        <v>76</v>
      </c>
      <c r="I81" s="82">
        <v>12000</v>
      </c>
      <c r="J81" s="79" t="s">
        <v>72</v>
      </c>
      <c r="K81" s="80" t="s">
        <v>73</v>
      </c>
      <c r="L81" s="76">
        <v>46093.6757986111</v>
      </c>
      <c r="M81" s="76">
        <v>46097.7166435185</v>
      </c>
      <c r="N81" s="81" t="s">
        <v>74</v>
      </c>
      <c r="O81" s="76">
        <v>46100.8336226852</v>
      </c>
      <c r="P81" s="76">
        <v>46099.8338541667</v>
      </c>
    </row>
    <row r="82" s="59" customFormat="1" spans="1:16">
      <c r="A82" s="74">
        <v>81</v>
      </c>
      <c r="B82" s="66" t="s">
        <v>67</v>
      </c>
      <c r="C82" s="67" t="s">
        <v>68</v>
      </c>
      <c r="D82" s="59" t="s">
        <v>156</v>
      </c>
      <c r="E82" s="75" t="s">
        <v>70</v>
      </c>
      <c r="F82" s="76">
        <v>46240.4693981481</v>
      </c>
      <c r="G82" s="76">
        <v>46238.4696296296</v>
      </c>
      <c r="H82" s="77" t="s">
        <v>76</v>
      </c>
      <c r="I82" s="82">
        <v>12000</v>
      </c>
      <c r="J82" s="68" t="s">
        <v>72</v>
      </c>
      <c r="K82" s="80" t="s">
        <v>73</v>
      </c>
      <c r="L82" s="76">
        <v>46102.7259375</v>
      </c>
      <c r="M82" s="76">
        <v>46104.7371990741</v>
      </c>
      <c r="N82" s="81" t="s">
        <v>74</v>
      </c>
      <c r="O82" s="76">
        <v>46144.8337268519</v>
      </c>
      <c r="P82" s="76">
        <v>46143.8339467593</v>
      </c>
    </row>
    <row r="83" s="59" customFormat="1" spans="1:16">
      <c r="A83" s="74">
        <v>82</v>
      </c>
      <c r="B83" s="66" t="s">
        <v>67</v>
      </c>
      <c r="C83" s="67" t="s">
        <v>68</v>
      </c>
      <c r="D83" s="59" t="s">
        <v>157</v>
      </c>
      <c r="E83" s="75" t="s">
        <v>70</v>
      </c>
      <c r="F83" s="76">
        <v>46128.6172337963</v>
      </c>
      <c r="G83" s="76">
        <v>46126.6174537037</v>
      </c>
      <c r="H83" s="77" t="s">
        <v>76</v>
      </c>
      <c r="I83" s="82">
        <v>12000</v>
      </c>
      <c r="J83" s="79" t="s">
        <v>72</v>
      </c>
      <c r="K83" s="80" t="s">
        <v>73</v>
      </c>
      <c r="L83" s="76">
        <v>46093.6758101852</v>
      </c>
      <c r="M83" s="76">
        <v>46097.7183101852</v>
      </c>
      <c r="N83" s="81" t="s">
        <v>74</v>
      </c>
      <c r="O83" s="76">
        <v>46100.8336226852</v>
      </c>
      <c r="P83" s="76">
        <v>46099.8338541667</v>
      </c>
    </row>
    <row r="84" s="59" customFormat="1" spans="1:16">
      <c r="A84" s="74">
        <v>83</v>
      </c>
      <c r="B84" s="66" t="s">
        <v>67</v>
      </c>
      <c r="C84" s="67" t="s">
        <v>68</v>
      </c>
      <c r="D84" s="59" t="s">
        <v>158</v>
      </c>
      <c r="E84" s="75" t="s">
        <v>70</v>
      </c>
      <c r="F84" s="76">
        <v>46128.6205902778</v>
      </c>
      <c r="G84" s="76">
        <v>46126.6207986111</v>
      </c>
      <c r="H84" s="77" t="s">
        <v>76</v>
      </c>
      <c r="I84" s="82">
        <v>12000</v>
      </c>
      <c r="J84" s="79" t="s">
        <v>72</v>
      </c>
      <c r="K84" s="80" t="s">
        <v>73</v>
      </c>
      <c r="L84" s="76">
        <v>46093.6758217593</v>
      </c>
      <c r="M84" s="76">
        <v>46097.7197337963</v>
      </c>
      <c r="N84" s="81" t="s">
        <v>74</v>
      </c>
      <c r="O84" s="76">
        <v>46100.8336226852</v>
      </c>
      <c r="P84" s="76">
        <v>46099.8338541667</v>
      </c>
    </row>
    <row r="85" s="59" customFormat="1" spans="1:16">
      <c r="A85" s="74">
        <v>84</v>
      </c>
      <c r="B85" s="66" t="s">
        <v>67</v>
      </c>
      <c r="C85" s="67" t="s">
        <v>68</v>
      </c>
      <c r="D85" s="59" t="s">
        <v>159</v>
      </c>
      <c r="E85" s="75" t="s">
        <v>70</v>
      </c>
      <c r="F85" s="76">
        <v>46236.6850925926</v>
      </c>
      <c r="G85" s="76">
        <v>46234.6853240741</v>
      </c>
      <c r="H85" s="77" t="s">
        <v>76</v>
      </c>
      <c r="I85" s="82">
        <v>12000</v>
      </c>
      <c r="J85" s="68" t="s">
        <v>72</v>
      </c>
      <c r="K85" s="80" t="s">
        <v>73</v>
      </c>
      <c r="L85" s="76">
        <v>46102.7259375</v>
      </c>
      <c r="M85" s="76">
        <v>46104.7372685185</v>
      </c>
      <c r="N85" s="81" t="s">
        <v>74</v>
      </c>
      <c r="O85" s="76">
        <v>46142.8335763889</v>
      </c>
      <c r="P85" s="76">
        <v>46141.8337847222</v>
      </c>
    </row>
    <row r="86" s="59" customFormat="1" spans="1:16">
      <c r="A86" s="74">
        <v>85</v>
      </c>
      <c r="B86" s="66" t="s">
        <v>67</v>
      </c>
      <c r="C86" s="67" t="s">
        <v>68</v>
      </c>
      <c r="D86" s="59" t="s">
        <v>160</v>
      </c>
      <c r="E86" s="88"/>
      <c r="F86" s="91"/>
      <c r="H86" s="77" t="s">
        <v>76</v>
      </c>
      <c r="I86" s="82">
        <v>12000</v>
      </c>
      <c r="J86" s="79"/>
      <c r="K86" s="85"/>
      <c r="L86" s="86"/>
      <c r="M86" s="87"/>
    </row>
    <row r="87" s="59" customFormat="1" spans="1:16">
      <c r="A87" s="74">
        <v>86</v>
      </c>
      <c r="B87" s="66" t="s">
        <v>67</v>
      </c>
      <c r="C87" s="67" t="s">
        <v>68</v>
      </c>
      <c r="D87" s="59" t="s">
        <v>161</v>
      </c>
      <c r="E87" s="88"/>
      <c r="F87" s="91"/>
      <c r="H87" s="77" t="s">
        <v>76</v>
      </c>
      <c r="I87" s="82">
        <v>12000</v>
      </c>
      <c r="J87" s="79"/>
      <c r="K87" s="85"/>
      <c r="L87" s="86"/>
      <c r="M87" s="87"/>
    </row>
    <row r="88" s="59" customFormat="1" spans="1:16">
      <c r="A88" s="74">
        <v>87</v>
      </c>
      <c r="B88" s="66" t="s">
        <v>67</v>
      </c>
      <c r="C88" s="67" t="s">
        <v>68</v>
      </c>
      <c r="D88" s="59" t="s">
        <v>162</v>
      </c>
      <c r="E88" s="88"/>
      <c r="F88" s="91"/>
      <c r="H88" s="77" t="s">
        <v>76</v>
      </c>
      <c r="I88" s="82">
        <v>12000</v>
      </c>
      <c r="J88" s="79"/>
      <c r="K88" s="85"/>
      <c r="L88" s="86"/>
      <c r="M88" s="87"/>
    </row>
    <row r="89" s="59" customFormat="1" spans="1:16">
      <c r="A89" s="74">
        <v>88</v>
      </c>
      <c r="B89" s="66" t="s">
        <v>67</v>
      </c>
      <c r="C89" s="67" t="s">
        <v>68</v>
      </c>
      <c r="D89" s="59" t="s">
        <v>163</v>
      </c>
      <c r="E89" s="88"/>
      <c r="F89" s="91"/>
      <c r="H89" s="77" t="s">
        <v>76</v>
      </c>
      <c r="I89" s="82">
        <v>12000</v>
      </c>
      <c r="J89" s="79"/>
      <c r="K89" s="85"/>
      <c r="L89" s="86"/>
      <c r="M89" s="87"/>
    </row>
    <row r="90" s="59" customFormat="1" spans="1:16">
      <c r="A90" s="74">
        <v>89</v>
      </c>
      <c r="B90" s="66" t="s">
        <v>67</v>
      </c>
      <c r="C90" s="67" t="s">
        <v>68</v>
      </c>
      <c r="D90" s="59" t="s">
        <v>164</v>
      </c>
      <c r="E90" s="75" t="s">
        <v>70</v>
      </c>
      <c r="F90" s="76">
        <v>46124.8822453704</v>
      </c>
      <c r="G90" s="76">
        <v>46123.8824652778</v>
      </c>
      <c r="H90" s="77" t="s">
        <v>71</v>
      </c>
      <c r="I90" s="78">
        <v>16000</v>
      </c>
      <c r="J90" s="68" t="s">
        <v>72</v>
      </c>
      <c r="K90" s="83" t="s">
        <v>78</v>
      </c>
      <c r="L90" s="76">
        <v>46102</v>
      </c>
      <c r="M90" s="76">
        <v>46104.7377893518</v>
      </c>
    </row>
    <row r="91" s="59" customFormat="1" spans="1:16">
      <c r="A91" s="74">
        <v>90</v>
      </c>
      <c r="B91" s="66" t="s">
        <v>67</v>
      </c>
      <c r="C91" s="67" t="s">
        <v>68</v>
      </c>
      <c r="D91" s="59" t="s">
        <v>165</v>
      </c>
      <c r="E91" s="75" t="s">
        <v>70</v>
      </c>
      <c r="F91" s="76">
        <v>46124.8822453704</v>
      </c>
      <c r="G91" s="76">
        <v>46123.8824652778</v>
      </c>
      <c r="H91" s="77" t="s">
        <v>76</v>
      </c>
      <c r="I91" s="82">
        <v>12000</v>
      </c>
      <c r="J91" s="79" t="s">
        <v>72</v>
      </c>
      <c r="K91" s="80" t="s">
        <v>73</v>
      </c>
      <c r="L91" s="91">
        <v>46093.6751851852</v>
      </c>
      <c r="M91" s="76">
        <v>46097.7208101852</v>
      </c>
      <c r="N91" s="81" t="s">
        <v>74</v>
      </c>
      <c r="O91" s="76">
        <v>46100.8336226852</v>
      </c>
      <c r="P91" s="76">
        <v>46099.8338541667</v>
      </c>
    </row>
    <row r="92" s="59" customFormat="1" spans="1:16">
      <c r="A92" s="74">
        <v>91</v>
      </c>
      <c r="B92" s="66" t="s">
        <v>67</v>
      </c>
      <c r="C92" s="67" t="s">
        <v>68</v>
      </c>
      <c r="D92" s="59" t="s">
        <v>166</v>
      </c>
      <c r="E92" s="75" t="s">
        <v>70</v>
      </c>
      <c r="F92" s="76">
        <v>46124.8822453704</v>
      </c>
      <c r="G92" s="76">
        <v>46123.8824652778</v>
      </c>
      <c r="H92" s="77" t="s">
        <v>76</v>
      </c>
      <c r="I92" s="82">
        <v>12000</v>
      </c>
      <c r="J92" s="79" t="s">
        <v>72</v>
      </c>
      <c r="K92" s="80" t="s">
        <v>73</v>
      </c>
      <c r="L92" s="76">
        <v>46093.6751967593</v>
      </c>
      <c r="M92" s="76">
        <v>46097.723900463</v>
      </c>
      <c r="N92" s="81" t="s">
        <v>74</v>
      </c>
      <c r="O92" s="76">
        <v>46100.8336226852</v>
      </c>
      <c r="P92" s="76">
        <v>46099.8338541667</v>
      </c>
    </row>
    <row r="93" s="59" customFormat="1" spans="1:16">
      <c r="A93" s="74">
        <v>92</v>
      </c>
      <c r="B93" s="66" t="s">
        <v>67</v>
      </c>
      <c r="C93" s="67" t="s">
        <v>68</v>
      </c>
      <c r="D93" s="59" t="s">
        <v>167</v>
      </c>
      <c r="E93" s="75" t="s">
        <v>70</v>
      </c>
      <c r="F93" s="90">
        <v>46091.4572916667</v>
      </c>
      <c r="G93" s="90">
        <v>46089.4574305556</v>
      </c>
      <c r="H93" s="77" t="s">
        <v>76</v>
      </c>
      <c r="I93" s="82">
        <v>12000</v>
      </c>
      <c r="J93" s="79" t="s">
        <v>72</v>
      </c>
      <c r="K93" s="80" t="s">
        <v>73</v>
      </c>
      <c r="L93" s="90">
        <v>46046.5837731482</v>
      </c>
      <c r="M93" s="90">
        <v>46050.6778125</v>
      </c>
      <c r="N93" s="81" t="s">
        <v>74</v>
      </c>
      <c r="O93" s="90">
        <v>46054.8342361111</v>
      </c>
      <c r="P93" s="90">
        <v>46053.8343981481</v>
      </c>
    </row>
    <row r="94" s="59" customFormat="1" spans="1:16">
      <c r="A94" s="74">
        <v>93</v>
      </c>
      <c r="B94" s="66" t="s">
        <v>67</v>
      </c>
      <c r="C94" s="67" t="s">
        <v>68</v>
      </c>
      <c r="D94" s="59" t="s">
        <v>168</v>
      </c>
      <c r="E94" s="75" t="s">
        <v>70</v>
      </c>
      <c r="F94" s="91">
        <v>46091.4572916667</v>
      </c>
      <c r="G94" s="90">
        <v>46089.4574305556</v>
      </c>
      <c r="H94" s="77" t="s">
        <v>76</v>
      </c>
      <c r="I94" s="82">
        <v>12000</v>
      </c>
      <c r="J94" s="79" t="s">
        <v>72</v>
      </c>
      <c r="K94" s="80" t="s">
        <v>73</v>
      </c>
      <c r="L94" s="90">
        <v>46043.7497453704</v>
      </c>
      <c r="M94" s="90">
        <v>46046.6603472222</v>
      </c>
      <c r="N94" s="81" t="s">
        <v>74</v>
      </c>
      <c r="O94" s="91">
        <v>46046.5837731482</v>
      </c>
      <c r="P94" s="90">
        <v>46049.8337615741</v>
      </c>
    </row>
    <row r="95" s="59" customFormat="1" spans="1:16">
      <c r="A95" s="74">
        <v>94</v>
      </c>
      <c r="B95" s="66" t="s">
        <v>67</v>
      </c>
      <c r="C95" s="67" t="s">
        <v>68</v>
      </c>
      <c r="D95" s="59" t="s">
        <v>169</v>
      </c>
      <c r="E95" s="75" t="s">
        <v>70</v>
      </c>
      <c r="F95" s="91">
        <v>46091.4643287037</v>
      </c>
      <c r="G95" s="90">
        <v>46089.4644675926</v>
      </c>
      <c r="H95" s="77" t="s">
        <v>76</v>
      </c>
      <c r="I95" s="82">
        <v>12000</v>
      </c>
      <c r="J95" s="79" t="s">
        <v>72</v>
      </c>
      <c r="K95" s="80" t="s">
        <v>73</v>
      </c>
      <c r="L95" s="90">
        <v>46043.7497685185</v>
      </c>
      <c r="M95" s="90">
        <v>46046.6605092593</v>
      </c>
      <c r="N95" s="81" t="s">
        <v>74</v>
      </c>
      <c r="O95" s="91">
        <v>46046.5837731482</v>
      </c>
      <c r="P95" s="90">
        <v>46049.8337615741</v>
      </c>
    </row>
    <row r="96" s="59" customFormat="1" spans="1:16">
      <c r="A96" s="74">
        <v>95</v>
      </c>
      <c r="B96" s="66" t="s">
        <v>67</v>
      </c>
      <c r="C96" s="67" t="s">
        <v>68</v>
      </c>
      <c r="D96" s="59" t="s">
        <v>170</v>
      </c>
      <c r="E96" s="75" t="s">
        <v>70</v>
      </c>
      <c r="F96" s="90">
        <v>46091.4643171296</v>
      </c>
      <c r="G96" s="90">
        <v>46089.4644560185</v>
      </c>
      <c r="H96" s="77" t="s">
        <v>76</v>
      </c>
      <c r="I96" s="82">
        <v>12000</v>
      </c>
      <c r="J96" s="79" t="s">
        <v>72</v>
      </c>
      <c r="K96" s="80" t="s">
        <v>73</v>
      </c>
      <c r="L96" s="90">
        <v>46046.5837731482</v>
      </c>
      <c r="M96" s="90">
        <v>46050.6778935185</v>
      </c>
      <c r="N96" s="81" t="s">
        <v>74</v>
      </c>
      <c r="O96" s="90">
        <v>46054.8342361111</v>
      </c>
      <c r="P96" s="90">
        <v>46053.8343981481</v>
      </c>
    </row>
    <row r="97" s="59" customFormat="1" spans="1:22">
      <c r="A97" s="74">
        <v>96</v>
      </c>
      <c r="B97" s="66" t="s">
        <v>67</v>
      </c>
      <c r="C97" s="67" t="s">
        <v>68</v>
      </c>
      <c r="D97" s="59" t="s">
        <v>171</v>
      </c>
      <c r="E97" s="75" t="s">
        <v>70</v>
      </c>
      <c r="F97" s="91">
        <v>46091.4643171296</v>
      </c>
      <c r="G97" s="90">
        <v>46089.4644675926</v>
      </c>
      <c r="H97" s="77" t="s">
        <v>76</v>
      </c>
      <c r="I97" s="82">
        <v>12000</v>
      </c>
      <c r="J97" s="79" t="s">
        <v>72</v>
      </c>
      <c r="K97" s="80" t="s">
        <v>73</v>
      </c>
      <c r="L97" s="90">
        <v>46043.7497222222</v>
      </c>
      <c r="M97" s="90">
        <v>46046.6607523148</v>
      </c>
      <c r="N97" s="81" t="s">
        <v>74</v>
      </c>
      <c r="O97" s="91">
        <v>46046.5837731482</v>
      </c>
      <c r="P97" s="90">
        <v>46049.8337615741</v>
      </c>
    </row>
    <row r="98" s="59" customFormat="1" spans="1:22">
      <c r="A98" s="74">
        <v>97</v>
      </c>
      <c r="B98" s="66" t="s">
        <v>67</v>
      </c>
      <c r="C98" s="67" t="s">
        <v>68</v>
      </c>
      <c r="D98" s="59" t="s">
        <v>172</v>
      </c>
      <c r="E98" s="75" t="s">
        <v>70</v>
      </c>
      <c r="F98" s="91">
        <v>46091.4679861111</v>
      </c>
      <c r="G98" s="90">
        <v>46089.468125</v>
      </c>
      <c r="H98" s="77" t="s">
        <v>76</v>
      </c>
      <c r="I98" s="82">
        <v>12000</v>
      </c>
      <c r="J98" s="79" t="s">
        <v>72</v>
      </c>
      <c r="K98" s="80" t="s">
        <v>73</v>
      </c>
      <c r="L98" s="90">
        <v>46043.7497453704</v>
      </c>
      <c r="M98" s="90">
        <v>46046.6610069444</v>
      </c>
      <c r="N98" s="81" t="s">
        <v>74</v>
      </c>
      <c r="O98" s="91">
        <v>46046.5837731482</v>
      </c>
      <c r="P98" s="90">
        <v>46049.8337615741</v>
      </c>
    </row>
    <row r="99" s="59" customFormat="1" spans="1:22">
      <c r="A99" s="74">
        <v>98</v>
      </c>
      <c r="B99" s="66" t="s">
        <v>67</v>
      </c>
      <c r="C99" s="67" t="s">
        <v>68</v>
      </c>
      <c r="D99" s="59" t="s">
        <v>173</v>
      </c>
      <c r="E99" s="75" t="s">
        <v>70</v>
      </c>
      <c r="F99" s="90">
        <v>46091.4431481482</v>
      </c>
      <c r="G99" s="90">
        <v>46089.443287037</v>
      </c>
      <c r="H99" s="77" t="s">
        <v>76</v>
      </c>
      <c r="I99" s="82">
        <v>12000</v>
      </c>
      <c r="J99" s="79" t="s">
        <v>72</v>
      </c>
      <c r="K99" s="80" t="s">
        <v>73</v>
      </c>
      <c r="L99" s="90">
        <v>46046.5837731482</v>
      </c>
      <c r="M99" s="90">
        <v>46050.6835300926</v>
      </c>
      <c r="N99" s="81" t="s">
        <v>74</v>
      </c>
      <c r="O99" s="90">
        <v>46054.8342361111</v>
      </c>
      <c r="P99" s="90">
        <v>46053.8343981481</v>
      </c>
    </row>
    <row r="100" s="59" customFormat="1" spans="1:22">
      <c r="A100" s="74">
        <v>99</v>
      </c>
      <c r="B100" s="66" t="s">
        <v>67</v>
      </c>
      <c r="C100" s="67" t="s">
        <v>68</v>
      </c>
      <c r="D100" s="59" t="s">
        <v>174</v>
      </c>
      <c r="E100" s="75" t="s">
        <v>70</v>
      </c>
      <c r="F100" s="91">
        <v>46091.4430902778</v>
      </c>
      <c r="G100" s="90">
        <v>46089.4432291667</v>
      </c>
      <c r="H100" s="77" t="s">
        <v>76</v>
      </c>
      <c r="I100" s="82">
        <v>12000</v>
      </c>
      <c r="J100" s="79" t="s">
        <v>72</v>
      </c>
      <c r="K100" s="80" t="s">
        <v>73</v>
      </c>
      <c r="L100" s="90">
        <v>46043.7497569444</v>
      </c>
      <c r="M100" s="90">
        <v>46046.6611921296</v>
      </c>
      <c r="N100" s="81" t="s">
        <v>74</v>
      </c>
      <c r="O100" s="91">
        <v>46046.5837731482</v>
      </c>
      <c r="P100" s="90">
        <v>46049.8337615741</v>
      </c>
    </row>
    <row r="101" s="59" customFormat="1" spans="1:22">
      <c r="A101" s="74">
        <v>100</v>
      </c>
      <c r="B101" s="66" t="s">
        <v>67</v>
      </c>
      <c r="C101" s="67" t="s">
        <v>68</v>
      </c>
      <c r="D101" s="59" t="s">
        <v>175</v>
      </c>
      <c r="E101" s="75" t="s">
        <v>70</v>
      </c>
      <c r="F101" s="91">
        <v>46091.4502430556</v>
      </c>
      <c r="G101" s="90">
        <v>46089.4503819444</v>
      </c>
      <c r="H101" s="77" t="s">
        <v>76</v>
      </c>
      <c r="I101" s="82">
        <v>12000</v>
      </c>
      <c r="J101" s="79" t="s">
        <v>72</v>
      </c>
      <c r="K101" s="80" t="s">
        <v>73</v>
      </c>
      <c r="L101" s="90">
        <v>46043.7497222222</v>
      </c>
      <c r="M101" s="90">
        <v>46046.6613541667</v>
      </c>
      <c r="N101" s="81" t="s">
        <v>74</v>
      </c>
      <c r="O101" s="91">
        <v>46046.5837731482</v>
      </c>
      <c r="P101" s="90">
        <v>46049.8337615741</v>
      </c>
      <c r="Q101" s="77"/>
    </row>
    <row r="102" s="59" customFormat="1" spans="1:22">
      <c r="A102" s="74">
        <v>101</v>
      </c>
      <c r="B102" s="66" t="s">
        <v>67</v>
      </c>
      <c r="C102" s="67" t="s">
        <v>68</v>
      </c>
      <c r="D102" s="59" t="s">
        <v>176</v>
      </c>
      <c r="E102" s="75" t="s">
        <v>70</v>
      </c>
      <c r="F102" s="90">
        <v>46091.4537615741</v>
      </c>
      <c r="G102" s="90">
        <v>46089.453912037</v>
      </c>
      <c r="H102" s="77" t="s">
        <v>76</v>
      </c>
      <c r="I102" s="82">
        <v>12000</v>
      </c>
      <c r="J102" s="79" t="s">
        <v>72</v>
      </c>
      <c r="K102" s="80" t="s">
        <v>73</v>
      </c>
      <c r="L102" s="90">
        <v>46046.5837731482</v>
      </c>
      <c r="M102" s="90">
        <v>46050.683599537</v>
      </c>
      <c r="N102" s="81" t="s">
        <v>74</v>
      </c>
      <c r="O102" s="90">
        <v>46054.8342361111</v>
      </c>
      <c r="P102" s="90">
        <v>46053.8343981481</v>
      </c>
    </row>
    <row r="103" s="59" customFormat="1" spans="1:22">
      <c r="A103" s="74">
        <v>102</v>
      </c>
      <c r="B103" s="66" t="s">
        <v>67</v>
      </c>
      <c r="C103" s="67" t="s">
        <v>68</v>
      </c>
      <c r="D103" s="59" t="s">
        <v>177</v>
      </c>
      <c r="E103" s="75" t="s">
        <v>70</v>
      </c>
      <c r="F103" s="91">
        <v>46091.4538310185</v>
      </c>
      <c r="G103" s="90">
        <v>46089.4539699074</v>
      </c>
      <c r="H103" s="77" t="s">
        <v>76</v>
      </c>
      <c r="I103" s="82">
        <v>12000</v>
      </c>
      <c r="J103" s="79" t="s">
        <v>72</v>
      </c>
      <c r="K103" s="80" t="s">
        <v>73</v>
      </c>
      <c r="L103" s="90">
        <v>46043.7497337963</v>
      </c>
      <c r="M103" s="90">
        <v>46046.6615509259</v>
      </c>
      <c r="N103" s="81" t="s">
        <v>74</v>
      </c>
      <c r="O103" s="91">
        <v>46046.5837731482</v>
      </c>
      <c r="P103" s="90">
        <v>46049.8337615741</v>
      </c>
    </row>
    <row r="104" s="59" customFormat="1" spans="1:22">
      <c r="A104" s="74">
        <v>103</v>
      </c>
      <c r="B104" s="66" t="s">
        <v>67</v>
      </c>
      <c r="C104" s="67" t="s">
        <v>68</v>
      </c>
      <c r="D104" s="59" t="s">
        <v>178</v>
      </c>
      <c r="E104" s="75" t="s">
        <v>70</v>
      </c>
      <c r="F104" s="91">
        <v>46091.4607523148</v>
      </c>
      <c r="G104" s="90">
        <v>46089.4608912037</v>
      </c>
      <c r="H104" s="77" t="s">
        <v>76</v>
      </c>
      <c r="I104" s="82">
        <v>12000</v>
      </c>
      <c r="J104" s="79" t="s">
        <v>72</v>
      </c>
      <c r="K104" s="80" t="s">
        <v>73</v>
      </c>
      <c r="L104" s="90">
        <v>46043.7497569444</v>
      </c>
      <c r="M104" s="90">
        <v>46046.661712963</v>
      </c>
      <c r="N104" s="81" t="s">
        <v>74</v>
      </c>
      <c r="O104" s="91">
        <v>46046.5837731482</v>
      </c>
      <c r="P104" s="90">
        <v>46049.8337615741</v>
      </c>
    </row>
    <row r="105" s="59" customFormat="1" spans="1:22">
      <c r="A105" s="74">
        <v>104</v>
      </c>
      <c r="B105" s="66" t="s">
        <v>67</v>
      </c>
      <c r="C105" s="67" t="s">
        <v>68</v>
      </c>
      <c r="D105" s="59" t="s">
        <v>179</v>
      </c>
      <c r="E105" s="75" t="s">
        <v>70</v>
      </c>
      <c r="F105" s="90">
        <v>46091.4607407407</v>
      </c>
      <c r="G105" s="90">
        <v>46089.4608796296</v>
      </c>
      <c r="H105" s="77" t="s">
        <v>76</v>
      </c>
      <c r="I105" s="82">
        <v>12000</v>
      </c>
      <c r="J105" s="79" t="s">
        <v>72</v>
      </c>
      <c r="K105" s="80" t="s">
        <v>73</v>
      </c>
      <c r="L105" s="90">
        <v>46046.5837731482</v>
      </c>
      <c r="M105" s="90">
        <v>46050.6836574074</v>
      </c>
      <c r="N105" s="81" t="s">
        <v>74</v>
      </c>
      <c r="O105" s="90">
        <v>46054.8342361111</v>
      </c>
      <c r="P105" s="90">
        <v>46053.8343981481</v>
      </c>
    </row>
    <row r="106" s="59" customFormat="1" spans="1:22">
      <c r="A106" s="74">
        <v>105</v>
      </c>
      <c r="B106" s="66" t="s">
        <v>67</v>
      </c>
      <c r="C106" s="67" t="s">
        <v>68</v>
      </c>
      <c r="D106" s="59" t="s">
        <v>180</v>
      </c>
      <c r="E106" s="75" t="s">
        <v>70</v>
      </c>
      <c r="F106" s="90">
        <v>46091.4643171296</v>
      </c>
      <c r="G106" s="90">
        <v>46089.4644675926</v>
      </c>
      <c r="H106" s="77" t="s">
        <v>76</v>
      </c>
      <c r="I106" s="82">
        <v>12000</v>
      </c>
      <c r="J106" s="79" t="s">
        <v>72</v>
      </c>
      <c r="K106" s="80" t="s">
        <v>73</v>
      </c>
      <c r="L106" s="90">
        <v>46043.7497337963</v>
      </c>
      <c r="M106" s="90">
        <v>46043.8262037037</v>
      </c>
      <c r="N106" s="81" t="s">
        <v>74</v>
      </c>
      <c r="O106" s="90">
        <v>46050.8336111111</v>
      </c>
      <c r="P106" s="90">
        <v>46049.8337615741</v>
      </c>
    </row>
    <row r="107" s="59" customFormat="1" spans="1:22">
      <c r="A107" s="74">
        <v>106</v>
      </c>
      <c r="B107" s="66" t="s">
        <v>67</v>
      </c>
      <c r="C107" s="67" t="s">
        <v>68</v>
      </c>
      <c r="D107" s="59" t="s">
        <v>181</v>
      </c>
      <c r="E107" s="75" t="s">
        <v>70</v>
      </c>
      <c r="F107" s="90">
        <v>46091.4644907407</v>
      </c>
      <c r="G107" s="90">
        <v>46089.4646412037</v>
      </c>
      <c r="H107" s="77" t="s">
        <v>76</v>
      </c>
      <c r="I107" s="82">
        <v>12000</v>
      </c>
      <c r="J107" s="79" t="s">
        <v>72</v>
      </c>
      <c r="K107" s="80" t="s">
        <v>73</v>
      </c>
      <c r="L107" s="90">
        <v>46043.7497453704</v>
      </c>
      <c r="M107" s="90">
        <v>46043.8771759259</v>
      </c>
      <c r="N107" s="81" t="s">
        <v>74</v>
      </c>
      <c r="O107" s="90">
        <v>46050.8336111111</v>
      </c>
      <c r="P107" s="90">
        <v>46049.8337615741</v>
      </c>
    </row>
    <row r="108" s="59" customFormat="1" spans="1:22">
      <c r="A108" s="74">
        <v>107</v>
      </c>
      <c r="B108" s="66" t="s">
        <v>67</v>
      </c>
      <c r="C108" s="67" t="s">
        <v>68</v>
      </c>
      <c r="D108" s="59" t="s">
        <v>182</v>
      </c>
      <c r="E108" s="88"/>
      <c r="H108" s="77" t="s">
        <v>76</v>
      </c>
      <c r="I108" s="82">
        <v>12000</v>
      </c>
      <c r="J108" s="79"/>
      <c r="K108" s="85"/>
      <c r="L108" s="86"/>
      <c r="M108" s="87"/>
    </row>
    <row r="109" s="59" customFormat="1" spans="1:22">
      <c r="A109" s="74">
        <v>108</v>
      </c>
      <c r="B109" s="66" t="s">
        <v>67</v>
      </c>
      <c r="C109" s="67" t="s">
        <v>68</v>
      </c>
      <c r="D109" s="59" t="s">
        <v>183</v>
      </c>
      <c r="E109" s="88"/>
      <c r="F109" s="89"/>
      <c r="G109" s="89"/>
      <c r="H109" s="77" t="s">
        <v>76</v>
      </c>
      <c r="I109" s="82">
        <v>12000</v>
      </c>
      <c r="J109" s="79"/>
      <c r="K109" s="85"/>
      <c r="L109" s="89"/>
      <c r="M109" s="89"/>
    </row>
    <row r="110" s="59" customFormat="1" spans="1:22">
      <c r="A110" s="74">
        <v>109</v>
      </c>
      <c r="B110" s="66" t="s">
        <v>67</v>
      </c>
      <c r="C110" s="67" t="s">
        <v>68</v>
      </c>
      <c r="D110" s="59" t="s">
        <v>184</v>
      </c>
      <c r="E110" s="88"/>
      <c r="F110" s="89"/>
      <c r="G110" s="89"/>
      <c r="H110" s="77" t="s">
        <v>76</v>
      </c>
      <c r="I110" s="82">
        <v>12000</v>
      </c>
      <c r="J110" s="79"/>
      <c r="K110" s="85"/>
      <c r="L110" s="89"/>
      <c r="M110" s="89"/>
      <c r="O110" s="89"/>
      <c r="P110" s="89"/>
      <c r="R110" s="89"/>
      <c r="S110" s="89"/>
      <c r="U110" s="89"/>
      <c r="V110" s="89"/>
    </row>
    <row r="111" s="59" customFormat="1" spans="1:22">
      <c r="A111" s="74">
        <v>110</v>
      </c>
      <c r="B111" s="66" t="s">
        <v>67</v>
      </c>
      <c r="C111" s="67" t="s">
        <v>68</v>
      </c>
      <c r="D111" s="59" t="s">
        <v>185</v>
      </c>
      <c r="E111" s="80" t="s">
        <v>73</v>
      </c>
      <c r="F111" s="90">
        <v>46043.7354050926</v>
      </c>
      <c r="G111" s="90">
        <v>46046.6714351852</v>
      </c>
      <c r="H111" s="77" t="s">
        <v>71</v>
      </c>
      <c r="I111" s="78">
        <v>16000</v>
      </c>
      <c r="J111" s="79" t="s">
        <v>72</v>
      </c>
      <c r="K111" s="85"/>
      <c r="L111" s="89"/>
      <c r="M111" s="89"/>
    </row>
    <row r="112" s="59" customFormat="1" spans="1:22">
      <c r="A112" s="74">
        <v>111</v>
      </c>
      <c r="B112" s="66" t="s">
        <v>67</v>
      </c>
      <c r="C112" s="67" t="s">
        <v>68</v>
      </c>
      <c r="D112" s="59" t="s">
        <v>186</v>
      </c>
      <c r="E112" s="75" t="s">
        <v>70</v>
      </c>
      <c r="F112" s="76">
        <v>46124.8822453704</v>
      </c>
      <c r="G112" s="76">
        <v>46123.8824652778</v>
      </c>
      <c r="H112" s="77" t="s">
        <v>76</v>
      </c>
      <c r="I112" s="82">
        <v>12000</v>
      </c>
      <c r="J112" s="79" t="s">
        <v>72</v>
      </c>
      <c r="K112" s="80" t="s">
        <v>73</v>
      </c>
      <c r="L112" s="90">
        <v>46093.6751851852</v>
      </c>
      <c r="M112" s="90">
        <v>46097.7240162037</v>
      </c>
      <c r="N112" s="81" t="s">
        <v>74</v>
      </c>
      <c r="O112" s="76">
        <v>46100.8336226852</v>
      </c>
      <c r="P112" s="76">
        <v>46099.8338541667</v>
      </c>
    </row>
    <row r="113" s="59" customFormat="1" spans="1:16">
      <c r="A113" s="74">
        <v>112</v>
      </c>
      <c r="B113" s="66" t="s">
        <v>67</v>
      </c>
      <c r="C113" s="67" t="s">
        <v>68</v>
      </c>
      <c r="D113" s="59" t="s">
        <v>187</v>
      </c>
      <c r="E113" s="75" t="s">
        <v>70</v>
      </c>
      <c r="F113" s="76">
        <v>46124.8822453704</v>
      </c>
      <c r="G113" s="76">
        <v>46123.8824652778</v>
      </c>
      <c r="H113" s="77" t="s">
        <v>76</v>
      </c>
      <c r="I113" s="82">
        <v>12000</v>
      </c>
      <c r="J113" s="79" t="s">
        <v>72</v>
      </c>
      <c r="K113" s="80" t="s">
        <v>73</v>
      </c>
      <c r="L113" s="90">
        <v>46093.6751851852</v>
      </c>
      <c r="M113" s="90">
        <v>46097.7254166667</v>
      </c>
      <c r="N113" s="81" t="s">
        <v>74</v>
      </c>
      <c r="O113" s="76">
        <v>46100.8336226852</v>
      </c>
      <c r="P113" s="76">
        <v>46099.8338541667</v>
      </c>
    </row>
    <row r="114" s="59" customFormat="1" spans="1:16">
      <c r="A114" s="74">
        <v>113</v>
      </c>
      <c r="B114" s="66" t="s">
        <v>67</v>
      </c>
      <c r="C114" s="67" t="s">
        <v>68</v>
      </c>
      <c r="D114" s="59" t="s">
        <v>188</v>
      </c>
      <c r="E114" s="75" t="s">
        <v>70</v>
      </c>
      <c r="F114" s="76">
        <v>46124.8822453704</v>
      </c>
      <c r="G114" s="76">
        <v>46123.8824652778</v>
      </c>
      <c r="H114" s="77" t="s">
        <v>76</v>
      </c>
      <c r="I114" s="82">
        <v>12000</v>
      </c>
      <c r="J114" s="68" t="s">
        <v>72</v>
      </c>
      <c r="K114" s="83" t="s">
        <v>78</v>
      </c>
      <c r="L114" s="76">
        <v>46102</v>
      </c>
      <c r="M114" s="76">
        <v>46104.7378472222</v>
      </c>
      <c r="O114" s="89"/>
      <c r="P114" s="89"/>
    </row>
    <row r="115" s="59" customFormat="1" spans="1:16">
      <c r="A115" s="74">
        <v>114</v>
      </c>
      <c r="B115" s="66" t="s">
        <v>67</v>
      </c>
      <c r="C115" s="67" t="s">
        <v>68</v>
      </c>
      <c r="D115" s="59" t="s">
        <v>189</v>
      </c>
      <c r="E115" s="75" t="s">
        <v>70</v>
      </c>
      <c r="F115" s="90">
        <v>46091.4680208333</v>
      </c>
      <c r="G115" s="90">
        <v>46089.4681712963</v>
      </c>
      <c r="H115" s="77" t="s">
        <v>76</v>
      </c>
      <c r="I115" s="82">
        <v>12000</v>
      </c>
      <c r="J115" s="79" t="s">
        <v>72</v>
      </c>
      <c r="K115" s="80" t="s">
        <v>73</v>
      </c>
      <c r="L115" s="90">
        <v>46043.7498032407</v>
      </c>
      <c r="M115" s="90">
        <v>46046.6716087963</v>
      </c>
      <c r="N115" s="81" t="s">
        <v>74</v>
      </c>
      <c r="O115" s="90">
        <v>46050.8336111111</v>
      </c>
      <c r="P115" s="90">
        <v>46049.8337615741</v>
      </c>
    </row>
    <row r="116" s="59" customFormat="1" spans="1:16">
      <c r="A116" s="74">
        <v>115</v>
      </c>
      <c r="B116" s="66" t="s">
        <v>67</v>
      </c>
      <c r="C116" s="67" t="s">
        <v>68</v>
      </c>
      <c r="D116" s="59" t="s">
        <v>190</v>
      </c>
      <c r="E116" s="75" t="s">
        <v>70</v>
      </c>
      <c r="F116" s="90">
        <v>46091.4715509259</v>
      </c>
      <c r="G116" s="90">
        <v>46089.4716898148</v>
      </c>
      <c r="H116" s="77" t="s">
        <v>76</v>
      </c>
      <c r="I116" s="82">
        <v>12000</v>
      </c>
      <c r="J116" s="79" t="s">
        <v>72</v>
      </c>
      <c r="K116" s="80" t="s">
        <v>73</v>
      </c>
      <c r="L116" s="90">
        <v>46043.7497569444</v>
      </c>
      <c r="M116" s="90">
        <v>46046.6718518519</v>
      </c>
      <c r="N116" s="81" t="s">
        <v>74</v>
      </c>
      <c r="O116" s="90">
        <v>46050.8336111111</v>
      </c>
      <c r="P116" s="90">
        <v>46049.8337615741</v>
      </c>
    </row>
    <row r="117" s="59" customFormat="1" spans="1:16">
      <c r="A117" s="74">
        <v>116</v>
      </c>
      <c r="B117" s="66" t="s">
        <v>67</v>
      </c>
      <c r="C117" s="67" t="s">
        <v>68</v>
      </c>
      <c r="D117" s="59" t="s">
        <v>191</v>
      </c>
      <c r="E117" s="75" t="s">
        <v>70</v>
      </c>
      <c r="F117" s="90">
        <v>46091.4715509259</v>
      </c>
      <c r="G117" s="90">
        <v>46089.4717013889</v>
      </c>
      <c r="H117" s="77" t="s">
        <v>76</v>
      </c>
      <c r="I117" s="82">
        <v>12000</v>
      </c>
      <c r="J117" s="79" t="s">
        <v>72</v>
      </c>
      <c r="K117" s="80" t="s">
        <v>73</v>
      </c>
      <c r="L117" s="90">
        <v>46046.5837731482</v>
      </c>
      <c r="M117" s="90">
        <v>46050.687962963</v>
      </c>
      <c r="N117" s="81" t="s">
        <v>74</v>
      </c>
      <c r="O117" s="90">
        <v>46054.8342361111</v>
      </c>
      <c r="P117" s="90">
        <v>46053.8343981481</v>
      </c>
    </row>
    <row r="118" s="59" customFormat="1" spans="1:16">
      <c r="A118" s="74">
        <v>117</v>
      </c>
      <c r="B118" s="66" t="s">
        <v>67</v>
      </c>
      <c r="C118" s="67" t="s">
        <v>68</v>
      </c>
      <c r="D118" s="59" t="s">
        <v>192</v>
      </c>
      <c r="E118" s="75" t="s">
        <v>70</v>
      </c>
      <c r="F118" s="90">
        <v>46091.4715509259</v>
      </c>
      <c r="G118" s="90">
        <v>46089.4717013889</v>
      </c>
      <c r="H118" s="77" t="s">
        <v>76</v>
      </c>
      <c r="I118" s="82">
        <v>12000</v>
      </c>
      <c r="J118" s="79" t="s">
        <v>72</v>
      </c>
      <c r="K118" s="80" t="s">
        <v>73</v>
      </c>
      <c r="L118" s="90">
        <v>46043.7497569444</v>
      </c>
      <c r="M118" s="90">
        <v>46043.8325462963</v>
      </c>
      <c r="N118" s="81" t="s">
        <v>74</v>
      </c>
      <c r="O118" s="90">
        <v>46050.8336111111</v>
      </c>
      <c r="P118" s="90">
        <v>46049.8337615741</v>
      </c>
    </row>
    <row r="119" s="59" customFormat="1" spans="1:16">
      <c r="A119" s="74">
        <v>118</v>
      </c>
      <c r="B119" s="66" t="s">
        <v>67</v>
      </c>
      <c r="C119" s="67" t="s">
        <v>68</v>
      </c>
      <c r="D119" s="59" t="s">
        <v>193</v>
      </c>
      <c r="E119" s="75" t="s">
        <v>70</v>
      </c>
      <c r="F119" s="90">
        <v>46091.4715856481</v>
      </c>
      <c r="G119" s="90">
        <v>46089.471724537</v>
      </c>
      <c r="H119" s="77" t="s">
        <v>76</v>
      </c>
      <c r="I119" s="82">
        <v>12000</v>
      </c>
      <c r="J119" s="79" t="s">
        <v>72</v>
      </c>
      <c r="K119" s="80" t="s">
        <v>73</v>
      </c>
      <c r="L119" s="90">
        <v>46043.7497222222</v>
      </c>
      <c r="M119" s="90">
        <v>46043.8327083333</v>
      </c>
      <c r="N119" s="81" t="s">
        <v>74</v>
      </c>
      <c r="O119" s="90">
        <v>46050.8336111111</v>
      </c>
      <c r="P119" s="90">
        <v>46049.8337615741</v>
      </c>
    </row>
    <row r="120" s="59" customFormat="1" spans="1:16">
      <c r="A120" s="74">
        <v>119</v>
      </c>
      <c r="B120" s="66" t="s">
        <v>67</v>
      </c>
      <c r="C120" s="67" t="s">
        <v>68</v>
      </c>
      <c r="D120" s="59" t="s">
        <v>194</v>
      </c>
      <c r="E120" s="75" t="s">
        <v>70</v>
      </c>
      <c r="F120" s="90">
        <v>46091.4751157407</v>
      </c>
      <c r="G120" s="90">
        <v>46089.4752546296</v>
      </c>
      <c r="H120" s="77" t="s">
        <v>76</v>
      </c>
      <c r="I120" s="82">
        <v>12000</v>
      </c>
      <c r="J120" s="79" t="s">
        <v>72</v>
      </c>
      <c r="K120" s="80" t="s">
        <v>73</v>
      </c>
      <c r="L120" s="90">
        <v>46046.5837731482</v>
      </c>
      <c r="M120" s="90">
        <v>46050.6955671296</v>
      </c>
      <c r="N120" s="81" t="s">
        <v>74</v>
      </c>
      <c r="O120" s="90">
        <v>46054.8342361111</v>
      </c>
      <c r="P120" s="90">
        <v>46053.8343981481</v>
      </c>
    </row>
    <row r="121" s="59" customFormat="1" spans="1:16">
      <c r="A121" s="74">
        <v>120</v>
      </c>
      <c r="B121" s="66" t="s">
        <v>67</v>
      </c>
      <c r="C121" s="67" t="s">
        <v>68</v>
      </c>
      <c r="D121" s="59" t="s">
        <v>195</v>
      </c>
      <c r="E121" s="75" t="s">
        <v>70</v>
      </c>
      <c r="F121" s="90">
        <v>46091.4750578704</v>
      </c>
      <c r="G121" s="90">
        <v>46089.4751967593</v>
      </c>
      <c r="H121" s="77" t="s">
        <v>76</v>
      </c>
      <c r="I121" s="82">
        <v>12000</v>
      </c>
      <c r="J121" s="79" t="s">
        <v>72</v>
      </c>
      <c r="K121" s="80" t="s">
        <v>73</v>
      </c>
      <c r="L121" s="90">
        <v>46043.7497453704</v>
      </c>
      <c r="M121" s="90">
        <v>46043.8345601852</v>
      </c>
      <c r="N121" s="81" t="s">
        <v>74</v>
      </c>
      <c r="O121" s="90">
        <v>46050.8336111111</v>
      </c>
      <c r="P121" s="90">
        <v>46049.8337615741</v>
      </c>
    </row>
    <row r="122" s="59" customFormat="1" spans="1:16">
      <c r="A122" s="74">
        <v>121</v>
      </c>
      <c r="B122" s="66" t="s">
        <v>67</v>
      </c>
      <c r="C122" s="67" t="s">
        <v>68</v>
      </c>
      <c r="D122" s="59" t="s">
        <v>196</v>
      </c>
      <c r="E122" s="75" t="s">
        <v>70</v>
      </c>
      <c r="F122" s="90">
        <v>46091.4787615741</v>
      </c>
      <c r="G122" s="90">
        <v>46089.478900463</v>
      </c>
      <c r="H122" s="77" t="s">
        <v>76</v>
      </c>
      <c r="I122" s="82">
        <v>12000</v>
      </c>
      <c r="J122" s="79" t="s">
        <v>72</v>
      </c>
      <c r="K122" s="80" t="s">
        <v>73</v>
      </c>
      <c r="L122" s="90">
        <v>46043.7497453704</v>
      </c>
      <c r="M122" s="90">
        <v>46043.8351736111</v>
      </c>
      <c r="N122" s="81" t="s">
        <v>74</v>
      </c>
      <c r="O122" s="90">
        <v>46050.8336111111</v>
      </c>
      <c r="P122" s="90">
        <v>46049.8337615741</v>
      </c>
    </row>
    <row r="123" s="59" customFormat="1" spans="1:16">
      <c r="A123" s="74">
        <v>122</v>
      </c>
      <c r="B123" s="66" t="s">
        <v>67</v>
      </c>
      <c r="C123" s="67" t="s">
        <v>68</v>
      </c>
      <c r="D123" s="59" t="s">
        <v>197</v>
      </c>
      <c r="E123" s="75" t="s">
        <v>70</v>
      </c>
      <c r="F123" s="90">
        <v>46091.4787847222</v>
      </c>
      <c r="G123" s="90">
        <v>46089.4789236111</v>
      </c>
      <c r="H123" s="77" t="s">
        <v>76</v>
      </c>
      <c r="I123" s="82">
        <v>12000</v>
      </c>
      <c r="J123" s="79" t="s">
        <v>72</v>
      </c>
      <c r="K123" s="80" t="s">
        <v>73</v>
      </c>
      <c r="L123" s="90">
        <v>46046.5837731482</v>
      </c>
      <c r="M123" s="90">
        <v>46050.6956481481</v>
      </c>
      <c r="N123" s="81" t="s">
        <v>74</v>
      </c>
      <c r="O123" s="90">
        <v>46054.8342361111</v>
      </c>
      <c r="P123" s="90">
        <v>46053.8343981481</v>
      </c>
    </row>
    <row r="124" s="59" customFormat="1" spans="1:16">
      <c r="A124" s="74">
        <v>123</v>
      </c>
      <c r="B124" s="66" t="s">
        <v>67</v>
      </c>
      <c r="C124" s="67" t="s">
        <v>68</v>
      </c>
      <c r="D124" s="59" t="s">
        <v>198</v>
      </c>
      <c r="E124" s="75" t="s">
        <v>70</v>
      </c>
      <c r="F124" s="90">
        <v>46091.4787615741</v>
      </c>
      <c r="G124" s="90">
        <v>46089.478900463</v>
      </c>
      <c r="H124" s="77" t="s">
        <v>76</v>
      </c>
      <c r="I124" s="82">
        <v>12000</v>
      </c>
      <c r="J124" s="79" t="s">
        <v>72</v>
      </c>
      <c r="K124" s="80" t="s">
        <v>73</v>
      </c>
      <c r="L124" s="90">
        <v>46043.7497337963</v>
      </c>
      <c r="M124" s="90">
        <v>46046.6723032407</v>
      </c>
      <c r="N124" s="81" t="s">
        <v>74</v>
      </c>
      <c r="O124" s="90">
        <v>46050.8336111111</v>
      </c>
      <c r="P124" s="90">
        <v>46049.8337615741</v>
      </c>
    </row>
    <row r="125" s="59" customFormat="1" spans="1:16">
      <c r="A125" s="74">
        <v>124</v>
      </c>
      <c r="B125" s="66" t="s">
        <v>67</v>
      </c>
      <c r="C125" s="67" t="s">
        <v>68</v>
      </c>
      <c r="D125" s="59" t="s">
        <v>199</v>
      </c>
      <c r="E125" s="75" t="s">
        <v>70</v>
      </c>
      <c r="F125" s="90">
        <v>46091.4787847222</v>
      </c>
      <c r="G125" s="90">
        <v>46089.4789236111</v>
      </c>
      <c r="H125" s="77" t="s">
        <v>76</v>
      </c>
      <c r="I125" s="78">
        <v>12000</v>
      </c>
      <c r="J125" s="79" t="s">
        <v>72</v>
      </c>
      <c r="K125" s="80" t="s">
        <v>73</v>
      </c>
      <c r="L125" s="90">
        <v>46043.7497569444</v>
      </c>
      <c r="M125" s="90">
        <v>46046.6728935185</v>
      </c>
      <c r="N125" s="81" t="s">
        <v>74</v>
      </c>
      <c r="O125" s="90">
        <v>46050.8336111111</v>
      </c>
      <c r="P125" s="90">
        <v>46049.8337615741</v>
      </c>
    </row>
    <row r="126" s="59" customFormat="1" spans="1:16">
      <c r="A126" s="74">
        <v>125</v>
      </c>
      <c r="B126" s="66" t="s">
        <v>67</v>
      </c>
      <c r="C126" s="67" t="s">
        <v>68</v>
      </c>
      <c r="D126" s="59" t="s">
        <v>200</v>
      </c>
      <c r="E126" s="75" t="s">
        <v>70</v>
      </c>
      <c r="F126" s="90">
        <v>46091.4822106482</v>
      </c>
      <c r="G126" s="90">
        <v>46089.482349537</v>
      </c>
      <c r="H126" s="77" t="s">
        <v>76</v>
      </c>
      <c r="I126" s="82">
        <v>12000</v>
      </c>
      <c r="J126" s="79" t="s">
        <v>72</v>
      </c>
      <c r="K126" s="80" t="s">
        <v>73</v>
      </c>
      <c r="L126" s="90">
        <v>46046.5837731482</v>
      </c>
      <c r="M126" s="90">
        <v>46050.6957291667</v>
      </c>
      <c r="N126" s="81" t="s">
        <v>74</v>
      </c>
      <c r="O126" s="90">
        <v>46054.8342361111</v>
      </c>
      <c r="P126" s="90">
        <v>46053.8343981481</v>
      </c>
    </row>
    <row r="127" s="59" customFormat="1" spans="1:16">
      <c r="A127" s="74">
        <v>126</v>
      </c>
      <c r="B127" s="66" t="s">
        <v>67</v>
      </c>
      <c r="C127" s="67" t="s">
        <v>68</v>
      </c>
      <c r="D127" s="59" t="s">
        <v>201</v>
      </c>
      <c r="E127" s="75" t="s">
        <v>70</v>
      </c>
      <c r="F127" s="90">
        <v>46091.4857523148</v>
      </c>
      <c r="G127" s="90">
        <v>46089.4858912037</v>
      </c>
      <c r="H127" s="77" t="s">
        <v>76</v>
      </c>
      <c r="I127" s="82">
        <v>12000</v>
      </c>
      <c r="J127" s="79" t="s">
        <v>72</v>
      </c>
      <c r="K127" s="80" t="s">
        <v>73</v>
      </c>
      <c r="L127" s="90">
        <v>46043.7497453704</v>
      </c>
      <c r="M127" s="90">
        <v>46046.6730787037</v>
      </c>
      <c r="N127" s="81" t="s">
        <v>74</v>
      </c>
      <c r="O127" s="90">
        <v>46050.8336111111</v>
      </c>
      <c r="P127" s="90">
        <v>46049.8337615741</v>
      </c>
    </row>
    <row r="128" s="59" customFormat="1" spans="1:16">
      <c r="A128" s="74">
        <v>127</v>
      </c>
      <c r="B128" s="66" t="s">
        <v>67</v>
      </c>
      <c r="C128" s="67" t="s">
        <v>68</v>
      </c>
      <c r="D128" s="59" t="s">
        <v>202</v>
      </c>
      <c r="E128" s="75" t="s">
        <v>70</v>
      </c>
      <c r="F128" s="90">
        <v>46091.4857407407</v>
      </c>
      <c r="G128" s="90">
        <v>46089.4858796296</v>
      </c>
      <c r="H128" s="77" t="s">
        <v>76</v>
      </c>
      <c r="I128" s="82">
        <v>12000</v>
      </c>
      <c r="J128" s="79" t="s">
        <v>72</v>
      </c>
      <c r="K128" s="80" t="s">
        <v>73</v>
      </c>
      <c r="L128" s="90">
        <v>46043.7497222222</v>
      </c>
      <c r="M128" s="90">
        <v>46043.8380208333</v>
      </c>
      <c r="N128" s="81" t="s">
        <v>74</v>
      </c>
      <c r="O128" s="90">
        <v>46050.8336111111</v>
      </c>
      <c r="P128" s="90">
        <v>46049.8337615741</v>
      </c>
    </row>
    <row r="129" s="59" customFormat="1" spans="1:16">
      <c r="A129" s="74">
        <v>128</v>
      </c>
      <c r="B129" s="66" t="s">
        <v>67</v>
      </c>
      <c r="C129" s="67" t="s">
        <v>68</v>
      </c>
      <c r="D129" s="59" t="s">
        <v>203</v>
      </c>
      <c r="E129" s="75" t="s">
        <v>70</v>
      </c>
      <c r="F129" s="90">
        <v>46091.4891203704</v>
      </c>
      <c r="G129" s="90">
        <v>46089.4892708333</v>
      </c>
      <c r="H129" s="77" t="s">
        <v>76</v>
      </c>
      <c r="I129" s="82">
        <v>12000</v>
      </c>
      <c r="J129" s="79" t="s">
        <v>72</v>
      </c>
      <c r="K129" s="80" t="s">
        <v>73</v>
      </c>
      <c r="L129" s="90">
        <v>46046.5837731482</v>
      </c>
      <c r="M129" s="90">
        <v>46050.6958101852</v>
      </c>
      <c r="N129" s="81" t="s">
        <v>74</v>
      </c>
      <c r="O129" s="90">
        <v>46054.8342361111</v>
      </c>
      <c r="P129" s="90">
        <v>46053.8343981481</v>
      </c>
    </row>
    <row r="130" s="59" customFormat="1" spans="1:16">
      <c r="A130" s="74">
        <v>129</v>
      </c>
      <c r="B130" s="66" t="s">
        <v>67</v>
      </c>
      <c r="C130" s="67" t="s">
        <v>68</v>
      </c>
      <c r="D130" s="59" t="s">
        <v>204</v>
      </c>
      <c r="E130" s="80"/>
      <c r="F130" s="89"/>
      <c r="G130" s="89"/>
      <c r="H130" s="77" t="s">
        <v>76</v>
      </c>
      <c r="I130" s="82">
        <v>12000</v>
      </c>
      <c r="J130" s="79"/>
      <c r="K130" s="85"/>
      <c r="L130" s="89"/>
      <c r="M130" s="89"/>
      <c r="O130" s="89"/>
      <c r="P130" s="89"/>
    </row>
    <row r="131" s="59" customFormat="1" spans="1:16">
      <c r="A131" s="74">
        <v>130</v>
      </c>
      <c r="B131" s="66" t="s">
        <v>67</v>
      </c>
      <c r="C131" s="67" t="s">
        <v>68</v>
      </c>
      <c r="D131" s="59" t="s">
        <v>205</v>
      </c>
      <c r="E131" s="80"/>
      <c r="F131" s="89"/>
      <c r="G131" s="89"/>
      <c r="H131" s="77" t="s">
        <v>76</v>
      </c>
      <c r="I131" s="82">
        <v>12000</v>
      </c>
      <c r="J131" s="79"/>
      <c r="K131" s="85"/>
      <c r="L131" s="89"/>
      <c r="M131" s="89"/>
    </row>
    <row r="132" s="59" customFormat="1" spans="1:16">
      <c r="A132" s="74">
        <v>131</v>
      </c>
      <c r="B132" s="66" t="s">
        <v>67</v>
      </c>
      <c r="C132" s="67" t="s">
        <v>68</v>
      </c>
      <c r="D132" s="59" t="s">
        <v>206</v>
      </c>
      <c r="E132" s="80"/>
      <c r="F132" s="89"/>
      <c r="G132" s="89"/>
      <c r="H132" s="77" t="s">
        <v>76</v>
      </c>
      <c r="I132" s="82">
        <v>12000</v>
      </c>
      <c r="J132" s="79"/>
      <c r="K132" s="85"/>
      <c r="L132" s="89"/>
      <c r="M132" s="89"/>
    </row>
    <row r="133" s="59" customFormat="1" spans="1:16">
      <c r="A133" s="74">
        <v>132</v>
      </c>
      <c r="B133" s="66" t="s">
        <v>67</v>
      </c>
      <c r="C133" s="67" t="s">
        <v>68</v>
      </c>
      <c r="D133" s="59" t="s">
        <v>207</v>
      </c>
      <c r="E133" s="80"/>
      <c r="F133" s="89"/>
      <c r="G133" s="89"/>
      <c r="H133" s="77" t="s">
        <v>76</v>
      </c>
      <c r="I133" s="82">
        <v>12000</v>
      </c>
      <c r="J133" s="79"/>
      <c r="K133" s="85"/>
      <c r="L133" s="89"/>
      <c r="M133" s="89"/>
    </row>
    <row r="134" s="59" customFormat="1" spans="1:16">
      <c r="A134" s="74">
        <v>133</v>
      </c>
      <c r="B134" s="66" t="s">
        <v>67</v>
      </c>
      <c r="C134" s="67" t="s">
        <v>68</v>
      </c>
      <c r="D134" s="59" t="s">
        <v>208</v>
      </c>
      <c r="E134" s="75" t="s">
        <v>70</v>
      </c>
      <c r="F134" s="76">
        <v>46124.8822453704</v>
      </c>
      <c r="G134" s="76">
        <v>46123.8824652778</v>
      </c>
      <c r="H134" s="77" t="s">
        <v>71</v>
      </c>
      <c r="I134" s="78">
        <v>16000</v>
      </c>
      <c r="J134" s="68" t="s">
        <v>72</v>
      </c>
      <c r="K134" s="83" t="s">
        <v>78</v>
      </c>
      <c r="L134" s="76">
        <v>46102</v>
      </c>
      <c r="M134" s="76">
        <v>46104.7379166667</v>
      </c>
    </row>
    <row r="135" s="59" customFormat="1" spans="1:16">
      <c r="A135" s="74">
        <v>134</v>
      </c>
      <c r="B135" s="66" t="s">
        <v>67</v>
      </c>
      <c r="C135" s="67" t="s">
        <v>68</v>
      </c>
      <c r="D135" s="59" t="s">
        <v>209</v>
      </c>
      <c r="E135" s="75" t="s">
        <v>70</v>
      </c>
      <c r="F135" s="76">
        <v>46128.6241550926</v>
      </c>
      <c r="G135" s="76">
        <v>46126.6243634259</v>
      </c>
      <c r="H135" s="77" t="s">
        <v>76</v>
      </c>
      <c r="I135" s="82">
        <v>12000</v>
      </c>
      <c r="J135" s="79" t="s">
        <v>72</v>
      </c>
      <c r="K135" s="80" t="s">
        <v>73</v>
      </c>
      <c r="L135" s="76">
        <v>46093.6751851852</v>
      </c>
      <c r="M135" s="76">
        <v>46097.7272106481</v>
      </c>
      <c r="N135" s="81" t="s">
        <v>74</v>
      </c>
      <c r="O135" s="76">
        <v>46100.8336226852</v>
      </c>
      <c r="P135" s="76">
        <v>46099.8338541667</v>
      </c>
    </row>
    <row r="136" s="59" customFormat="1" spans="1:16">
      <c r="A136" s="74">
        <v>135</v>
      </c>
      <c r="B136" s="66" t="s">
        <v>67</v>
      </c>
      <c r="C136" s="67" t="s">
        <v>68</v>
      </c>
      <c r="D136" s="59" t="s">
        <v>210</v>
      </c>
      <c r="E136" s="75" t="s">
        <v>70</v>
      </c>
      <c r="F136" s="76">
        <v>46128.6030324074</v>
      </c>
      <c r="G136" s="76">
        <v>46126.6032523148</v>
      </c>
      <c r="H136" s="77" t="s">
        <v>76</v>
      </c>
      <c r="I136" s="82">
        <v>12000</v>
      </c>
      <c r="J136" s="79" t="s">
        <v>72</v>
      </c>
      <c r="K136" s="80" t="s">
        <v>73</v>
      </c>
      <c r="L136" s="76">
        <v>46093.6751851852</v>
      </c>
      <c r="M136" s="76">
        <v>46097.7275462963</v>
      </c>
      <c r="N136" s="81" t="s">
        <v>74</v>
      </c>
      <c r="O136" s="76">
        <v>46100.8336226852</v>
      </c>
      <c r="P136" s="76">
        <v>46099.8338541667</v>
      </c>
    </row>
    <row r="137" s="59" customFormat="1" spans="1:16">
      <c r="A137" s="74">
        <v>136</v>
      </c>
      <c r="B137" s="66" t="s">
        <v>67</v>
      </c>
      <c r="C137" s="67" t="s">
        <v>68</v>
      </c>
      <c r="D137" s="59" t="s">
        <v>211</v>
      </c>
      <c r="E137" s="75" t="s">
        <v>70</v>
      </c>
      <c r="F137" s="90">
        <v>46091.7177662037</v>
      </c>
      <c r="G137" s="90">
        <v>46089.7179050926</v>
      </c>
      <c r="H137" s="77" t="s">
        <v>76</v>
      </c>
      <c r="I137" s="82">
        <v>12000</v>
      </c>
      <c r="J137" s="79" t="s">
        <v>72</v>
      </c>
      <c r="K137" s="80" t="s">
        <v>73</v>
      </c>
      <c r="L137" s="90">
        <v>46046.5837731482</v>
      </c>
      <c r="M137" s="90">
        <v>46050.7049305556</v>
      </c>
      <c r="N137" s="81" t="s">
        <v>74</v>
      </c>
      <c r="O137" s="90">
        <v>46054.8342361111</v>
      </c>
      <c r="P137" s="90">
        <v>46053.8343981481</v>
      </c>
    </row>
    <row r="138" s="59" customFormat="1" spans="1:16">
      <c r="A138" s="74">
        <v>137</v>
      </c>
      <c r="B138" s="66" t="s">
        <v>67</v>
      </c>
      <c r="C138" s="67" t="s">
        <v>68</v>
      </c>
      <c r="D138" s="59" t="s">
        <v>212</v>
      </c>
      <c r="E138" s="75" t="s">
        <v>70</v>
      </c>
      <c r="F138" s="90">
        <v>46091.717662037</v>
      </c>
      <c r="G138" s="90">
        <v>46089.7178125</v>
      </c>
      <c r="H138" s="77" t="s">
        <v>76</v>
      </c>
      <c r="I138" s="82">
        <v>12000</v>
      </c>
      <c r="J138" s="79" t="s">
        <v>72</v>
      </c>
      <c r="K138" s="80" t="s">
        <v>73</v>
      </c>
      <c r="L138" s="90">
        <v>46043.7497337963</v>
      </c>
      <c r="M138" s="90">
        <v>46046.7327430556</v>
      </c>
      <c r="N138" s="81" t="s">
        <v>74</v>
      </c>
      <c r="O138" s="90">
        <v>46050.8336111111</v>
      </c>
      <c r="P138" s="90">
        <v>46049.8337615741</v>
      </c>
    </row>
    <row r="139" s="59" customFormat="1" spans="1:16">
      <c r="A139" s="74">
        <v>138</v>
      </c>
      <c r="B139" s="66" t="s">
        <v>67</v>
      </c>
      <c r="C139" s="67" t="s">
        <v>68</v>
      </c>
      <c r="D139" s="59" t="s">
        <v>213</v>
      </c>
      <c r="E139" s="75" t="s">
        <v>70</v>
      </c>
      <c r="F139" s="90">
        <v>46091.7178009259</v>
      </c>
      <c r="G139" s="90">
        <v>46089.7179398148</v>
      </c>
      <c r="H139" s="77" t="s">
        <v>76</v>
      </c>
      <c r="I139" s="82">
        <v>12000</v>
      </c>
      <c r="J139" s="79" t="s">
        <v>72</v>
      </c>
      <c r="K139" s="80" t="s">
        <v>73</v>
      </c>
      <c r="L139" s="90">
        <v>46043.7497685185</v>
      </c>
      <c r="M139" s="90">
        <v>46043.8428703704</v>
      </c>
      <c r="N139" s="81" t="s">
        <v>74</v>
      </c>
      <c r="O139" s="90">
        <v>46050.8336111111</v>
      </c>
      <c r="P139" s="90">
        <v>46049.8337615741</v>
      </c>
    </row>
    <row r="140" s="59" customFormat="1" spans="1:16">
      <c r="A140" s="74">
        <v>139</v>
      </c>
      <c r="B140" s="66" t="s">
        <v>67</v>
      </c>
      <c r="C140" s="67" t="s">
        <v>68</v>
      </c>
      <c r="D140" s="59" t="s">
        <v>214</v>
      </c>
      <c r="E140" s="75" t="s">
        <v>70</v>
      </c>
      <c r="F140" s="90">
        <v>46091.7212847222</v>
      </c>
      <c r="G140" s="90">
        <v>46089.7214236111</v>
      </c>
      <c r="H140" s="77" t="s">
        <v>76</v>
      </c>
      <c r="I140" s="82">
        <v>12000</v>
      </c>
      <c r="J140" s="79" t="s">
        <v>72</v>
      </c>
      <c r="K140" s="80" t="s">
        <v>73</v>
      </c>
      <c r="L140" s="90">
        <v>46046.5837731482</v>
      </c>
      <c r="M140" s="90">
        <v>46050.705</v>
      </c>
      <c r="N140" s="81" t="s">
        <v>74</v>
      </c>
      <c r="O140" s="90">
        <v>46054.8342361111</v>
      </c>
      <c r="P140" s="90">
        <v>46053.8343981481</v>
      </c>
    </row>
    <row r="141" s="59" customFormat="1" spans="1:16">
      <c r="A141" s="74">
        <v>140</v>
      </c>
      <c r="B141" s="66" t="s">
        <v>67</v>
      </c>
      <c r="C141" s="67" t="s">
        <v>68</v>
      </c>
      <c r="D141" s="59" t="s">
        <v>215</v>
      </c>
      <c r="E141" s="75" t="s">
        <v>70</v>
      </c>
      <c r="F141" s="90">
        <v>46091.7247685185</v>
      </c>
      <c r="G141" s="90">
        <v>46089.7249074074</v>
      </c>
      <c r="H141" s="77" t="s">
        <v>76</v>
      </c>
      <c r="I141" s="82">
        <v>12000</v>
      </c>
      <c r="J141" s="79" t="s">
        <v>72</v>
      </c>
      <c r="K141" s="80" t="s">
        <v>73</v>
      </c>
      <c r="L141" s="90">
        <v>46043.7497453704</v>
      </c>
      <c r="M141" s="90">
        <v>46043.8430208333</v>
      </c>
      <c r="N141" s="81" t="s">
        <v>74</v>
      </c>
      <c r="O141" s="90">
        <v>46050.8336111111</v>
      </c>
      <c r="P141" s="90">
        <v>46049.8337615741</v>
      </c>
    </row>
    <row r="142" s="59" customFormat="1" spans="1:16">
      <c r="A142" s="74">
        <v>141</v>
      </c>
      <c r="B142" s="66" t="s">
        <v>67</v>
      </c>
      <c r="C142" s="67" t="s">
        <v>68</v>
      </c>
      <c r="D142" s="59" t="s">
        <v>216</v>
      </c>
      <c r="E142" s="75" t="s">
        <v>70</v>
      </c>
      <c r="F142" s="90">
        <v>46091.7317592593</v>
      </c>
      <c r="G142" s="90">
        <v>46089.7318981482</v>
      </c>
      <c r="H142" s="77" t="s">
        <v>76</v>
      </c>
      <c r="I142" s="82">
        <v>12000</v>
      </c>
      <c r="J142" s="79" t="s">
        <v>72</v>
      </c>
      <c r="K142" s="80" t="s">
        <v>73</v>
      </c>
      <c r="L142" s="90">
        <v>46043.7497453704</v>
      </c>
      <c r="M142" s="90">
        <v>46046.7328819444</v>
      </c>
      <c r="N142" s="81" t="s">
        <v>74</v>
      </c>
      <c r="O142" s="90">
        <v>46050.8336111111</v>
      </c>
      <c r="P142" s="90">
        <v>46049.8337615741</v>
      </c>
    </row>
    <row r="143" s="59" customFormat="1" spans="1:16">
      <c r="A143" s="74">
        <v>142</v>
      </c>
      <c r="B143" s="66" t="s">
        <v>67</v>
      </c>
      <c r="C143" s="67" t="s">
        <v>68</v>
      </c>
      <c r="D143" s="59" t="s">
        <v>217</v>
      </c>
      <c r="E143" s="75" t="s">
        <v>70</v>
      </c>
      <c r="F143" s="90">
        <v>46091.7317592593</v>
      </c>
      <c r="G143" s="90">
        <v>46089.7318981482</v>
      </c>
      <c r="H143" s="77" t="s">
        <v>76</v>
      </c>
      <c r="I143" s="82">
        <v>12000</v>
      </c>
      <c r="J143" s="79" t="s">
        <v>72</v>
      </c>
      <c r="K143" s="80" t="s">
        <v>73</v>
      </c>
      <c r="L143" s="90">
        <v>46046.5837731482</v>
      </c>
      <c r="M143" s="90">
        <v>46050.7051157407</v>
      </c>
      <c r="N143" s="81" t="s">
        <v>74</v>
      </c>
      <c r="O143" s="90">
        <v>46054.8342361111</v>
      </c>
      <c r="P143" s="90">
        <v>46053.8343981481</v>
      </c>
    </row>
    <row r="144" s="59" customFormat="1" spans="1:16">
      <c r="A144" s="74">
        <v>143</v>
      </c>
      <c r="B144" s="66" t="s">
        <v>67</v>
      </c>
      <c r="C144" s="67" t="s">
        <v>68</v>
      </c>
      <c r="D144" s="59" t="s">
        <v>218</v>
      </c>
      <c r="E144" s="75" t="s">
        <v>70</v>
      </c>
      <c r="F144" s="90">
        <v>46091.7353356481</v>
      </c>
      <c r="G144" s="90">
        <v>46089.735474537</v>
      </c>
      <c r="H144" s="77" t="s">
        <v>76</v>
      </c>
      <c r="I144" s="82">
        <v>12000</v>
      </c>
      <c r="J144" s="79" t="s">
        <v>72</v>
      </c>
      <c r="K144" s="80" t="s">
        <v>73</v>
      </c>
      <c r="L144" s="90">
        <v>46043.7497222222</v>
      </c>
      <c r="M144" s="90">
        <v>46043.8443287037</v>
      </c>
      <c r="N144" s="81" t="s">
        <v>74</v>
      </c>
      <c r="O144" s="90">
        <v>46050.8336111111</v>
      </c>
      <c r="P144" s="90">
        <v>46049.8337615741</v>
      </c>
    </row>
    <row r="145" s="59" customFormat="1" spans="1:16">
      <c r="A145" s="74">
        <v>144</v>
      </c>
      <c r="B145" s="66" t="s">
        <v>67</v>
      </c>
      <c r="C145" s="67" t="s">
        <v>68</v>
      </c>
      <c r="D145" s="59" t="s">
        <v>219</v>
      </c>
      <c r="E145" s="75" t="s">
        <v>70</v>
      </c>
      <c r="F145" s="90">
        <v>46091.7389814815</v>
      </c>
      <c r="G145" s="90">
        <v>46089.7391203704</v>
      </c>
      <c r="H145" s="77" t="s">
        <v>76</v>
      </c>
      <c r="I145" s="82">
        <v>12000</v>
      </c>
      <c r="J145" s="79" t="s">
        <v>72</v>
      </c>
      <c r="K145" s="80" t="s">
        <v>73</v>
      </c>
      <c r="L145" s="90">
        <v>46043.7498032407</v>
      </c>
      <c r="M145" s="90">
        <v>46043.8898263889</v>
      </c>
      <c r="N145" s="81" t="s">
        <v>74</v>
      </c>
      <c r="O145" s="90">
        <v>46050.8336111111</v>
      </c>
      <c r="P145" s="90">
        <v>46049.8337615741</v>
      </c>
    </row>
    <row r="146" s="59" customFormat="1" spans="1:16">
      <c r="A146" s="74">
        <v>145</v>
      </c>
      <c r="B146" s="66" t="s">
        <v>67</v>
      </c>
      <c r="C146" s="67" t="s">
        <v>68</v>
      </c>
      <c r="D146" s="59" t="s">
        <v>220</v>
      </c>
      <c r="E146" s="75" t="s">
        <v>70</v>
      </c>
      <c r="F146" s="90">
        <v>46091.7390046296</v>
      </c>
      <c r="G146" s="90">
        <v>46089.7391550926</v>
      </c>
      <c r="H146" s="77" t="s">
        <v>76</v>
      </c>
      <c r="I146" s="82">
        <v>12000</v>
      </c>
      <c r="J146" s="79" t="s">
        <v>72</v>
      </c>
      <c r="K146" s="80" t="s">
        <v>73</v>
      </c>
      <c r="L146" s="90">
        <v>46046.5837731482</v>
      </c>
      <c r="M146" s="90">
        <v>46050.7051967593</v>
      </c>
      <c r="N146" s="81" t="s">
        <v>74</v>
      </c>
      <c r="O146" s="90">
        <v>46054.8342361111</v>
      </c>
      <c r="P146" s="90">
        <v>46053.8343981481</v>
      </c>
    </row>
    <row r="147" s="59" customFormat="1" spans="1:16">
      <c r="A147" s="74">
        <v>146</v>
      </c>
      <c r="B147" s="66" t="s">
        <v>67</v>
      </c>
      <c r="C147" s="67" t="s">
        <v>68</v>
      </c>
      <c r="D147" s="59" t="s">
        <v>221</v>
      </c>
      <c r="E147" s="75" t="s">
        <v>70</v>
      </c>
      <c r="F147" s="90">
        <v>46091.7389814815</v>
      </c>
      <c r="G147" s="90">
        <v>46089.7391203704</v>
      </c>
      <c r="H147" s="77" t="s">
        <v>76</v>
      </c>
      <c r="I147" s="82">
        <v>12000</v>
      </c>
      <c r="J147" s="79" t="s">
        <v>72</v>
      </c>
      <c r="K147" s="80" t="s">
        <v>73</v>
      </c>
      <c r="L147" s="90">
        <v>46043.7497222222</v>
      </c>
      <c r="M147" s="90">
        <v>46043.89</v>
      </c>
      <c r="N147" s="81" t="s">
        <v>74</v>
      </c>
      <c r="O147" s="90">
        <v>46050.8336111111</v>
      </c>
      <c r="P147" s="90">
        <v>46049.8337615741</v>
      </c>
    </row>
    <row r="148" s="59" customFormat="1" spans="1:16">
      <c r="A148" s="74">
        <v>147</v>
      </c>
      <c r="B148" s="66" t="s">
        <v>67</v>
      </c>
      <c r="C148" s="67" t="s">
        <v>68</v>
      </c>
      <c r="D148" s="59" t="s">
        <v>222</v>
      </c>
      <c r="E148" s="75" t="s">
        <v>70</v>
      </c>
      <c r="F148" s="90">
        <v>46091.7425115741</v>
      </c>
      <c r="G148" s="90">
        <v>46089.742650463</v>
      </c>
      <c r="H148" s="77" t="s">
        <v>76</v>
      </c>
      <c r="I148" s="82">
        <v>12000</v>
      </c>
      <c r="J148" s="79" t="s">
        <v>72</v>
      </c>
      <c r="K148" s="80" t="s">
        <v>73</v>
      </c>
      <c r="L148" s="90">
        <v>46043.7497685185</v>
      </c>
      <c r="M148" s="90">
        <v>46046.7330092593</v>
      </c>
      <c r="N148" s="81" t="s">
        <v>74</v>
      </c>
      <c r="O148" s="90">
        <v>46050.8336111111</v>
      </c>
      <c r="P148" s="90">
        <v>46049.8337615741</v>
      </c>
    </row>
    <row r="149" s="59" customFormat="1" spans="1:16">
      <c r="A149" s="74">
        <v>148</v>
      </c>
      <c r="B149" s="66" t="s">
        <v>67</v>
      </c>
      <c r="C149" s="67" t="s">
        <v>68</v>
      </c>
      <c r="D149" s="59" t="s">
        <v>223</v>
      </c>
      <c r="E149" s="75" t="s">
        <v>70</v>
      </c>
      <c r="F149" s="90">
        <v>46091.7425115741</v>
      </c>
      <c r="G149" s="90">
        <v>46089.742650463</v>
      </c>
      <c r="H149" s="77" t="s">
        <v>76</v>
      </c>
      <c r="I149" s="82">
        <v>12000</v>
      </c>
      <c r="J149" s="79" t="s">
        <v>72</v>
      </c>
      <c r="K149" s="80" t="s">
        <v>73</v>
      </c>
      <c r="L149" s="90">
        <v>46046.5837731482</v>
      </c>
      <c r="M149" s="90">
        <v>46050.712337963</v>
      </c>
      <c r="N149" s="81" t="s">
        <v>74</v>
      </c>
      <c r="O149" s="90">
        <v>46054.8342361111</v>
      </c>
      <c r="P149" s="90">
        <v>46053.8343981481</v>
      </c>
    </row>
    <row r="150" s="59" customFormat="1" spans="1:16">
      <c r="A150" s="74">
        <v>149</v>
      </c>
      <c r="B150" s="66" t="s">
        <v>67</v>
      </c>
      <c r="C150" s="67" t="s">
        <v>68</v>
      </c>
      <c r="D150" s="59" t="s">
        <v>224</v>
      </c>
      <c r="E150" s="75" t="s">
        <v>70</v>
      </c>
      <c r="F150" s="90">
        <v>46091.7460416667</v>
      </c>
      <c r="G150" s="90">
        <v>46089.7461805556</v>
      </c>
      <c r="H150" s="77" t="s">
        <v>76</v>
      </c>
      <c r="I150" s="82">
        <v>12000</v>
      </c>
      <c r="J150" s="79" t="s">
        <v>72</v>
      </c>
      <c r="K150" s="80" t="s">
        <v>73</v>
      </c>
      <c r="L150" s="90">
        <v>46043.7497569444</v>
      </c>
      <c r="M150" s="90">
        <v>46043.8534375</v>
      </c>
      <c r="N150" s="81" t="s">
        <v>74</v>
      </c>
      <c r="O150" s="90">
        <v>46050.8336111111</v>
      </c>
      <c r="P150" s="90">
        <v>46049.8337615741</v>
      </c>
    </row>
    <row r="151" s="59" customFormat="1" spans="1:16">
      <c r="A151" s="74">
        <v>150</v>
      </c>
      <c r="B151" s="66" t="s">
        <v>67</v>
      </c>
      <c r="C151" s="67" t="s">
        <v>68</v>
      </c>
      <c r="D151" s="59" t="s">
        <v>225</v>
      </c>
      <c r="E151" s="75" t="s">
        <v>70</v>
      </c>
      <c r="F151" s="90">
        <v>46091.7460416667</v>
      </c>
      <c r="G151" s="90">
        <v>46089.7461805556</v>
      </c>
      <c r="H151" s="77" t="s">
        <v>76</v>
      </c>
      <c r="I151" s="82">
        <v>12000</v>
      </c>
      <c r="J151" s="79" t="s">
        <v>72</v>
      </c>
      <c r="K151" s="80" t="s">
        <v>73</v>
      </c>
      <c r="L151" s="90">
        <v>46043.7497222222</v>
      </c>
      <c r="M151" s="90">
        <v>46043.8903703704</v>
      </c>
      <c r="N151" s="81" t="s">
        <v>74</v>
      </c>
      <c r="O151" s="90">
        <v>46050.8336111111</v>
      </c>
      <c r="P151" s="90">
        <v>46049.8337615741</v>
      </c>
    </row>
    <row r="152" s="59" customFormat="1" spans="1:16">
      <c r="A152" s="74">
        <v>151</v>
      </c>
      <c r="B152" s="66" t="s">
        <v>67</v>
      </c>
      <c r="C152" s="67" t="s">
        <v>68</v>
      </c>
      <c r="D152" s="59" t="s">
        <v>226</v>
      </c>
      <c r="E152" s="88"/>
      <c r="F152" s="89"/>
      <c r="G152" s="89"/>
      <c r="H152" s="77" t="s">
        <v>76</v>
      </c>
      <c r="I152" s="82">
        <v>12000</v>
      </c>
      <c r="J152" s="79"/>
      <c r="K152" s="85"/>
      <c r="L152" s="89"/>
      <c r="M152" s="89"/>
    </row>
    <row r="153" s="59" customFormat="1" spans="1:16">
      <c r="A153" s="74">
        <v>152</v>
      </c>
      <c r="B153" s="66" t="s">
        <v>67</v>
      </c>
      <c r="C153" s="67" t="s">
        <v>68</v>
      </c>
      <c r="D153" s="59" t="s">
        <v>227</v>
      </c>
      <c r="E153" s="88"/>
      <c r="H153" s="77" t="s">
        <v>76</v>
      </c>
      <c r="I153" s="82">
        <v>12000</v>
      </c>
      <c r="J153" s="79"/>
      <c r="K153" s="85"/>
      <c r="L153" s="86"/>
      <c r="M153" s="87"/>
    </row>
    <row r="154" s="59" customFormat="1" spans="1:16">
      <c r="A154" s="74">
        <v>153</v>
      </c>
      <c r="B154" s="66" t="s">
        <v>67</v>
      </c>
      <c r="C154" s="67" t="s">
        <v>68</v>
      </c>
      <c r="D154" s="59" t="s">
        <v>228</v>
      </c>
      <c r="E154" s="88"/>
      <c r="H154" s="77" t="s">
        <v>76</v>
      </c>
      <c r="I154" s="82">
        <v>12000</v>
      </c>
      <c r="J154" s="79"/>
      <c r="K154" s="85"/>
      <c r="L154" s="86"/>
      <c r="M154" s="87"/>
    </row>
    <row r="155" s="59" customFormat="1" spans="1:16">
      <c r="A155" s="74">
        <v>154</v>
      </c>
      <c r="B155" s="66" t="s">
        <v>67</v>
      </c>
      <c r="C155" s="67" t="s">
        <v>68</v>
      </c>
      <c r="D155" s="59" t="s">
        <v>229</v>
      </c>
      <c r="E155" s="80" t="s">
        <v>73</v>
      </c>
      <c r="F155" s="90">
        <v>46043.7354050926</v>
      </c>
      <c r="G155" s="90">
        <v>46043.8652777778</v>
      </c>
      <c r="H155" s="77" t="s">
        <v>71</v>
      </c>
      <c r="I155" s="78">
        <v>16000</v>
      </c>
      <c r="J155" s="79" t="s">
        <v>72</v>
      </c>
      <c r="K155" s="85"/>
      <c r="L155" s="86"/>
      <c r="M155" s="87"/>
    </row>
    <row r="156" s="59" customFormat="1" spans="1:16">
      <c r="A156" s="74">
        <v>155</v>
      </c>
      <c r="B156" s="66" t="s">
        <v>67</v>
      </c>
      <c r="C156" s="67" t="s">
        <v>68</v>
      </c>
      <c r="D156" s="59" t="s">
        <v>230</v>
      </c>
      <c r="E156" s="75" t="s">
        <v>70</v>
      </c>
      <c r="F156" s="76">
        <v>46128.638125</v>
      </c>
      <c r="G156" s="76">
        <v>46126.6383333333</v>
      </c>
      <c r="H156" s="77" t="s">
        <v>76</v>
      </c>
      <c r="I156" s="82">
        <v>12000</v>
      </c>
      <c r="J156" s="79" t="s">
        <v>72</v>
      </c>
      <c r="K156" s="80" t="s">
        <v>73</v>
      </c>
      <c r="L156" s="76">
        <v>46093.6751967593</v>
      </c>
      <c r="M156" s="76">
        <v>46097.7303356481</v>
      </c>
      <c r="N156" s="81" t="s">
        <v>74</v>
      </c>
      <c r="O156" s="76">
        <v>46100.8336226852</v>
      </c>
      <c r="P156" s="76">
        <v>46099.8338541667</v>
      </c>
    </row>
    <row r="157" s="59" customFormat="1" spans="1:16">
      <c r="A157" s="74">
        <v>156</v>
      </c>
      <c r="B157" s="66" t="s">
        <v>67</v>
      </c>
      <c r="C157" s="67" t="s">
        <v>68</v>
      </c>
      <c r="D157" s="59" t="s">
        <v>231</v>
      </c>
      <c r="E157" s="75" t="s">
        <v>70</v>
      </c>
      <c r="F157" s="76">
        <v>46128.638125</v>
      </c>
      <c r="G157" s="76">
        <v>46126.6383333333</v>
      </c>
      <c r="H157" s="77" t="s">
        <v>76</v>
      </c>
      <c r="I157" s="82">
        <v>12000</v>
      </c>
      <c r="J157" s="79" t="s">
        <v>72</v>
      </c>
      <c r="K157" s="80" t="s">
        <v>73</v>
      </c>
      <c r="L157" s="90">
        <v>46093.6751851852</v>
      </c>
      <c r="M157" s="90">
        <v>46097.730462963</v>
      </c>
      <c r="N157" s="81" t="s">
        <v>74</v>
      </c>
      <c r="O157" s="76">
        <v>46100.8336226852</v>
      </c>
      <c r="P157" s="76">
        <v>46099.8338541667</v>
      </c>
    </row>
    <row r="158" s="59" customFormat="1" spans="1:16">
      <c r="A158" s="74">
        <v>157</v>
      </c>
      <c r="B158" s="66" t="s">
        <v>67</v>
      </c>
      <c r="C158" s="67" t="s">
        <v>68</v>
      </c>
      <c r="D158" s="59" t="s">
        <v>232</v>
      </c>
      <c r="E158" s="75" t="s">
        <v>70</v>
      </c>
      <c r="F158" s="76">
        <v>46128.6415856481</v>
      </c>
      <c r="G158" s="76">
        <v>46126.6418055556</v>
      </c>
      <c r="H158" s="77" t="s">
        <v>76</v>
      </c>
      <c r="I158" s="82">
        <v>12000</v>
      </c>
      <c r="J158" s="68" t="s">
        <v>72</v>
      </c>
      <c r="K158" s="83" t="s">
        <v>78</v>
      </c>
      <c r="L158" s="76">
        <v>46102</v>
      </c>
      <c r="M158" s="76">
        <v>46106.7749074074</v>
      </c>
    </row>
    <row r="159" s="59" customFormat="1" spans="1:16">
      <c r="A159" s="74">
        <v>158</v>
      </c>
      <c r="B159" s="66" t="s">
        <v>67</v>
      </c>
      <c r="C159" s="67" t="s">
        <v>68</v>
      </c>
      <c r="D159" s="59" t="s">
        <v>233</v>
      </c>
      <c r="E159" s="75" t="s">
        <v>70</v>
      </c>
      <c r="F159" s="90">
        <v>46091.4713425926</v>
      </c>
      <c r="G159" s="90">
        <v>46089.4714814815</v>
      </c>
      <c r="H159" s="77" t="s">
        <v>76</v>
      </c>
      <c r="I159" s="82">
        <v>12000</v>
      </c>
      <c r="J159" s="79" t="s">
        <v>72</v>
      </c>
      <c r="K159" s="80" t="s">
        <v>73</v>
      </c>
      <c r="L159" s="90">
        <v>46043.7497453704</v>
      </c>
      <c r="M159" s="90">
        <v>46043.8657175926</v>
      </c>
      <c r="N159" s="81" t="s">
        <v>74</v>
      </c>
      <c r="O159" s="90">
        <v>46050.8336111111</v>
      </c>
      <c r="P159" s="90">
        <v>46049.8337615741</v>
      </c>
    </row>
    <row r="160" s="59" customFormat="1" spans="1:16">
      <c r="A160" s="74">
        <v>159</v>
      </c>
      <c r="B160" s="66" t="s">
        <v>67</v>
      </c>
      <c r="C160" s="67" t="s">
        <v>68</v>
      </c>
      <c r="D160" s="59" t="s">
        <v>234</v>
      </c>
      <c r="E160" s="75" t="s">
        <v>70</v>
      </c>
      <c r="F160" s="90">
        <v>46091.4856018519</v>
      </c>
      <c r="G160" s="90">
        <v>46089.4857407407</v>
      </c>
      <c r="H160" s="77" t="s">
        <v>76</v>
      </c>
      <c r="I160" s="82">
        <v>12000</v>
      </c>
      <c r="J160" s="79" t="s">
        <v>72</v>
      </c>
      <c r="K160" s="80" t="s">
        <v>73</v>
      </c>
      <c r="L160" s="90">
        <v>46043.7497685185</v>
      </c>
      <c r="M160" s="90">
        <v>46043.8679398148</v>
      </c>
      <c r="N160" s="81" t="s">
        <v>74</v>
      </c>
      <c r="O160" s="90">
        <v>46050.8336111111</v>
      </c>
      <c r="P160" s="90">
        <v>46049.8337615741</v>
      </c>
    </row>
    <row r="161" s="59" customFormat="1" spans="1:16">
      <c r="A161" s="74">
        <v>160</v>
      </c>
      <c r="B161" s="66" t="s">
        <v>67</v>
      </c>
      <c r="C161" s="67" t="s">
        <v>68</v>
      </c>
      <c r="D161" s="59" t="s">
        <v>235</v>
      </c>
      <c r="E161" s="80" t="s">
        <v>73</v>
      </c>
      <c r="F161" s="90">
        <v>46046.5837731482</v>
      </c>
      <c r="G161" s="90">
        <v>46050.7123958333</v>
      </c>
      <c r="H161" s="77" t="s">
        <v>76</v>
      </c>
      <c r="I161" s="82">
        <v>12000</v>
      </c>
      <c r="J161" s="84" t="s">
        <v>72</v>
      </c>
      <c r="K161" s="92"/>
      <c r="L161" s="89"/>
      <c r="M161" s="89"/>
    </row>
    <row r="162" s="59" customFormat="1" spans="1:16">
      <c r="A162" s="74">
        <v>161</v>
      </c>
      <c r="B162" s="66" t="s">
        <v>67</v>
      </c>
      <c r="C162" s="67" t="s">
        <v>68</v>
      </c>
      <c r="D162" s="59" t="s">
        <v>236</v>
      </c>
      <c r="E162" s="75" t="s">
        <v>70</v>
      </c>
      <c r="F162" s="90">
        <v>46056.8821759259</v>
      </c>
      <c r="G162" s="90">
        <v>46055.8823263889</v>
      </c>
      <c r="H162" s="77" t="s">
        <v>76</v>
      </c>
      <c r="I162" s="82">
        <v>12000</v>
      </c>
      <c r="J162" s="79" t="s">
        <v>72</v>
      </c>
      <c r="K162" s="80" t="s">
        <v>73</v>
      </c>
      <c r="L162" s="90">
        <v>46043.7498032407</v>
      </c>
      <c r="M162" s="90">
        <v>46043.8682407407</v>
      </c>
      <c r="N162" s="81" t="s">
        <v>74</v>
      </c>
      <c r="O162" s="90">
        <v>46050.8336111111</v>
      </c>
      <c r="P162" s="90">
        <v>46049.8337615741</v>
      </c>
    </row>
    <row r="163" s="59" customFormat="1" spans="1:16">
      <c r="A163" s="74">
        <v>162</v>
      </c>
      <c r="B163" s="66" t="s">
        <v>67</v>
      </c>
      <c r="C163" s="67" t="s">
        <v>68</v>
      </c>
      <c r="D163" s="59" t="s">
        <v>237</v>
      </c>
      <c r="E163" s="75" t="s">
        <v>70</v>
      </c>
      <c r="F163" s="90">
        <v>46056.8821759259</v>
      </c>
      <c r="G163" s="90">
        <v>46055.8823263889</v>
      </c>
      <c r="H163" s="77" t="s">
        <v>76</v>
      </c>
      <c r="I163" s="82">
        <v>12000</v>
      </c>
      <c r="J163" s="79" t="s">
        <v>72</v>
      </c>
      <c r="K163" s="80" t="s">
        <v>73</v>
      </c>
      <c r="L163" s="90">
        <v>46043.7497222222</v>
      </c>
      <c r="M163" s="90">
        <v>46043.8727893519</v>
      </c>
      <c r="N163" s="81" t="s">
        <v>74</v>
      </c>
      <c r="O163" s="90">
        <v>46050.8336111111</v>
      </c>
      <c r="P163" s="90">
        <v>46049.8337615741</v>
      </c>
    </row>
    <row r="164" s="59" customFormat="1" spans="1:16">
      <c r="A164" s="74">
        <v>163</v>
      </c>
      <c r="B164" s="66" t="s">
        <v>67</v>
      </c>
      <c r="C164" s="67" t="s">
        <v>68</v>
      </c>
      <c r="D164" s="59" t="s">
        <v>238</v>
      </c>
      <c r="E164" s="80" t="s">
        <v>73</v>
      </c>
      <c r="F164" s="90">
        <v>46046.5837731482</v>
      </c>
      <c r="G164" s="90">
        <v>46050.7223842593</v>
      </c>
      <c r="H164" s="77" t="s">
        <v>76</v>
      </c>
      <c r="I164" s="82">
        <v>12000</v>
      </c>
      <c r="J164" s="84" t="s">
        <v>72</v>
      </c>
      <c r="K164" s="92"/>
      <c r="L164" s="89"/>
      <c r="M164" s="89"/>
    </row>
    <row r="165" s="59" customFormat="1" spans="1:16">
      <c r="A165" s="74">
        <v>164</v>
      </c>
      <c r="B165" s="66" t="s">
        <v>67</v>
      </c>
      <c r="C165" s="67" t="s">
        <v>68</v>
      </c>
      <c r="D165" s="59" t="s">
        <v>239</v>
      </c>
      <c r="E165" s="75" t="s">
        <v>70</v>
      </c>
      <c r="F165" s="90">
        <v>46056.8821759259</v>
      </c>
      <c r="G165" s="90">
        <v>46055.8823263889</v>
      </c>
      <c r="H165" s="77" t="s">
        <v>76</v>
      </c>
      <c r="I165" s="82">
        <v>12000</v>
      </c>
      <c r="J165" s="79" t="s">
        <v>72</v>
      </c>
      <c r="K165" s="80" t="s">
        <v>73</v>
      </c>
      <c r="L165" s="90">
        <v>46043.7497916667</v>
      </c>
      <c r="M165" s="90">
        <v>46043.8729976852</v>
      </c>
      <c r="N165" s="81" t="s">
        <v>74</v>
      </c>
      <c r="O165" s="90">
        <v>46050.8336111111</v>
      </c>
      <c r="P165" s="90">
        <v>46049.8337615741</v>
      </c>
    </row>
    <row r="166" s="59" customFormat="1" spans="1:16">
      <c r="A166" s="74">
        <v>165</v>
      </c>
      <c r="B166" s="66" t="s">
        <v>67</v>
      </c>
      <c r="C166" s="67" t="s">
        <v>68</v>
      </c>
      <c r="D166" s="59" t="s">
        <v>240</v>
      </c>
      <c r="E166" s="75" t="s">
        <v>70</v>
      </c>
      <c r="F166" s="90">
        <v>46056.8821759259</v>
      </c>
      <c r="G166" s="90">
        <v>46055.8823263889</v>
      </c>
      <c r="H166" s="77" t="s">
        <v>76</v>
      </c>
      <c r="I166" s="82">
        <v>12000</v>
      </c>
      <c r="J166" s="79" t="s">
        <v>72</v>
      </c>
      <c r="K166" s="80" t="s">
        <v>73</v>
      </c>
      <c r="L166" s="90">
        <v>46043.7497453704</v>
      </c>
      <c r="M166" s="90">
        <v>46043.873125</v>
      </c>
      <c r="N166" s="81" t="s">
        <v>74</v>
      </c>
      <c r="O166" s="90">
        <v>46050.8336111111</v>
      </c>
      <c r="P166" s="90">
        <v>46049.8337615741</v>
      </c>
    </row>
    <row r="167" s="59" customFormat="1" spans="1:16">
      <c r="A167" s="74">
        <v>166</v>
      </c>
      <c r="B167" s="66" t="s">
        <v>67</v>
      </c>
      <c r="C167" s="67" t="s">
        <v>68</v>
      </c>
      <c r="D167" s="59" t="s">
        <v>241</v>
      </c>
      <c r="E167" s="80" t="s">
        <v>73</v>
      </c>
      <c r="F167" s="90">
        <v>46046.5837731482</v>
      </c>
      <c r="G167" s="90">
        <v>46050.7225925926</v>
      </c>
      <c r="H167" s="77" t="s">
        <v>76</v>
      </c>
      <c r="I167" s="82">
        <v>12000</v>
      </c>
      <c r="J167" s="84" t="s">
        <v>72</v>
      </c>
      <c r="K167" s="92"/>
      <c r="L167" s="89"/>
      <c r="M167" s="89"/>
    </row>
    <row r="168" s="59" customFormat="1" spans="1:16">
      <c r="A168" s="74">
        <v>167</v>
      </c>
      <c r="B168" s="66" t="s">
        <v>67</v>
      </c>
      <c r="C168" s="67" t="s">
        <v>68</v>
      </c>
      <c r="D168" s="59" t="s">
        <v>242</v>
      </c>
      <c r="E168" s="75" t="s">
        <v>70</v>
      </c>
      <c r="F168" s="90">
        <v>46056.8821759259</v>
      </c>
      <c r="G168" s="90">
        <v>46055.8823263889</v>
      </c>
      <c r="H168" s="77" t="s">
        <v>76</v>
      </c>
      <c r="I168" s="82">
        <v>12000</v>
      </c>
      <c r="J168" s="79" t="s">
        <v>72</v>
      </c>
      <c r="K168" s="80" t="s">
        <v>73</v>
      </c>
      <c r="L168" s="90">
        <v>46043.7497222222</v>
      </c>
      <c r="M168" s="90">
        <v>46046.7349421296</v>
      </c>
      <c r="N168" s="81" t="s">
        <v>74</v>
      </c>
      <c r="O168" s="90">
        <v>46050.8336111111</v>
      </c>
      <c r="P168" s="90">
        <v>46049.8337615741</v>
      </c>
    </row>
    <row r="169" s="59" customFormat="1" spans="1:16">
      <c r="A169" s="74">
        <v>168</v>
      </c>
      <c r="B169" s="66" t="s">
        <v>67</v>
      </c>
      <c r="C169" s="67" t="s">
        <v>68</v>
      </c>
      <c r="D169" s="59" t="s">
        <v>243</v>
      </c>
      <c r="E169" s="75" t="s">
        <v>70</v>
      </c>
      <c r="F169" s="90">
        <v>46056.8821759259</v>
      </c>
      <c r="G169" s="90">
        <v>46055.8823263889</v>
      </c>
      <c r="H169" s="77" t="s">
        <v>76</v>
      </c>
      <c r="I169" s="82">
        <v>12000</v>
      </c>
      <c r="J169" s="79" t="s">
        <v>72</v>
      </c>
      <c r="K169" s="80" t="s">
        <v>73</v>
      </c>
      <c r="L169" s="90">
        <v>46043.7497916667</v>
      </c>
      <c r="M169" s="90">
        <v>46046.7350694444</v>
      </c>
      <c r="N169" s="81" t="s">
        <v>74</v>
      </c>
      <c r="O169" s="90">
        <v>46050.8336111111</v>
      </c>
      <c r="P169" s="90">
        <v>46049.8337615741</v>
      </c>
    </row>
    <row r="170" s="59" customFormat="1" spans="1:16">
      <c r="A170" s="74">
        <v>169</v>
      </c>
      <c r="B170" s="66" t="s">
        <v>67</v>
      </c>
      <c r="C170" s="67" t="s">
        <v>68</v>
      </c>
      <c r="D170" s="59" t="s">
        <v>244</v>
      </c>
      <c r="E170" s="80" t="s">
        <v>73</v>
      </c>
      <c r="F170" s="90">
        <v>46046.5837731482</v>
      </c>
      <c r="G170" s="90">
        <v>46051.6052199074</v>
      </c>
      <c r="H170" s="77" t="s">
        <v>76</v>
      </c>
      <c r="I170" s="82">
        <v>12000</v>
      </c>
      <c r="J170" s="84" t="s">
        <v>72</v>
      </c>
      <c r="K170" s="92"/>
      <c r="L170" s="89"/>
      <c r="M170" s="89"/>
    </row>
    <row r="171" s="59" customFormat="1" spans="1:16">
      <c r="A171" s="74">
        <v>170</v>
      </c>
      <c r="B171" s="66" t="s">
        <v>67</v>
      </c>
      <c r="C171" s="67" t="s">
        <v>68</v>
      </c>
      <c r="D171" s="59" t="s">
        <v>245</v>
      </c>
      <c r="E171" s="75" t="s">
        <v>70</v>
      </c>
      <c r="F171" s="90">
        <v>46058.8822453704</v>
      </c>
      <c r="G171" s="90">
        <v>46057.8823958333</v>
      </c>
      <c r="H171" s="77" t="s">
        <v>76</v>
      </c>
      <c r="I171" s="82">
        <v>12000</v>
      </c>
      <c r="J171" s="79" t="s">
        <v>72</v>
      </c>
      <c r="K171" s="80" t="s">
        <v>73</v>
      </c>
      <c r="L171" s="90">
        <v>46043.7497569444</v>
      </c>
      <c r="M171" s="90">
        <v>46047.4400925926</v>
      </c>
      <c r="N171" s="81" t="s">
        <v>74</v>
      </c>
      <c r="O171" s="90">
        <v>46050.8336111111</v>
      </c>
      <c r="P171" s="90">
        <v>46049.8337615741</v>
      </c>
    </row>
    <row r="172" s="59" customFormat="1" spans="1:16">
      <c r="A172" s="74">
        <v>171</v>
      </c>
      <c r="B172" s="66" t="s">
        <v>67</v>
      </c>
      <c r="C172" s="67" t="s">
        <v>68</v>
      </c>
      <c r="D172" s="59" t="s">
        <v>246</v>
      </c>
      <c r="E172" s="75" t="s">
        <v>70</v>
      </c>
      <c r="F172" s="90">
        <v>46058.8822453704</v>
      </c>
      <c r="G172" s="90">
        <v>46057.8823958333</v>
      </c>
      <c r="H172" s="77" t="s">
        <v>76</v>
      </c>
      <c r="I172" s="82">
        <v>12000</v>
      </c>
      <c r="J172" s="79" t="s">
        <v>72</v>
      </c>
      <c r="K172" s="80" t="s">
        <v>73</v>
      </c>
      <c r="L172" s="90">
        <v>46043.7497222222</v>
      </c>
      <c r="M172" s="90">
        <v>46043.8735300926</v>
      </c>
      <c r="N172" s="81" t="s">
        <v>74</v>
      </c>
      <c r="O172" s="90">
        <v>46050.8336111111</v>
      </c>
      <c r="P172" s="90">
        <v>46049.8337615741</v>
      </c>
    </row>
    <row r="173" s="59" customFormat="1" spans="1:16">
      <c r="A173" s="74">
        <v>172</v>
      </c>
      <c r="B173" s="66" t="s">
        <v>67</v>
      </c>
      <c r="C173" s="67" t="s">
        <v>68</v>
      </c>
      <c r="D173" s="59" t="s">
        <v>247</v>
      </c>
      <c r="E173" s="75" t="s">
        <v>70</v>
      </c>
      <c r="F173" s="90">
        <v>46061.6843981482</v>
      </c>
      <c r="G173" s="90">
        <v>46059.684537037</v>
      </c>
      <c r="H173" s="77" t="s">
        <v>76</v>
      </c>
      <c r="I173" s="82">
        <v>12000</v>
      </c>
      <c r="J173" s="84" t="s">
        <v>72</v>
      </c>
      <c r="K173" s="80" t="s">
        <v>73</v>
      </c>
      <c r="L173" s="90">
        <v>46046.5837731482</v>
      </c>
      <c r="M173" s="90">
        <v>46050.7227662037</v>
      </c>
      <c r="N173" s="81" t="s">
        <v>74</v>
      </c>
      <c r="O173" s="90">
        <v>46054.8342361111</v>
      </c>
      <c r="P173" s="90">
        <v>46053.8343981481</v>
      </c>
    </row>
    <row r="174" s="59" customFormat="1" spans="1:16">
      <c r="A174" s="74">
        <v>173</v>
      </c>
      <c r="B174" s="66" t="s">
        <v>67</v>
      </c>
      <c r="C174" s="67" t="s">
        <v>68</v>
      </c>
      <c r="D174" s="59" t="s">
        <v>248</v>
      </c>
      <c r="E174" s="88"/>
      <c r="F174" s="89"/>
      <c r="G174" s="89"/>
      <c r="H174" s="77" t="s">
        <v>76</v>
      </c>
      <c r="I174" s="82">
        <v>12000</v>
      </c>
      <c r="J174" s="84"/>
      <c r="K174" s="85"/>
      <c r="L174" s="89"/>
      <c r="M174" s="89"/>
    </row>
    <row r="175" s="59" customFormat="1" spans="1:16">
      <c r="A175" s="74">
        <v>174</v>
      </c>
      <c r="B175" s="66" t="s">
        <v>67</v>
      </c>
      <c r="C175" s="67" t="s">
        <v>68</v>
      </c>
      <c r="D175" s="59" t="s">
        <v>249</v>
      </c>
      <c r="E175" s="88"/>
      <c r="F175" s="89"/>
      <c r="G175" s="89"/>
      <c r="H175" s="77" t="s">
        <v>76</v>
      </c>
      <c r="I175" s="82">
        <v>12000</v>
      </c>
      <c r="J175" s="84"/>
      <c r="K175" s="85"/>
      <c r="L175" s="89"/>
      <c r="M175" s="89"/>
    </row>
    <row r="176" s="59" customFormat="1" spans="1:16">
      <c r="A176" s="74">
        <v>175</v>
      </c>
      <c r="B176" s="66" t="s">
        <v>67</v>
      </c>
      <c r="C176" s="67" t="s">
        <v>68</v>
      </c>
      <c r="D176" s="59" t="s">
        <v>250</v>
      </c>
      <c r="E176" s="88"/>
      <c r="F176" s="89"/>
      <c r="G176" s="89"/>
      <c r="H176" s="77" t="s">
        <v>76</v>
      </c>
      <c r="I176" s="82">
        <v>12000</v>
      </c>
      <c r="J176" s="84"/>
      <c r="K176" s="85"/>
      <c r="L176" s="89"/>
      <c r="M176" s="89"/>
    </row>
    <row r="177" s="59" customFormat="1" spans="1:16">
      <c r="A177" s="74">
        <v>176</v>
      </c>
      <c r="B177" s="66" t="s">
        <v>67</v>
      </c>
      <c r="C177" s="67" t="s">
        <v>68</v>
      </c>
      <c r="D177" s="59" t="s">
        <v>251</v>
      </c>
      <c r="E177" s="88"/>
      <c r="F177" s="89"/>
      <c r="G177" s="89"/>
      <c r="H177" s="77" t="s">
        <v>76</v>
      </c>
      <c r="I177" s="82">
        <v>12000</v>
      </c>
      <c r="J177" s="84"/>
      <c r="K177" s="85"/>
      <c r="L177" s="89"/>
      <c r="M177" s="89"/>
    </row>
    <row r="178" s="59" customFormat="1" spans="1:16">
      <c r="A178" s="74">
        <v>177</v>
      </c>
      <c r="B178" s="66" t="s">
        <v>67</v>
      </c>
      <c r="C178" s="67" t="s">
        <v>68</v>
      </c>
      <c r="D178" s="59" t="s">
        <v>252</v>
      </c>
      <c r="E178" s="75" t="s">
        <v>70</v>
      </c>
      <c r="F178" s="76">
        <v>46128.6556828704</v>
      </c>
      <c r="G178" s="76">
        <v>46126.6559027778</v>
      </c>
      <c r="H178" s="77" t="s">
        <v>71</v>
      </c>
      <c r="I178" s="78">
        <v>16000</v>
      </c>
      <c r="J178" s="68" t="s">
        <v>72</v>
      </c>
      <c r="K178" s="83" t="s">
        <v>78</v>
      </c>
      <c r="L178" s="76">
        <v>46102</v>
      </c>
      <c r="M178" s="76">
        <v>46104.7380208333</v>
      </c>
    </row>
    <row r="179" s="59" customFormat="1" spans="1:16">
      <c r="A179" s="74">
        <v>178</v>
      </c>
      <c r="B179" s="66" t="s">
        <v>67</v>
      </c>
      <c r="C179" s="67" t="s">
        <v>68</v>
      </c>
      <c r="D179" s="59" t="s">
        <v>253</v>
      </c>
      <c r="E179" s="75" t="s">
        <v>70</v>
      </c>
      <c r="F179" s="76">
        <v>46128.659212963</v>
      </c>
      <c r="G179" s="76">
        <v>46126.6594212963</v>
      </c>
      <c r="H179" s="77" t="s">
        <v>76</v>
      </c>
      <c r="I179" s="82">
        <v>12000</v>
      </c>
      <c r="J179" s="79" t="s">
        <v>72</v>
      </c>
      <c r="K179" s="80" t="s">
        <v>73</v>
      </c>
      <c r="L179" s="90">
        <v>46093.6751851852</v>
      </c>
      <c r="M179" s="90">
        <v>46097.734375</v>
      </c>
      <c r="N179" s="81" t="s">
        <v>74</v>
      </c>
      <c r="O179" s="76">
        <v>46100.8336226852</v>
      </c>
      <c r="P179" s="76">
        <v>46099.8338541667</v>
      </c>
    </row>
    <row r="180" s="59" customFormat="1" spans="1:16">
      <c r="A180" s="74">
        <v>179</v>
      </c>
      <c r="B180" s="66" t="s">
        <v>67</v>
      </c>
      <c r="C180" s="67" t="s">
        <v>68</v>
      </c>
      <c r="D180" s="59" t="s">
        <v>254</v>
      </c>
      <c r="E180" s="75" t="s">
        <v>70</v>
      </c>
      <c r="F180" s="76">
        <v>46128.6591898148</v>
      </c>
      <c r="G180" s="76">
        <v>46126.6594097222</v>
      </c>
      <c r="H180" s="77" t="s">
        <v>76</v>
      </c>
      <c r="I180" s="82">
        <v>12000</v>
      </c>
      <c r="J180" s="79" t="s">
        <v>72</v>
      </c>
      <c r="K180" s="80" t="s">
        <v>73</v>
      </c>
      <c r="L180" s="90">
        <v>46093.6751851852</v>
      </c>
      <c r="M180" s="90">
        <v>46097.7344791667</v>
      </c>
      <c r="N180" s="81" t="s">
        <v>74</v>
      </c>
      <c r="O180" s="76">
        <v>46100.8336226852</v>
      </c>
      <c r="P180" s="76">
        <v>46099.8338541667</v>
      </c>
    </row>
    <row r="181" s="59" customFormat="1" spans="1:16">
      <c r="A181" s="74">
        <v>180</v>
      </c>
      <c r="B181" s="66" t="s">
        <v>67</v>
      </c>
      <c r="C181" s="67" t="s">
        <v>68</v>
      </c>
      <c r="D181" s="59" t="s">
        <v>255</v>
      </c>
      <c r="E181" s="75" t="s">
        <v>70</v>
      </c>
      <c r="F181" s="90">
        <v>46058.8822453704</v>
      </c>
      <c r="G181" s="90">
        <v>46057.8823958333</v>
      </c>
      <c r="H181" s="77" t="s">
        <v>76</v>
      </c>
      <c r="I181" s="82">
        <v>12000</v>
      </c>
      <c r="J181" s="84" t="s">
        <v>72</v>
      </c>
      <c r="K181" s="80" t="s">
        <v>73</v>
      </c>
      <c r="L181" s="90">
        <v>46046.5837731482</v>
      </c>
      <c r="M181" s="90">
        <v>46050.7274537037</v>
      </c>
      <c r="N181" s="81" t="s">
        <v>74</v>
      </c>
      <c r="O181" s="90">
        <v>46054.8342361111</v>
      </c>
      <c r="P181" s="90">
        <v>46053.8343981481</v>
      </c>
    </row>
    <row r="182" s="59" customFormat="1" spans="1:16">
      <c r="A182" s="74">
        <v>181</v>
      </c>
      <c r="B182" s="66" t="s">
        <v>67</v>
      </c>
      <c r="C182" s="67" t="s">
        <v>68</v>
      </c>
      <c r="D182" s="59" t="s">
        <v>256</v>
      </c>
      <c r="E182" s="75" t="s">
        <v>70</v>
      </c>
      <c r="F182" s="90">
        <v>46058.8822453704</v>
      </c>
      <c r="G182" s="90">
        <v>46057.8823958333</v>
      </c>
      <c r="H182" s="77" t="s">
        <v>76</v>
      </c>
      <c r="I182" s="82">
        <v>12000</v>
      </c>
      <c r="J182" s="79" t="s">
        <v>72</v>
      </c>
      <c r="K182" s="80" t="s">
        <v>73</v>
      </c>
      <c r="L182" s="90">
        <v>46043.7497569444</v>
      </c>
      <c r="M182" s="90">
        <v>46043.8910300926</v>
      </c>
      <c r="N182" s="81" t="s">
        <v>74</v>
      </c>
      <c r="O182" s="90">
        <v>46050.8336111111</v>
      </c>
      <c r="P182" s="90">
        <v>46049.8337615741</v>
      </c>
    </row>
    <row r="183" s="59" customFormat="1" spans="1:16">
      <c r="A183" s="74">
        <v>182</v>
      </c>
      <c r="B183" s="66" t="s">
        <v>67</v>
      </c>
      <c r="C183" s="67" t="s">
        <v>68</v>
      </c>
      <c r="D183" s="59" t="s">
        <v>257</v>
      </c>
      <c r="E183" s="75" t="s">
        <v>70</v>
      </c>
      <c r="F183" s="90">
        <v>46058.8822453704</v>
      </c>
      <c r="G183" s="90">
        <v>46057.8823958333</v>
      </c>
      <c r="H183" s="77" t="s">
        <v>76</v>
      </c>
      <c r="I183" s="82">
        <v>12000</v>
      </c>
      <c r="J183" s="79" t="s">
        <v>72</v>
      </c>
      <c r="K183" s="80" t="s">
        <v>73</v>
      </c>
      <c r="L183" s="90">
        <v>46043.7497916667</v>
      </c>
      <c r="M183" s="90">
        <v>46043.8911689815</v>
      </c>
      <c r="N183" s="81" t="s">
        <v>74</v>
      </c>
      <c r="O183" s="90">
        <v>46050.8336111111</v>
      </c>
      <c r="P183" s="90">
        <v>46049.8337615741</v>
      </c>
    </row>
    <row r="184" s="59" customFormat="1" spans="1:16">
      <c r="A184" s="74">
        <v>183</v>
      </c>
      <c r="B184" s="66" t="s">
        <v>67</v>
      </c>
      <c r="C184" s="67" t="s">
        <v>68</v>
      </c>
      <c r="D184" s="59" t="s">
        <v>258</v>
      </c>
      <c r="E184" s="75" t="s">
        <v>70</v>
      </c>
      <c r="F184" s="90">
        <v>46058.8822453704</v>
      </c>
      <c r="G184" s="90">
        <v>46057.8823958333</v>
      </c>
      <c r="H184" s="77" t="s">
        <v>76</v>
      </c>
      <c r="I184" s="82">
        <v>12000</v>
      </c>
      <c r="J184" s="84" t="s">
        <v>72</v>
      </c>
      <c r="K184" s="80" t="s">
        <v>73</v>
      </c>
      <c r="L184" s="90">
        <v>46046.5837731482</v>
      </c>
      <c r="M184" s="90">
        <v>46050.7276157407</v>
      </c>
      <c r="N184" s="81" t="s">
        <v>74</v>
      </c>
      <c r="O184" s="90">
        <v>46054.8342361111</v>
      </c>
      <c r="P184" s="90">
        <v>46053.8343981481</v>
      </c>
    </row>
    <row r="185" s="59" customFormat="1" spans="1:16">
      <c r="A185" s="74">
        <v>184</v>
      </c>
      <c r="B185" s="66" t="s">
        <v>67</v>
      </c>
      <c r="C185" s="67" t="s">
        <v>68</v>
      </c>
      <c r="D185" s="59" t="s">
        <v>259</v>
      </c>
      <c r="E185" s="75" t="s">
        <v>70</v>
      </c>
      <c r="F185" s="90">
        <v>46058.8822453704</v>
      </c>
      <c r="G185" s="90">
        <v>46057.8823958333</v>
      </c>
      <c r="H185" s="77" t="s">
        <v>76</v>
      </c>
      <c r="I185" s="82">
        <v>12000</v>
      </c>
      <c r="J185" s="79" t="s">
        <v>72</v>
      </c>
      <c r="K185" s="80" t="s">
        <v>73</v>
      </c>
      <c r="L185" s="90">
        <v>46043.7497337963</v>
      </c>
      <c r="M185" s="90">
        <v>46043.880775463</v>
      </c>
      <c r="N185" s="81" t="s">
        <v>74</v>
      </c>
      <c r="O185" s="90">
        <v>46050.8336111111</v>
      </c>
      <c r="P185" s="90">
        <v>46049.8337615741</v>
      </c>
    </row>
    <row r="186" s="59" customFormat="1" spans="1:16">
      <c r="A186" s="74">
        <v>185</v>
      </c>
      <c r="B186" s="66" t="s">
        <v>67</v>
      </c>
      <c r="C186" s="67" t="s">
        <v>68</v>
      </c>
      <c r="D186" s="59" t="s">
        <v>260</v>
      </c>
      <c r="E186" s="75" t="s">
        <v>70</v>
      </c>
      <c r="F186" s="90">
        <v>46058.8822453704</v>
      </c>
      <c r="G186" s="90">
        <v>46057.8823958333</v>
      </c>
      <c r="H186" s="77" t="s">
        <v>76</v>
      </c>
      <c r="I186" s="82">
        <v>12000</v>
      </c>
      <c r="J186" s="79" t="s">
        <v>72</v>
      </c>
      <c r="K186" s="80" t="s">
        <v>73</v>
      </c>
      <c r="L186" s="90">
        <v>46043.7497453704</v>
      </c>
      <c r="M186" s="90">
        <v>46043.8809490741</v>
      </c>
      <c r="N186" s="81" t="s">
        <v>74</v>
      </c>
      <c r="O186" s="90">
        <v>46050.8336111111</v>
      </c>
      <c r="P186" s="90">
        <v>46049.8337615741</v>
      </c>
    </row>
    <row r="187" s="59" customFormat="1" spans="1:16">
      <c r="A187" s="74">
        <v>186</v>
      </c>
      <c r="B187" s="66" t="s">
        <v>67</v>
      </c>
      <c r="C187" s="67" t="s">
        <v>68</v>
      </c>
      <c r="D187" s="59" t="s">
        <v>261</v>
      </c>
      <c r="E187" s="75" t="s">
        <v>70</v>
      </c>
      <c r="F187" s="90">
        <v>46058.8822453704</v>
      </c>
      <c r="G187" s="90">
        <v>46057.8823958333</v>
      </c>
      <c r="H187" s="77" t="s">
        <v>76</v>
      </c>
      <c r="I187" s="82">
        <v>12000</v>
      </c>
      <c r="J187" s="84" t="s">
        <v>72</v>
      </c>
      <c r="K187" s="80" t="s">
        <v>73</v>
      </c>
      <c r="L187" s="90">
        <v>46046.5837731482</v>
      </c>
      <c r="M187" s="90">
        <v>46050.7277430556</v>
      </c>
      <c r="N187" s="81" t="s">
        <v>74</v>
      </c>
      <c r="O187" s="90">
        <v>46054.8342361111</v>
      </c>
      <c r="P187" s="90">
        <v>46053.8343981481</v>
      </c>
    </row>
    <row r="188" s="59" customFormat="1" spans="1:16">
      <c r="A188" s="74">
        <v>187</v>
      </c>
      <c r="B188" s="66" t="s">
        <v>67</v>
      </c>
      <c r="C188" s="67" t="s">
        <v>68</v>
      </c>
      <c r="D188" s="59" t="s">
        <v>262</v>
      </c>
      <c r="E188" s="75" t="s">
        <v>70</v>
      </c>
      <c r="F188" s="90">
        <v>46058.8822453704</v>
      </c>
      <c r="G188" s="90">
        <v>46057.8823958333</v>
      </c>
      <c r="H188" s="77" t="s">
        <v>76</v>
      </c>
      <c r="I188" s="82">
        <v>12000</v>
      </c>
      <c r="J188" s="79" t="s">
        <v>72</v>
      </c>
      <c r="K188" s="80" t="s">
        <v>73</v>
      </c>
      <c r="L188" s="90">
        <v>46043.7497222222</v>
      </c>
      <c r="M188" s="90">
        <v>46046.7127546296</v>
      </c>
      <c r="N188" s="81" t="s">
        <v>74</v>
      </c>
      <c r="O188" s="90">
        <v>46050.8336111111</v>
      </c>
      <c r="P188" s="90">
        <v>46049.8337615741</v>
      </c>
    </row>
    <row r="189" s="59" customFormat="1" spans="1:16">
      <c r="A189" s="74">
        <v>188</v>
      </c>
      <c r="B189" s="66" t="s">
        <v>67</v>
      </c>
      <c r="C189" s="67" t="s">
        <v>68</v>
      </c>
      <c r="D189" s="59" t="s">
        <v>263</v>
      </c>
      <c r="E189" s="75" t="s">
        <v>70</v>
      </c>
      <c r="F189" s="90">
        <v>46058.8822453704</v>
      </c>
      <c r="G189" s="90">
        <v>46057.8823958333</v>
      </c>
      <c r="H189" s="77" t="s">
        <v>76</v>
      </c>
      <c r="I189" s="82">
        <v>12000</v>
      </c>
      <c r="J189" s="79" t="s">
        <v>72</v>
      </c>
      <c r="K189" s="80" t="s">
        <v>73</v>
      </c>
      <c r="L189" s="90">
        <v>46043.7497453704</v>
      </c>
      <c r="M189" s="90">
        <v>46046.7334606481</v>
      </c>
      <c r="N189" s="81" t="s">
        <v>74</v>
      </c>
      <c r="O189" s="90">
        <v>46050.8336111111</v>
      </c>
      <c r="P189" s="90">
        <v>46049.8337615741</v>
      </c>
    </row>
    <row r="190" s="59" customFormat="1" spans="1:16">
      <c r="A190" s="74">
        <v>189</v>
      </c>
      <c r="B190" s="66" t="s">
        <v>67</v>
      </c>
      <c r="C190" s="67" t="s">
        <v>68</v>
      </c>
      <c r="D190" s="59" t="s">
        <v>264</v>
      </c>
      <c r="E190" s="75" t="s">
        <v>70</v>
      </c>
      <c r="F190" s="90">
        <v>46058.8822453704</v>
      </c>
      <c r="G190" s="90">
        <v>46057.8823958333</v>
      </c>
      <c r="H190" s="77" t="s">
        <v>76</v>
      </c>
      <c r="I190" s="82">
        <v>12000</v>
      </c>
      <c r="J190" s="84" t="s">
        <v>72</v>
      </c>
      <c r="K190" s="80" t="s">
        <v>73</v>
      </c>
      <c r="L190" s="90">
        <v>46046.5837731482</v>
      </c>
      <c r="M190" s="90">
        <v>46050.7385416667</v>
      </c>
      <c r="N190" s="81" t="s">
        <v>74</v>
      </c>
      <c r="O190" s="90">
        <v>46054.8342361111</v>
      </c>
      <c r="P190" s="90">
        <v>46053.8343981481</v>
      </c>
    </row>
    <row r="191" s="59" customFormat="1" spans="1:16">
      <c r="A191" s="74">
        <v>190</v>
      </c>
      <c r="B191" s="66" t="s">
        <v>67</v>
      </c>
      <c r="C191" s="67" t="s">
        <v>68</v>
      </c>
      <c r="D191" s="59" t="s">
        <v>265</v>
      </c>
      <c r="E191" s="75" t="s">
        <v>70</v>
      </c>
      <c r="F191" s="90">
        <v>46058.8822453704</v>
      </c>
      <c r="G191" s="90">
        <v>46057.8823958333</v>
      </c>
      <c r="H191" s="77" t="s">
        <v>76</v>
      </c>
      <c r="I191" s="82">
        <v>12000</v>
      </c>
      <c r="J191" s="79" t="s">
        <v>72</v>
      </c>
      <c r="K191" s="80" t="s">
        <v>73</v>
      </c>
      <c r="L191" s="90">
        <v>46043.7497569444</v>
      </c>
      <c r="M191" s="90">
        <v>46046.7337152778</v>
      </c>
      <c r="N191" s="81" t="s">
        <v>74</v>
      </c>
      <c r="O191" s="90">
        <v>46050.8336111111</v>
      </c>
      <c r="P191" s="90">
        <v>46049.8337615741</v>
      </c>
    </row>
    <row r="192" s="59" customFormat="1" spans="1:16">
      <c r="A192" s="74">
        <v>191</v>
      </c>
      <c r="B192" s="66" t="s">
        <v>67</v>
      </c>
      <c r="C192" s="67" t="s">
        <v>68</v>
      </c>
      <c r="D192" s="59" t="s">
        <v>266</v>
      </c>
      <c r="E192" s="75" t="s">
        <v>70</v>
      </c>
      <c r="F192" s="90">
        <v>46058.8822453704</v>
      </c>
      <c r="G192" s="90">
        <v>46057.8823958333</v>
      </c>
      <c r="H192" s="77" t="s">
        <v>76</v>
      </c>
      <c r="I192" s="82">
        <v>12000</v>
      </c>
      <c r="J192" s="79" t="s">
        <v>72</v>
      </c>
      <c r="K192" s="80" t="s">
        <v>73</v>
      </c>
      <c r="L192" s="90">
        <v>46043.7497453704</v>
      </c>
      <c r="M192" s="90">
        <v>46043.8822106481</v>
      </c>
      <c r="N192" s="81" t="s">
        <v>74</v>
      </c>
      <c r="O192" s="90">
        <v>46050.8336111111</v>
      </c>
      <c r="P192" s="90">
        <v>46049.8337615741</v>
      </c>
    </row>
    <row r="193" s="59" customFormat="1" spans="1:16">
      <c r="A193" s="74">
        <v>192</v>
      </c>
      <c r="B193" s="66" t="s">
        <v>67</v>
      </c>
      <c r="C193" s="67" t="s">
        <v>68</v>
      </c>
      <c r="D193" s="59" t="s">
        <v>267</v>
      </c>
      <c r="E193" s="75" t="s">
        <v>70</v>
      </c>
      <c r="F193" s="90">
        <v>46058.8822453704</v>
      </c>
      <c r="G193" s="90">
        <v>46057.8823958333</v>
      </c>
      <c r="H193" s="77" t="s">
        <v>76</v>
      </c>
      <c r="I193" s="82">
        <v>12000</v>
      </c>
      <c r="J193" s="84" t="s">
        <v>72</v>
      </c>
      <c r="K193" s="80" t="s">
        <v>73</v>
      </c>
      <c r="L193" s="90">
        <v>46046.5837731482</v>
      </c>
      <c r="M193" s="90">
        <v>46050.7386342593</v>
      </c>
      <c r="N193" s="81" t="s">
        <v>74</v>
      </c>
      <c r="O193" s="90">
        <v>46054.8342361111</v>
      </c>
      <c r="P193" s="90">
        <v>46053.8343981481</v>
      </c>
    </row>
    <row r="194" s="59" customFormat="1" spans="1:16">
      <c r="A194" s="74">
        <v>193</v>
      </c>
      <c r="B194" s="66" t="s">
        <v>67</v>
      </c>
      <c r="C194" s="67" t="s">
        <v>68</v>
      </c>
      <c r="D194" s="59" t="s">
        <v>268</v>
      </c>
      <c r="E194" s="75" t="s">
        <v>70</v>
      </c>
      <c r="F194" s="90">
        <v>46061.6809259259</v>
      </c>
      <c r="G194" s="90">
        <v>46059.6810763889</v>
      </c>
      <c r="H194" s="77" t="s">
        <v>76</v>
      </c>
      <c r="I194" s="82">
        <v>12000</v>
      </c>
      <c r="J194" s="79" t="s">
        <v>72</v>
      </c>
      <c r="K194" s="80" t="s">
        <v>73</v>
      </c>
      <c r="L194" s="90">
        <v>46043.7497222222</v>
      </c>
      <c r="M194" s="90">
        <v>46043.8828935185</v>
      </c>
      <c r="N194" s="81" t="s">
        <v>74</v>
      </c>
      <c r="O194" s="90">
        <v>46050.8336111111</v>
      </c>
      <c r="P194" s="90">
        <v>46049.8337615741</v>
      </c>
    </row>
    <row r="195" s="59" customFormat="1" spans="1:16">
      <c r="A195" s="74">
        <v>194</v>
      </c>
      <c r="B195" s="66" t="s">
        <v>67</v>
      </c>
      <c r="C195" s="67" t="s">
        <v>68</v>
      </c>
      <c r="D195" s="59" t="s">
        <v>269</v>
      </c>
      <c r="E195" s="75" t="s">
        <v>70</v>
      </c>
      <c r="F195" s="90">
        <v>46061.6843981482</v>
      </c>
      <c r="G195" s="90">
        <v>46059.684537037</v>
      </c>
      <c r="H195" s="77" t="s">
        <v>76</v>
      </c>
      <c r="I195" s="82">
        <v>12000</v>
      </c>
      <c r="J195" s="79" t="s">
        <v>72</v>
      </c>
      <c r="K195" s="80" t="s">
        <v>73</v>
      </c>
      <c r="L195" s="90">
        <v>46043.7497685185</v>
      </c>
      <c r="M195" s="90">
        <v>46043.8844675926</v>
      </c>
      <c r="N195" s="81" t="s">
        <v>74</v>
      </c>
      <c r="O195" s="90">
        <v>46050.8336111111</v>
      </c>
      <c r="P195" s="90">
        <v>46049.8337615741</v>
      </c>
    </row>
    <row r="196" s="59" customFormat="1" spans="1:16">
      <c r="A196" s="74">
        <v>195</v>
      </c>
      <c r="B196" s="66" t="s">
        <v>67</v>
      </c>
      <c r="C196" s="67" t="s">
        <v>68</v>
      </c>
      <c r="D196" s="59" t="s">
        <v>270</v>
      </c>
      <c r="E196" s="88"/>
      <c r="F196" s="89"/>
      <c r="G196" s="89"/>
      <c r="H196" s="77" t="s">
        <v>76</v>
      </c>
      <c r="I196" s="82">
        <v>12000</v>
      </c>
      <c r="J196" s="84"/>
      <c r="K196" s="85"/>
      <c r="L196" s="89"/>
      <c r="M196" s="89"/>
    </row>
    <row r="197" s="59" customFormat="1" spans="1:16">
      <c r="A197" s="74">
        <v>196</v>
      </c>
      <c r="B197" s="66" t="s">
        <v>67</v>
      </c>
      <c r="C197" s="67" t="s">
        <v>68</v>
      </c>
      <c r="D197" s="59" t="s">
        <v>271</v>
      </c>
      <c r="E197" s="88"/>
      <c r="F197" s="89"/>
      <c r="G197" s="89"/>
      <c r="H197" s="77" t="s">
        <v>76</v>
      </c>
      <c r="I197" s="82">
        <v>12000</v>
      </c>
      <c r="J197" s="84"/>
      <c r="K197" s="85"/>
      <c r="L197" s="89"/>
      <c r="M197" s="89"/>
    </row>
    <row r="198" s="59" customFormat="1" spans="1:16">
      <c r="A198" s="74">
        <v>197</v>
      </c>
      <c r="B198" s="66" t="s">
        <v>67</v>
      </c>
      <c r="C198" s="67" t="s">
        <v>68</v>
      </c>
      <c r="D198" s="59" t="s">
        <v>272</v>
      </c>
      <c r="E198" s="88"/>
      <c r="F198" s="89"/>
      <c r="G198" s="89"/>
      <c r="H198" s="77" t="s">
        <v>76</v>
      </c>
      <c r="I198" s="82">
        <v>12000</v>
      </c>
      <c r="J198" s="84"/>
      <c r="K198" s="85"/>
      <c r="L198" s="89"/>
      <c r="M198" s="89"/>
    </row>
    <row r="199" s="59" customFormat="1" spans="1:16">
      <c r="A199" s="74">
        <v>198</v>
      </c>
      <c r="B199" s="66" t="s">
        <v>67</v>
      </c>
      <c r="C199" s="67" t="s">
        <v>68</v>
      </c>
      <c r="D199" s="59" t="s">
        <v>273</v>
      </c>
      <c r="E199" s="75" t="s">
        <v>70</v>
      </c>
      <c r="F199" s="76">
        <v>46128.6627314815</v>
      </c>
      <c r="G199" s="76">
        <v>46126.6629513889</v>
      </c>
      <c r="H199" s="77" t="s">
        <v>71</v>
      </c>
      <c r="I199" s="78">
        <v>16000</v>
      </c>
      <c r="J199" s="79" t="s">
        <v>72</v>
      </c>
      <c r="K199" s="80" t="s">
        <v>73</v>
      </c>
      <c r="L199" s="76">
        <v>46093.6751851852</v>
      </c>
      <c r="M199" s="76">
        <v>46097.7347569444</v>
      </c>
      <c r="N199" s="81" t="s">
        <v>74</v>
      </c>
      <c r="O199" s="76">
        <v>46100.8336226852</v>
      </c>
      <c r="P199" s="76">
        <v>46099.8338541667</v>
      </c>
    </row>
    <row r="200" s="59" customFormat="1" spans="1:16">
      <c r="A200" s="74">
        <v>199</v>
      </c>
      <c r="B200" s="66" t="s">
        <v>67</v>
      </c>
      <c r="C200" s="67" t="s">
        <v>68</v>
      </c>
      <c r="D200" s="59" t="s">
        <v>274</v>
      </c>
      <c r="E200" s="75" t="s">
        <v>70</v>
      </c>
      <c r="F200" s="76">
        <v>46128.6662268518</v>
      </c>
      <c r="G200" s="76">
        <v>46126.6664467593</v>
      </c>
      <c r="H200" s="77" t="s">
        <v>76</v>
      </c>
      <c r="I200" s="82">
        <v>12000</v>
      </c>
      <c r="J200" s="79" t="s">
        <v>72</v>
      </c>
      <c r="K200" s="80" t="s">
        <v>73</v>
      </c>
      <c r="L200" s="76">
        <v>46093.6751851852</v>
      </c>
      <c r="M200" s="76">
        <v>46097.7346180556</v>
      </c>
      <c r="N200" s="81" t="s">
        <v>74</v>
      </c>
      <c r="O200" s="76">
        <v>46100.8336226852</v>
      </c>
      <c r="P200" s="76">
        <v>46099.8338541667</v>
      </c>
    </row>
    <row r="201" s="59" customFormat="1" spans="1:16">
      <c r="A201" s="74">
        <v>200</v>
      </c>
      <c r="B201" s="66" t="s">
        <v>67</v>
      </c>
      <c r="C201" s="67" t="s">
        <v>68</v>
      </c>
      <c r="D201" s="59" t="s">
        <v>275</v>
      </c>
      <c r="E201" s="75" t="s">
        <v>70</v>
      </c>
      <c r="F201" s="76">
        <v>46128.6662615741</v>
      </c>
      <c r="G201" s="76">
        <v>46126.6664814815</v>
      </c>
      <c r="H201" s="77" t="s">
        <v>76</v>
      </c>
      <c r="I201" s="82">
        <v>12000</v>
      </c>
      <c r="J201" s="68" t="s">
        <v>72</v>
      </c>
      <c r="K201" s="83" t="s">
        <v>78</v>
      </c>
      <c r="L201" s="76">
        <v>46102</v>
      </c>
      <c r="M201" s="76">
        <v>46104.7381481481</v>
      </c>
    </row>
    <row r="202" s="59" customFormat="1" spans="1:16">
      <c r="A202" s="74">
        <v>201</v>
      </c>
      <c r="B202" s="66" t="s">
        <v>67</v>
      </c>
      <c r="C202" s="67" t="s">
        <v>68</v>
      </c>
      <c r="D202" s="59" t="s">
        <v>276</v>
      </c>
      <c r="E202" s="75" t="s">
        <v>70</v>
      </c>
      <c r="F202" s="90">
        <v>46058.7109606481</v>
      </c>
      <c r="G202" s="90">
        <v>46056.7111111111</v>
      </c>
      <c r="H202" s="77" t="s">
        <v>76</v>
      </c>
      <c r="I202" s="82">
        <v>12000</v>
      </c>
      <c r="J202" s="79" t="s">
        <v>72</v>
      </c>
      <c r="K202" s="80" t="s">
        <v>73</v>
      </c>
      <c r="L202" s="90">
        <v>46043.7497800926</v>
      </c>
      <c r="M202" s="90">
        <v>46046.7246759259</v>
      </c>
      <c r="N202" s="81" t="s">
        <v>74</v>
      </c>
      <c r="O202" s="90">
        <v>46050.8336111111</v>
      </c>
      <c r="P202" s="90">
        <v>46049.8337615741</v>
      </c>
    </row>
    <row r="203" s="59" customFormat="1" spans="1:16">
      <c r="A203" s="74">
        <v>202</v>
      </c>
      <c r="B203" s="66" t="s">
        <v>67</v>
      </c>
      <c r="C203" s="67" t="s">
        <v>68</v>
      </c>
      <c r="D203" s="59" t="s">
        <v>277</v>
      </c>
      <c r="E203" s="75" t="s">
        <v>70</v>
      </c>
      <c r="F203" s="90">
        <v>46058.7109953704</v>
      </c>
      <c r="G203" s="90">
        <v>46056.7111342593</v>
      </c>
      <c r="H203" s="77" t="s">
        <v>76</v>
      </c>
      <c r="I203" s="82">
        <v>12000</v>
      </c>
      <c r="J203" s="79" t="s">
        <v>72</v>
      </c>
      <c r="K203" s="80" t="s">
        <v>73</v>
      </c>
      <c r="L203" s="90">
        <v>46043.7497337963</v>
      </c>
      <c r="M203" s="90">
        <v>46046.7248958333</v>
      </c>
      <c r="N203" s="81" t="s">
        <v>74</v>
      </c>
      <c r="O203" s="90">
        <v>46050.8336111111</v>
      </c>
      <c r="P203" s="90">
        <v>46049.8337615741</v>
      </c>
    </row>
    <row r="204" s="59" customFormat="1" spans="1:16">
      <c r="A204" s="74">
        <v>203</v>
      </c>
      <c r="B204" s="66" t="s">
        <v>67</v>
      </c>
      <c r="C204" s="67" t="s">
        <v>68</v>
      </c>
      <c r="D204" s="59" t="s">
        <v>278</v>
      </c>
      <c r="E204" s="75" t="s">
        <v>70</v>
      </c>
      <c r="F204" s="90">
        <v>46058.7109606481</v>
      </c>
      <c r="G204" s="90">
        <v>46056.711099537</v>
      </c>
      <c r="H204" s="77" t="s">
        <v>76</v>
      </c>
      <c r="I204" s="82">
        <v>12000</v>
      </c>
      <c r="J204" s="84" t="s">
        <v>72</v>
      </c>
      <c r="K204" s="80" t="s">
        <v>73</v>
      </c>
      <c r="L204" s="90">
        <v>46046.5837731482</v>
      </c>
      <c r="M204" s="90">
        <v>46051.6052662037</v>
      </c>
      <c r="N204" s="81" t="s">
        <v>74</v>
      </c>
      <c r="O204" s="90">
        <v>46054.8342361111</v>
      </c>
      <c r="P204" s="90">
        <v>46053.8343981481</v>
      </c>
    </row>
    <row r="205" s="59" customFormat="1" spans="1:16">
      <c r="A205" s="74">
        <v>204</v>
      </c>
      <c r="B205" s="66" t="s">
        <v>67</v>
      </c>
      <c r="C205" s="67" t="s">
        <v>68</v>
      </c>
      <c r="D205" s="59" t="s">
        <v>279</v>
      </c>
      <c r="E205" s="75" t="s">
        <v>70</v>
      </c>
      <c r="F205" s="90">
        <v>46058.7109953704</v>
      </c>
      <c r="G205" s="90">
        <v>46056.7111342593</v>
      </c>
      <c r="H205" s="77" t="s">
        <v>76</v>
      </c>
      <c r="I205" s="82">
        <v>12000</v>
      </c>
      <c r="J205" s="79" t="s">
        <v>72</v>
      </c>
      <c r="K205" s="80" t="s">
        <v>73</v>
      </c>
      <c r="L205" s="90">
        <v>46043.7497337963</v>
      </c>
      <c r="M205" s="90">
        <v>46047.430787037</v>
      </c>
      <c r="N205" s="81" t="s">
        <v>74</v>
      </c>
      <c r="O205" s="90">
        <v>46050.8336111111</v>
      </c>
      <c r="P205" s="90">
        <v>46049.8337615741</v>
      </c>
    </row>
    <row r="206" s="59" customFormat="1" spans="1:16">
      <c r="A206" s="74">
        <v>205</v>
      </c>
      <c r="B206" s="66" t="s">
        <v>67</v>
      </c>
      <c r="C206" s="67" t="s">
        <v>68</v>
      </c>
      <c r="D206" s="59" t="s">
        <v>280</v>
      </c>
      <c r="E206" s="75" t="s">
        <v>70</v>
      </c>
      <c r="F206" s="90">
        <v>46058.7145023148</v>
      </c>
      <c r="G206" s="90">
        <v>46056.7146412037</v>
      </c>
      <c r="H206" s="77" t="s">
        <v>76</v>
      </c>
      <c r="I206" s="82">
        <v>12000</v>
      </c>
      <c r="J206" s="79" t="s">
        <v>72</v>
      </c>
      <c r="K206" s="80" t="s">
        <v>73</v>
      </c>
      <c r="L206" s="90">
        <v>46043.7497222222</v>
      </c>
      <c r="M206" s="90">
        <v>46043.8915162037</v>
      </c>
      <c r="N206" s="81" t="s">
        <v>74</v>
      </c>
      <c r="O206" s="90">
        <v>46050.8336111111</v>
      </c>
      <c r="P206" s="90">
        <v>46049.8337615741</v>
      </c>
    </row>
    <row r="207" s="59" customFormat="1" spans="1:16">
      <c r="A207" s="74">
        <v>206</v>
      </c>
      <c r="B207" s="66" t="s">
        <v>67</v>
      </c>
      <c r="C207" s="67" t="s">
        <v>68</v>
      </c>
      <c r="D207" s="59" t="s">
        <v>281</v>
      </c>
      <c r="E207" s="75" t="s">
        <v>70</v>
      </c>
      <c r="F207" s="90">
        <v>46058.6934490741</v>
      </c>
      <c r="G207" s="90">
        <v>46056.693587963</v>
      </c>
      <c r="H207" s="77" t="s">
        <v>76</v>
      </c>
      <c r="I207" s="82">
        <v>12000</v>
      </c>
      <c r="J207" s="84" t="s">
        <v>72</v>
      </c>
      <c r="K207" s="80" t="s">
        <v>73</v>
      </c>
      <c r="L207" s="90">
        <v>46046.5837731482</v>
      </c>
      <c r="M207" s="90">
        <v>46050.7387268519</v>
      </c>
      <c r="N207" s="81" t="s">
        <v>74</v>
      </c>
      <c r="O207" s="90">
        <v>46054.8342361111</v>
      </c>
      <c r="P207" s="90">
        <v>46053.8343981481</v>
      </c>
    </row>
    <row r="208" s="59" customFormat="1" spans="1:16">
      <c r="A208" s="74">
        <v>207</v>
      </c>
      <c r="B208" s="66" t="s">
        <v>67</v>
      </c>
      <c r="C208" s="67" t="s">
        <v>68</v>
      </c>
      <c r="D208" s="59" t="s">
        <v>282</v>
      </c>
      <c r="E208" s="75" t="s">
        <v>70</v>
      </c>
      <c r="F208" s="90">
        <v>46058.6969328704</v>
      </c>
      <c r="G208" s="90">
        <v>46056.6970717593</v>
      </c>
      <c r="H208" s="77" t="s">
        <v>76</v>
      </c>
      <c r="I208" s="82">
        <v>12000</v>
      </c>
      <c r="J208" s="79" t="s">
        <v>72</v>
      </c>
      <c r="K208" s="80" t="s">
        <v>73</v>
      </c>
      <c r="L208" s="90">
        <v>46043.7497685185</v>
      </c>
      <c r="M208" s="90">
        <v>46046.7339930556</v>
      </c>
      <c r="N208" s="81" t="s">
        <v>74</v>
      </c>
      <c r="O208" s="90">
        <v>46050.8336111111</v>
      </c>
      <c r="P208" s="90">
        <v>46049.8337615741</v>
      </c>
    </row>
    <row r="209" s="59" customFormat="1" spans="1:16">
      <c r="A209" s="74">
        <v>208</v>
      </c>
      <c r="B209" s="66" t="s">
        <v>67</v>
      </c>
      <c r="C209" s="67" t="s">
        <v>68</v>
      </c>
      <c r="D209" s="59" t="s">
        <v>283</v>
      </c>
      <c r="E209" s="75" t="s">
        <v>70</v>
      </c>
      <c r="F209" s="90">
        <v>46058.7004513889</v>
      </c>
      <c r="G209" s="90">
        <v>46056.7005902778</v>
      </c>
      <c r="H209" s="77" t="s">
        <v>76</v>
      </c>
      <c r="I209" s="82">
        <v>12000</v>
      </c>
      <c r="J209" s="79" t="s">
        <v>72</v>
      </c>
      <c r="K209" s="80" t="s">
        <v>73</v>
      </c>
      <c r="L209" s="90">
        <v>46043.7497337963</v>
      </c>
      <c r="M209" s="90">
        <v>46046.7341666667</v>
      </c>
      <c r="N209" s="81" t="s">
        <v>74</v>
      </c>
      <c r="O209" s="90">
        <v>46050.8336111111</v>
      </c>
      <c r="P209" s="90">
        <v>46049.8337615741</v>
      </c>
    </row>
    <row r="210" s="59" customFormat="1" spans="1:16">
      <c r="A210" s="74">
        <v>209</v>
      </c>
      <c r="B210" s="66" t="s">
        <v>67</v>
      </c>
      <c r="C210" s="67" t="s">
        <v>68</v>
      </c>
      <c r="D210" s="59" t="s">
        <v>284</v>
      </c>
      <c r="E210" s="75" t="s">
        <v>70</v>
      </c>
      <c r="F210" s="90">
        <v>46058.7038541667</v>
      </c>
      <c r="G210" s="90">
        <v>46056.7039930556</v>
      </c>
      <c r="H210" s="77" t="s">
        <v>76</v>
      </c>
      <c r="I210" s="82">
        <v>12000</v>
      </c>
      <c r="J210" s="84" t="s">
        <v>72</v>
      </c>
      <c r="K210" s="80" t="s">
        <v>73</v>
      </c>
      <c r="L210" s="90">
        <v>46046.5837731482</v>
      </c>
      <c r="M210" s="90">
        <v>46050.7390393519</v>
      </c>
      <c r="N210" s="81" t="s">
        <v>74</v>
      </c>
      <c r="O210" s="90">
        <v>46054.8342361111</v>
      </c>
      <c r="P210" s="90">
        <v>46053.8343981481</v>
      </c>
    </row>
    <row r="211" s="59" customFormat="1" spans="1:16">
      <c r="A211" s="74">
        <v>210</v>
      </c>
      <c r="B211" s="66" t="s">
        <v>67</v>
      </c>
      <c r="C211" s="67" t="s">
        <v>68</v>
      </c>
      <c r="D211" s="59" t="s">
        <v>285</v>
      </c>
      <c r="E211" s="75" t="s">
        <v>70</v>
      </c>
      <c r="F211" s="90">
        <v>46058.7075347222</v>
      </c>
      <c r="G211" s="90">
        <v>46056.7076736111</v>
      </c>
      <c r="H211" s="77" t="s">
        <v>76</v>
      </c>
      <c r="I211" s="82">
        <v>12000</v>
      </c>
      <c r="J211" s="79" t="s">
        <v>72</v>
      </c>
      <c r="K211" s="80" t="s">
        <v>73</v>
      </c>
      <c r="L211" s="90">
        <v>46043.7497453704</v>
      </c>
      <c r="M211" s="90">
        <v>46043.8916666667</v>
      </c>
      <c r="N211" s="81" t="s">
        <v>74</v>
      </c>
      <c r="O211" s="90">
        <v>46050.8336111111</v>
      </c>
      <c r="P211" s="90">
        <v>46049.8337615741</v>
      </c>
    </row>
    <row r="212" s="59" customFormat="1" spans="1:16">
      <c r="A212" s="74">
        <v>211</v>
      </c>
      <c r="B212" s="66" t="s">
        <v>67</v>
      </c>
      <c r="C212" s="67" t="s">
        <v>68</v>
      </c>
      <c r="D212" s="59" t="s">
        <v>286</v>
      </c>
      <c r="E212" s="75" t="s">
        <v>70</v>
      </c>
      <c r="F212" s="90">
        <v>46058.7109953704</v>
      </c>
      <c r="G212" s="90">
        <v>46056.7111342593</v>
      </c>
      <c r="H212" s="77" t="s">
        <v>76</v>
      </c>
      <c r="I212" s="82">
        <v>12000</v>
      </c>
      <c r="J212" s="79" t="s">
        <v>72</v>
      </c>
      <c r="K212" s="80" t="s">
        <v>73</v>
      </c>
      <c r="L212" s="90">
        <v>46043.7497337963</v>
      </c>
      <c r="M212" s="90">
        <v>46043.8918518519</v>
      </c>
      <c r="N212" s="81" t="s">
        <v>74</v>
      </c>
      <c r="O212" s="90">
        <v>46050.8336111111</v>
      </c>
      <c r="P212" s="90">
        <v>46049.8337615741</v>
      </c>
    </row>
    <row r="213" s="59" customFormat="1" spans="1:16">
      <c r="A213" s="74">
        <v>212</v>
      </c>
      <c r="B213" s="66" t="s">
        <v>67</v>
      </c>
      <c r="C213" s="67" t="s">
        <v>68</v>
      </c>
      <c r="D213" s="59" t="s">
        <v>287</v>
      </c>
      <c r="E213" s="75" t="s">
        <v>70</v>
      </c>
      <c r="F213" s="90">
        <v>46058.7146759259</v>
      </c>
      <c r="G213" s="90">
        <v>46056.7148263889</v>
      </c>
      <c r="H213" s="77" t="s">
        <v>76</v>
      </c>
      <c r="I213" s="82">
        <v>12000</v>
      </c>
      <c r="J213" s="84" t="s">
        <v>72</v>
      </c>
      <c r="K213" s="80" t="s">
        <v>73</v>
      </c>
      <c r="L213" s="90">
        <v>46046.5837731482</v>
      </c>
      <c r="M213" s="90">
        <v>46050.7389583333</v>
      </c>
      <c r="N213" s="81" t="s">
        <v>74</v>
      </c>
      <c r="O213" s="90">
        <v>46054.8342361111</v>
      </c>
      <c r="P213" s="90">
        <v>46053.8343981481</v>
      </c>
    </row>
    <row r="214" s="59" customFormat="1" spans="1:16">
      <c r="A214" s="74">
        <v>213</v>
      </c>
      <c r="B214" s="66" t="s">
        <v>67</v>
      </c>
      <c r="C214" s="67" t="s">
        <v>68</v>
      </c>
      <c r="D214" s="59" t="s">
        <v>288</v>
      </c>
      <c r="E214" s="75" t="s">
        <v>70</v>
      </c>
      <c r="F214" s="90">
        <v>46058.714525463</v>
      </c>
      <c r="G214" s="90">
        <v>46056.7146643518</v>
      </c>
      <c r="H214" s="77" t="s">
        <v>76</v>
      </c>
      <c r="I214" s="82">
        <v>12000</v>
      </c>
      <c r="J214" s="79" t="s">
        <v>72</v>
      </c>
      <c r="K214" s="80" t="s">
        <v>73</v>
      </c>
      <c r="L214" s="90">
        <v>46043.7497453704</v>
      </c>
      <c r="M214" s="90">
        <v>46043.892037037</v>
      </c>
      <c r="N214" s="81" t="s">
        <v>74</v>
      </c>
      <c r="O214" s="90">
        <v>46050.8336111111</v>
      </c>
      <c r="P214" s="90">
        <v>46049.8337615741</v>
      </c>
    </row>
    <row r="215" s="59" customFormat="1" spans="1:16">
      <c r="A215" s="74">
        <v>214</v>
      </c>
      <c r="B215" s="66" t="s">
        <v>67</v>
      </c>
      <c r="C215" s="67" t="s">
        <v>68</v>
      </c>
      <c r="D215" s="59" t="s">
        <v>289</v>
      </c>
      <c r="E215" s="75" t="s">
        <v>70</v>
      </c>
      <c r="F215" s="90">
        <v>46058.7180902778</v>
      </c>
      <c r="G215" s="90">
        <v>46056.7182291667</v>
      </c>
      <c r="H215" s="77" t="s">
        <v>76</v>
      </c>
      <c r="I215" s="82">
        <v>12000</v>
      </c>
      <c r="J215" s="79" t="s">
        <v>72</v>
      </c>
      <c r="K215" s="80" t="s">
        <v>73</v>
      </c>
      <c r="L215" s="90">
        <v>46043.7497337963</v>
      </c>
      <c r="M215" s="90">
        <v>46046.7343981481</v>
      </c>
      <c r="N215" s="81" t="s">
        <v>74</v>
      </c>
      <c r="O215" s="90">
        <v>46050.8336111111</v>
      </c>
      <c r="P215" s="90">
        <v>46049.8337615741</v>
      </c>
    </row>
    <row r="216" s="59" customFormat="1" spans="1:16">
      <c r="A216" s="74">
        <v>215</v>
      </c>
      <c r="B216" s="66" t="s">
        <v>67</v>
      </c>
      <c r="C216" s="67" t="s">
        <v>68</v>
      </c>
      <c r="D216" s="59" t="s">
        <v>290</v>
      </c>
      <c r="E216" s="75" t="s">
        <v>70</v>
      </c>
      <c r="F216" s="90">
        <v>46058.7216087963</v>
      </c>
      <c r="G216" s="90">
        <v>46056.7217476852</v>
      </c>
      <c r="H216" s="77" t="s">
        <v>76</v>
      </c>
      <c r="I216" s="82">
        <v>12000</v>
      </c>
      <c r="J216" s="84" t="s">
        <v>72</v>
      </c>
      <c r="K216" s="80" t="s">
        <v>73</v>
      </c>
      <c r="L216" s="90">
        <v>46046.5837731482</v>
      </c>
      <c r="M216" s="90">
        <v>46050.7388310185</v>
      </c>
      <c r="N216" s="81" t="s">
        <v>74</v>
      </c>
      <c r="O216" s="90">
        <v>46054.8342361111</v>
      </c>
      <c r="P216" s="90">
        <v>46053.8343981481</v>
      </c>
    </row>
    <row r="217" s="59" customFormat="1" spans="1:16">
      <c r="A217" s="74">
        <v>216</v>
      </c>
      <c r="B217" s="66" t="s">
        <v>67</v>
      </c>
      <c r="C217" s="67" t="s">
        <v>68</v>
      </c>
      <c r="D217" s="59" t="s">
        <v>291</v>
      </c>
      <c r="E217" s="80"/>
      <c r="F217" s="89"/>
      <c r="G217" s="89"/>
      <c r="H217" s="77" t="s">
        <v>76</v>
      </c>
      <c r="I217" s="82">
        <v>12000</v>
      </c>
      <c r="J217" s="84"/>
      <c r="K217" s="85"/>
      <c r="L217" s="89"/>
      <c r="M217" s="89"/>
      <c r="O217" s="89"/>
      <c r="P217" s="89"/>
    </row>
    <row r="218" s="59" customFormat="1" spans="1:16">
      <c r="A218" s="74">
        <v>217</v>
      </c>
      <c r="B218" s="66" t="s">
        <v>67</v>
      </c>
      <c r="C218" s="67" t="s">
        <v>68</v>
      </c>
      <c r="D218" s="59" t="s">
        <v>292</v>
      </c>
      <c r="E218" s="80"/>
      <c r="F218" s="89"/>
      <c r="G218" s="89"/>
      <c r="H218" s="77" t="s">
        <v>76</v>
      </c>
      <c r="I218" s="82">
        <v>12000</v>
      </c>
      <c r="J218" s="84"/>
      <c r="K218" s="85"/>
      <c r="L218" s="89"/>
      <c r="M218" s="89"/>
      <c r="O218" s="89"/>
      <c r="P218" s="89"/>
    </row>
    <row r="219" s="59" customFormat="1" spans="1:16">
      <c r="A219" s="74">
        <v>218</v>
      </c>
      <c r="B219" s="66" t="s">
        <v>67</v>
      </c>
      <c r="C219" s="67" t="s">
        <v>68</v>
      </c>
      <c r="D219" s="59" t="s">
        <v>293</v>
      </c>
      <c r="E219" s="88"/>
      <c r="H219" s="77" t="s">
        <v>76</v>
      </c>
      <c r="I219" s="82">
        <v>12000</v>
      </c>
      <c r="K219" s="85"/>
      <c r="L219" s="86"/>
      <c r="M219" s="87"/>
    </row>
    <row r="220" s="59" customFormat="1" spans="1:16">
      <c r="A220" s="74">
        <v>219</v>
      </c>
      <c r="B220" s="66" t="s">
        <v>67</v>
      </c>
      <c r="C220" s="67" t="s">
        <v>68</v>
      </c>
      <c r="D220" s="59" t="s">
        <v>294</v>
      </c>
      <c r="E220" s="88"/>
      <c r="H220" s="77" t="s">
        <v>76</v>
      </c>
      <c r="I220" s="82">
        <v>12000</v>
      </c>
      <c r="K220" s="85"/>
      <c r="L220" s="86"/>
      <c r="M220" s="87"/>
    </row>
    <row r="221" s="59" customFormat="1" spans="1:16">
      <c r="A221" s="74">
        <v>220</v>
      </c>
      <c r="B221" s="66" t="s">
        <v>67</v>
      </c>
      <c r="C221" s="67" t="s">
        <v>68</v>
      </c>
      <c r="D221" s="59" t="s">
        <v>295</v>
      </c>
      <c r="E221" s="88"/>
      <c r="H221" s="77" t="s">
        <v>76</v>
      </c>
      <c r="I221" s="82">
        <v>12000</v>
      </c>
      <c r="K221" s="85"/>
      <c r="L221" s="86"/>
      <c r="M221" s="87"/>
    </row>
    <row r="222" s="59" customFormat="1" spans="1:16">
      <c r="A222" s="74">
        <v>221</v>
      </c>
      <c r="B222" s="66" t="s">
        <v>67</v>
      </c>
      <c r="C222" s="67" t="s">
        <v>296</v>
      </c>
      <c r="D222" s="67" t="s">
        <v>69</v>
      </c>
      <c r="E222" s="75" t="s">
        <v>70</v>
      </c>
      <c r="F222" s="76">
        <v>46152.4391319444</v>
      </c>
      <c r="G222" s="76">
        <v>46150.4393518519</v>
      </c>
      <c r="H222" s="77" t="s">
        <v>71</v>
      </c>
      <c r="I222" s="78">
        <v>16000</v>
      </c>
      <c r="J222" s="84" t="s">
        <v>72</v>
      </c>
      <c r="K222" s="80" t="s">
        <v>73</v>
      </c>
      <c r="L222" s="76">
        <v>46108.6121990741</v>
      </c>
      <c r="M222" s="76">
        <v>46114.7536111111</v>
      </c>
      <c r="N222" s="81" t="s">
        <v>74</v>
      </c>
      <c r="O222" s="76">
        <v>46116.833587963</v>
      </c>
      <c r="P222" s="76">
        <v>46115.8338078704</v>
      </c>
    </row>
    <row r="223" s="59" customFormat="1" spans="1:16">
      <c r="A223" s="74">
        <v>222</v>
      </c>
      <c r="B223" s="66" t="s">
        <v>67</v>
      </c>
      <c r="C223" s="67" t="s">
        <v>296</v>
      </c>
      <c r="D223" s="67" t="s">
        <v>75</v>
      </c>
      <c r="E223" s="75" t="s">
        <v>70</v>
      </c>
      <c r="F223" s="76">
        <v>46152.4360300926</v>
      </c>
      <c r="G223" s="76">
        <v>46150.43625</v>
      </c>
      <c r="H223" s="77" t="s">
        <v>76</v>
      </c>
      <c r="I223" s="82">
        <v>12000</v>
      </c>
      <c r="J223" s="84" t="s">
        <v>72</v>
      </c>
      <c r="K223" s="80" t="s">
        <v>73</v>
      </c>
      <c r="L223" s="76">
        <v>46108.6121990741</v>
      </c>
      <c r="M223" s="76">
        <v>46108.6875810185</v>
      </c>
    </row>
    <row r="224" s="59" customFormat="1" spans="1:16">
      <c r="A224" s="74">
        <v>223</v>
      </c>
      <c r="B224" s="66" t="s">
        <v>67</v>
      </c>
      <c r="C224" s="67" t="s">
        <v>296</v>
      </c>
      <c r="D224" s="67" t="s">
        <v>77</v>
      </c>
      <c r="E224" s="75" t="s">
        <v>70</v>
      </c>
      <c r="F224" s="76">
        <v>46152.8822106481</v>
      </c>
      <c r="G224" s="76">
        <v>46151.8824189815</v>
      </c>
      <c r="H224" s="77" t="s">
        <v>76</v>
      </c>
      <c r="I224" s="82">
        <v>12000</v>
      </c>
      <c r="J224" s="79" t="s">
        <v>72</v>
      </c>
      <c r="K224" s="83" t="s">
        <v>78</v>
      </c>
      <c r="L224" s="76">
        <v>46116</v>
      </c>
      <c r="M224" s="76">
        <v>46122.5763310185</v>
      </c>
    </row>
    <row r="225" s="59" customFormat="1" spans="1:16">
      <c r="A225" s="74">
        <v>224</v>
      </c>
      <c r="B225" s="66" t="s">
        <v>67</v>
      </c>
      <c r="C225" s="67" t="s">
        <v>296</v>
      </c>
      <c r="D225" s="67" t="s">
        <v>79</v>
      </c>
      <c r="E225" s="75" t="s">
        <v>70</v>
      </c>
      <c r="F225" s="76">
        <v>46179.587662037</v>
      </c>
      <c r="G225" s="76">
        <v>46177.5878819444</v>
      </c>
      <c r="H225" s="77" t="s">
        <v>76</v>
      </c>
      <c r="I225" s="82">
        <v>12000</v>
      </c>
      <c r="J225" s="84" t="s">
        <v>72</v>
      </c>
      <c r="K225" s="80" t="s">
        <v>73</v>
      </c>
      <c r="L225" s="76">
        <v>46108.6121990741</v>
      </c>
      <c r="M225" s="76">
        <v>46108.6918402778</v>
      </c>
      <c r="N225" s="81" t="s">
        <v>74</v>
      </c>
      <c r="O225" s="76">
        <v>46116.833587963</v>
      </c>
      <c r="P225" s="76">
        <v>46115.8338078704</v>
      </c>
    </row>
    <row r="226" s="59" customFormat="1" spans="1:16">
      <c r="A226" s="74">
        <v>225</v>
      </c>
      <c r="B226" s="66" t="s">
        <v>67</v>
      </c>
      <c r="C226" s="67" t="s">
        <v>296</v>
      </c>
      <c r="D226" s="67" t="s">
        <v>80</v>
      </c>
      <c r="E226" s="75" t="s">
        <v>70</v>
      </c>
      <c r="F226" s="76">
        <v>46179.5876851852</v>
      </c>
      <c r="G226" s="76">
        <v>46177.5879050926</v>
      </c>
      <c r="H226" s="77" t="s">
        <v>76</v>
      </c>
      <c r="I226" s="82">
        <v>12000</v>
      </c>
      <c r="J226" s="84" t="s">
        <v>72</v>
      </c>
      <c r="K226" s="80" t="s">
        <v>73</v>
      </c>
      <c r="L226" s="76">
        <v>46108.6121990741</v>
      </c>
      <c r="M226" s="76">
        <v>46108.6947337963</v>
      </c>
      <c r="N226" s="81" t="s">
        <v>74</v>
      </c>
      <c r="O226" s="76">
        <v>46116.833587963</v>
      </c>
      <c r="P226" s="76">
        <v>46115.8338078704</v>
      </c>
    </row>
    <row r="227" s="59" customFormat="1" spans="1:16">
      <c r="A227" s="74">
        <v>226</v>
      </c>
      <c r="B227" s="66" t="s">
        <v>67</v>
      </c>
      <c r="C227" s="67" t="s">
        <v>296</v>
      </c>
      <c r="D227" s="67" t="s">
        <v>81</v>
      </c>
      <c r="E227" s="75" t="s">
        <v>70</v>
      </c>
      <c r="F227" s="76">
        <v>46179.5912384259</v>
      </c>
      <c r="G227" s="76">
        <v>46177.5914583333</v>
      </c>
      <c r="H227" s="77" t="s">
        <v>76</v>
      </c>
      <c r="I227" s="82">
        <v>12000</v>
      </c>
      <c r="J227" s="79" t="s">
        <v>72</v>
      </c>
      <c r="K227" s="83" t="s">
        <v>78</v>
      </c>
      <c r="L227" s="76">
        <v>46116</v>
      </c>
      <c r="M227" s="76">
        <v>46122.5763773148</v>
      </c>
    </row>
    <row r="228" s="59" customFormat="1" spans="1:16">
      <c r="A228" s="74">
        <v>227</v>
      </c>
      <c r="B228" s="66" t="s">
        <v>67</v>
      </c>
      <c r="C228" s="67" t="s">
        <v>296</v>
      </c>
      <c r="D228" s="67" t="s">
        <v>82</v>
      </c>
      <c r="E228" s="75" t="s">
        <v>70</v>
      </c>
      <c r="F228" s="76">
        <v>46179.5946875</v>
      </c>
      <c r="G228" s="76">
        <v>46177.5949074074</v>
      </c>
      <c r="H228" s="77" t="s">
        <v>76</v>
      </c>
      <c r="I228" s="82">
        <v>12000</v>
      </c>
      <c r="J228" s="84" t="s">
        <v>72</v>
      </c>
      <c r="K228" s="80" t="s">
        <v>73</v>
      </c>
      <c r="L228" s="76">
        <v>46108.6121990741</v>
      </c>
      <c r="M228" s="76">
        <v>46108.6948148148</v>
      </c>
      <c r="N228" s="81" t="s">
        <v>74</v>
      </c>
      <c r="O228" s="76">
        <v>46116.833587963</v>
      </c>
      <c r="P228" s="76">
        <v>46115.8338078704</v>
      </c>
    </row>
    <row r="229" s="59" customFormat="1" spans="1:16">
      <c r="A229" s="74">
        <v>228</v>
      </c>
      <c r="B229" s="66" t="s">
        <v>67</v>
      </c>
      <c r="C229" s="67" t="s">
        <v>296</v>
      </c>
      <c r="D229" s="67" t="s">
        <v>83</v>
      </c>
      <c r="E229" s="75" t="s">
        <v>70</v>
      </c>
      <c r="F229" s="76">
        <v>46179.6506018518</v>
      </c>
      <c r="G229" s="76">
        <v>46177.6508101852</v>
      </c>
      <c r="H229" s="77" t="s">
        <v>76</v>
      </c>
      <c r="I229" s="82">
        <v>12000</v>
      </c>
      <c r="J229" s="84" t="s">
        <v>72</v>
      </c>
      <c r="K229" s="80" t="s">
        <v>73</v>
      </c>
      <c r="L229" s="76">
        <v>46108.6121990741</v>
      </c>
      <c r="M229" s="76">
        <v>46108.6949074074</v>
      </c>
      <c r="N229" s="81" t="s">
        <v>74</v>
      </c>
      <c r="O229" s="76">
        <v>46116.833587963</v>
      </c>
      <c r="P229" s="76">
        <v>46115.8338078704</v>
      </c>
    </row>
    <row r="230" s="59" customFormat="1" spans="1:16">
      <c r="A230" s="74">
        <v>229</v>
      </c>
      <c r="B230" s="66" t="s">
        <v>67</v>
      </c>
      <c r="C230" s="67" t="s">
        <v>296</v>
      </c>
      <c r="D230" s="67" t="s">
        <v>84</v>
      </c>
      <c r="E230" s="75" t="s">
        <v>70</v>
      </c>
      <c r="F230" s="76">
        <v>46179.597974537</v>
      </c>
      <c r="G230" s="76">
        <v>46177.5981944444</v>
      </c>
      <c r="H230" s="77" t="s">
        <v>76</v>
      </c>
      <c r="I230" s="82">
        <v>12000</v>
      </c>
      <c r="J230" s="79" t="s">
        <v>72</v>
      </c>
      <c r="K230" s="83" t="s">
        <v>78</v>
      </c>
      <c r="L230" s="76">
        <v>46116</v>
      </c>
      <c r="M230" s="76">
        <v>46122.576412037</v>
      </c>
    </row>
    <row r="231" s="59" customFormat="1" spans="1:16">
      <c r="A231" s="74">
        <v>230</v>
      </c>
      <c r="B231" s="66" t="s">
        <v>67</v>
      </c>
      <c r="C231" s="67" t="s">
        <v>296</v>
      </c>
      <c r="D231" s="67" t="s">
        <v>85</v>
      </c>
      <c r="E231" s="75" t="s">
        <v>70</v>
      </c>
      <c r="F231" s="76">
        <v>46262.6245949074</v>
      </c>
      <c r="G231" s="76">
        <v>46260.624849537</v>
      </c>
      <c r="H231" s="77" t="s">
        <v>76</v>
      </c>
      <c r="I231" s="82">
        <v>12000</v>
      </c>
      <c r="J231" s="84" t="s">
        <v>72</v>
      </c>
      <c r="K231" s="80" t="s">
        <v>73</v>
      </c>
      <c r="L231" s="76">
        <v>46212.607337963</v>
      </c>
      <c r="M231" s="76">
        <v>46212.6113657407</v>
      </c>
      <c r="N231" s="81" t="s">
        <v>74</v>
      </c>
      <c r="O231" s="76">
        <v>46215.8336458333</v>
      </c>
      <c r="P231" s="76">
        <v>46214.8338657407</v>
      </c>
    </row>
    <row r="232" s="59" customFormat="1" spans="1:16">
      <c r="A232" s="74">
        <v>231</v>
      </c>
      <c r="B232" s="66" t="s">
        <v>67</v>
      </c>
      <c r="C232" s="67" t="s">
        <v>296</v>
      </c>
      <c r="D232" s="67" t="s">
        <v>86</v>
      </c>
      <c r="E232" s="81" t="s">
        <v>74</v>
      </c>
      <c r="F232" s="76">
        <v>46215.8336458333</v>
      </c>
      <c r="G232" s="76">
        <v>46214.8338657407</v>
      </c>
      <c r="H232" s="77" t="s">
        <v>76</v>
      </c>
      <c r="I232" s="82">
        <v>12000</v>
      </c>
      <c r="J232" s="84" t="s">
        <v>72</v>
      </c>
      <c r="K232" s="80" t="s">
        <v>73</v>
      </c>
      <c r="L232" s="76">
        <v>46212.6073148148</v>
      </c>
      <c r="M232" s="76">
        <v>46212.6114351852</v>
      </c>
    </row>
    <row r="233" s="59" customFormat="1" spans="1:16">
      <c r="A233" s="74">
        <v>232</v>
      </c>
      <c r="B233" s="66" t="s">
        <v>67</v>
      </c>
      <c r="C233" s="67" t="s">
        <v>296</v>
      </c>
      <c r="D233" s="67" t="s">
        <v>87</v>
      </c>
      <c r="E233" s="83" t="s">
        <v>78</v>
      </c>
      <c r="F233" s="76">
        <v>46221.3771527778</v>
      </c>
      <c r="G233" s="76">
        <v>46220.439537037</v>
      </c>
      <c r="H233" s="77" t="s">
        <v>76</v>
      </c>
      <c r="I233" s="82">
        <v>12000</v>
      </c>
      <c r="J233" s="84" t="s">
        <v>72</v>
      </c>
      <c r="K233" s="85"/>
      <c r="L233" s="86"/>
      <c r="M233" s="87"/>
    </row>
    <row r="234" s="59" customFormat="1" spans="1:16">
      <c r="A234" s="74">
        <v>233</v>
      </c>
      <c r="B234" s="66" t="s">
        <v>67</v>
      </c>
      <c r="C234" s="67" t="s">
        <v>296</v>
      </c>
      <c r="D234" s="67" t="s">
        <v>88</v>
      </c>
      <c r="E234" s="81" t="s">
        <v>74</v>
      </c>
      <c r="F234" s="76">
        <v>46215.8336458333</v>
      </c>
      <c r="G234" s="76">
        <v>46214.8338657407</v>
      </c>
      <c r="H234" s="77" t="s">
        <v>76</v>
      </c>
      <c r="I234" s="82">
        <v>12000</v>
      </c>
      <c r="J234" s="84" t="s">
        <v>72</v>
      </c>
      <c r="K234" s="80" t="s">
        <v>73</v>
      </c>
      <c r="L234" s="76">
        <v>46212.6073148148</v>
      </c>
      <c r="M234" s="76">
        <v>46212.6114930556</v>
      </c>
    </row>
    <row r="235" s="59" customFormat="1" spans="1:16">
      <c r="A235" s="74">
        <v>234</v>
      </c>
      <c r="B235" s="66" t="s">
        <v>67</v>
      </c>
      <c r="C235" s="67" t="s">
        <v>296</v>
      </c>
      <c r="D235" s="67" t="s">
        <v>89</v>
      </c>
      <c r="E235" s="81" t="s">
        <v>74</v>
      </c>
      <c r="F235" s="76">
        <v>46215.8336458333</v>
      </c>
      <c r="G235" s="76">
        <v>46214.8338657407</v>
      </c>
      <c r="H235" s="77" t="s">
        <v>76</v>
      </c>
      <c r="I235" s="82">
        <v>12000</v>
      </c>
      <c r="J235" s="84" t="s">
        <v>72</v>
      </c>
      <c r="K235" s="80" t="s">
        <v>73</v>
      </c>
      <c r="L235" s="76">
        <v>46212.6073148148</v>
      </c>
      <c r="M235" s="76">
        <v>46212.6115509259</v>
      </c>
    </row>
    <row r="236" s="59" customFormat="1" spans="1:16">
      <c r="A236" s="74">
        <v>235</v>
      </c>
      <c r="B236" s="66" t="s">
        <v>67</v>
      </c>
      <c r="C236" s="67" t="s">
        <v>296</v>
      </c>
      <c r="D236" s="67" t="s">
        <v>90</v>
      </c>
      <c r="E236" s="83" t="s">
        <v>78</v>
      </c>
      <c r="F236" s="76">
        <v>46221.378125</v>
      </c>
      <c r="G236" s="76">
        <v>46220.4403935185</v>
      </c>
      <c r="H236" s="77" t="s">
        <v>76</v>
      </c>
      <c r="I236" s="82">
        <v>12000</v>
      </c>
      <c r="J236" s="84" t="s">
        <v>72</v>
      </c>
      <c r="K236" s="85"/>
      <c r="L236" s="86"/>
      <c r="M236" s="87"/>
    </row>
    <row r="237" s="59" customFormat="1" spans="1:16">
      <c r="A237" s="74">
        <v>236</v>
      </c>
      <c r="B237" s="66" t="s">
        <v>67</v>
      </c>
      <c r="C237" s="67" t="s">
        <v>296</v>
      </c>
      <c r="D237" s="67" t="s">
        <v>91</v>
      </c>
      <c r="E237" s="81" t="s">
        <v>74</v>
      </c>
      <c r="F237" s="76">
        <v>46215.8336458333</v>
      </c>
      <c r="G237" s="76">
        <v>46214.8338657407</v>
      </c>
      <c r="H237" s="77" t="s">
        <v>76</v>
      </c>
      <c r="I237" s="82">
        <v>12000</v>
      </c>
      <c r="J237" s="84" t="s">
        <v>72</v>
      </c>
      <c r="K237" s="80" t="s">
        <v>73</v>
      </c>
      <c r="L237" s="76">
        <v>46212.6073148148</v>
      </c>
      <c r="M237" s="76">
        <v>46212.6116435185</v>
      </c>
    </row>
    <row r="238" s="59" customFormat="1" spans="1:16">
      <c r="A238" s="74">
        <v>237</v>
      </c>
      <c r="B238" s="66" t="s">
        <v>67</v>
      </c>
      <c r="C238" s="67" t="s">
        <v>296</v>
      </c>
      <c r="D238" s="67" t="s">
        <v>92</v>
      </c>
      <c r="E238" s="81" t="s">
        <v>74</v>
      </c>
      <c r="F238" s="76">
        <v>46215.8336458333</v>
      </c>
      <c r="G238" s="76">
        <v>46214.8338657407</v>
      </c>
      <c r="H238" s="77" t="s">
        <v>76</v>
      </c>
      <c r="I238" s="82">
        <v>12000</v>
      </c>
      <c r="J238" s="84" t="s">
        <v>72</v>
      </c>
      <c r="K238" s="80" t="s">
        <v>73</v>
      </c>
      <c r="L238" s="76">
        <v>46212.6073263889</v>
      </c>
      <c r="M238" s="76">
        <v>46212.6117013889</v>
      </c>
    </row>
    <row r="239" s="59" customFormat="1" spans="1:16">
      <c r="A239" s="74">
        <v>238</v>
      </c>
      <c r="B239" s="66" t="s">
        <v>67</v>
      </c>
      <c r="C239" s="67" t="s">
        <v>296</v>
      </c>
      <c r="D239" s="67" t="s">
        <v>93</v>
      </c>
      <c r="E239" s="83" t="s">
        <v>78</v>
      </c>
      <c r="F239" s="76">
        <v>46220</v>
      </c>
      <c r="G239" s="76">
        <v>46221.6609143519</v>
      </c>
      <c r="H239" s="77" t="s">
        <v>76</v>
      </c>
      <c r="I239" s="82">
        <v>12000</v>
      </c>
      <c r="J239" s="84" t="s">
        <v>72</v>
      </c>
      <c r="K239" s="85"/>
      <c r="L239" s="89"/>
      <c r="M239" s="89"/>
    </row>
    <row r="240" s="59" customFormat="1" spans="1:16">
      <c r="A240" s="74">
        <v>239</v>
      </c>
      <c r="B240" s="66" t="s">
        <v>67</v>
      </c>
      <c r="C240" s="67" t="s">
        <v>296</v>
      </c>
      <c r="D240" s="67" t="s">
        <v>94</v>
      </c>
      <c r="E240" s="88"/>
      <c r="F240" s="89"/>
      <c r="G240" s="89"/>
      <c r="H240" s="77" t="s">
        <v>76</v>
      </c>
      <c r="I240" s="82">
        <v>12000</v>
      </c>
      <c r="J240" s="84"/>
      <c r="K240" s="85"/>
      <c r="L240" s="89"/>
      <c r="M240" s="89"/>
    </row>
    <row r="241" s="59" customFormat="1" spans="1:16">
      <c r="A241" s="74">
        <v>240</v>
      </c>
      <c r="B241" s="66" t="s">
        <v>67</v>
      </c>
      <c r="C241" s="67" t="s">
        <v>296</v>
      </c>
      <c r="D241" s="67" t="s">
        <v>95</v>
      </c>
      <c r="E241" s="88"/>
      <c r="F241" s="89"/>
      <c r="G241" s="89"/>
      <c r="H241" s="77" t="s">
        <v>76</v>
      </c>
      <c r="I241" s="82">
        <v>12000</v>
      </c>
      <c r="J241" s="84"/>
      <c r="K241" s="85"/>
      <c r="L241" s="89"/>
      <c r="M241" s="89"/>
    </row>
    <row r="242" s="59" customFormat="1" spans="1:16">
      <c r="A242" s="74">
        <v>241</v>
      </c>
      <c r="B242" s="66" t="s">
        <v>67</v>
      </c>
      <c r="C242" s="67" t="s">
        <v>296</v>
      </c>
      <c r="D242" s="67" t="s">
        <v>96</v>
      </c>
      <c r="E242" s="88"/>
      <c r="F242" s="89"/>
      <c r="G242" s="89"/>
      <c r="H242" s="77" t="s">
        <v>76</v>
      </c>
      <c r="I242" s="82">
        <v>12000</v>
      </c>
      <c r="J242" s="84"/>
      <c r="K242" s="85"/>
      <c r="L242" s="89"/>
      <c r="M242" s="89"/>
    </row>
    <row r="243" s="59" customFormat="1" spans="1:16">
      <c r="A243" s="74">
        <v>242</v>
      </c>
      <c r="B243" s="66" t="s">
        <v>67</v>
      </c>
      <c r="C243" s="67" t="s">
        <v>296</v>
      </c>
      <c r="D243" s="67" t="s">
        <v>97</v>
      </c>
      <c r="E243" s="75" t="s">
        <v>70</v>
      </c>
      <c r="F243" s="76">
        <v>46068.8822222222</v>
      </c>
      <c r="G243" s="76">
        <v>46067.8823611111</v>
      </c>
      <c r="H243" s="77" t="s">
        <v>71</v>
      </c>
      <c r="I243" s="78">
        <v>16000</v>
      </c>
      <c r="J243" s="79" t="s">
        <v>72</v>
      </c>
      <c r="K243" s="80" t="s">
        <v>73</v>
      </c>
      <c r="L243" s="76">
        <v>46058.7209606481</v>
      </c>
      <c r="M243" s="76">
        <v>46059.7458564815</v>
      </c>
      <c r="N243" s="81" t="s">
        <v>74</v>
      </c>
      <c r="O243" s="76">
        <v>46061.9167708333</v>
      </c>
      <c r="P243" s="76">
        <v>46060.9169097222</v>
      </c>
    </row>
    <row r="244" s="59" customFormat="1" spans="1:16">
      <c r="A244" s="74">
        <v>243</v>
      </c>
      <c r="B244" s="66" t="s">
        <v>67</v>
      </c>
      <c r="C244" s="67" t="s">
        <v>296</v>
      </c>
      <c r="D244" s="67" t="s">
        <v>98</v>
      </c>
      <c r="E244" s="83" t="s">
        <v>78</v>
      </c>
      <c r="F244" s="76">
        <v>46221.3764699074</v>
      </c>
      <c r="G244" s="76">
        <v>46220.451087963</v>
      </c>
      <c r="H244" s="77" t="s">
        <v>76</v>
      </c>
      <c r="I244" s="82">
        <v>12000</v>
      </c>
      <c r="J244" s="84" t="s">
        <v>72</v>
      </c>
      <c r="K244" s="85"/>
      <c r="L244" s="89"/>
      <c r="M244" s="89"/>
    </row>
    <row r="245" s="59" customFormat="1" spans="1:16">
      <c r="A245" s="74">
        <v>244</v>
      </c>
      <c r="B245" s="66" t="s">
        <v>67</v>
      </c>
      <c r="C245" s="67" t="s">
        <v>296</v>
      </c>
      <c r="D245" s="67" t="s">
        <v>99</v>
      </c>
      <c r="E245" s="81" t="s">
        <v>74</v>
      </c>
      <c r="F245" s="76">
        <v>46215.8336458333</v>
      </c>
      <c r="G245" s="76">
        <v>46214.8338657407</v>
      </c>
      <c r="H245" s="77" t="s">
        <v>76</v>
      </c>
      <c r="I245" s="82">
        <v>12000</v>
      </c>
      <c r="J245" s="84" t="s">
        <v>72</v>
      </c>
      <c r="K245" s="80" t="s">
        <v>73</v>
      </c>
      <c r="L245" s="76">
        <v>46212.6073148148</v>
      </c>
      <c r="M245" s="76">
        <v>46212.6140046296</v>
      </c>
    </row>
    <row r="246" s="59" customFormat="1" spans="1:16">
      <c r="A246" s="74">
        <v>245</v>
      </c>
      <c r="B246" s="66" t="s">
        <v>67</v>
      </c>
      <c r="C246" s="67" t="s">
        <v>296</v>
      </c>
      <c r="D246" s="67" t="s">
        <v>100</v>
      </c>
      <c r="E246" s="81" t="s">
        <v>74</v>
      </c>
      <c r="F246" s="76">
        <v>46215.8336458333</v>
      </c>
      <c r="G246" s="76">
        <v>46214.8338657407</v>
      </c>
      <c r="H246" s="77" t="s">
        <v>76</v>
      </c>
      <c r="I246" s="82">
        <v>12000</v>
      </c>
      <c r="J246" s="84" t="s">
        <v>72</v>
      </c>
      <c r="K246" s="80" t="s">
        <v>73</v>
      </c>
      <c r="L246" s="76">
        <v>46212.6073263889</v>
      </c>
      <c r="M246" s="76">
        <v>46212.6140625</v>
      </c>
    </row>
    <row r="247" s="59" customFormat="1" spans="1:16">
      <c r="A247" s="74">
        <v>246</v>
      </c>
      <c r="B247" s="66" t="s">
        <v>67</v>
      </c>
      <c r="C247" s="67" t="s">
        <v>296</v>
      </c>
      <c r="D247" s="67" t="s">
        <v>101</v>
      </c>
      <c r="E247" s="83" t="s">
        <v>78</v>
      </c>
      <c r="F247" s="76">
        <v>46221.3768287037</v>
      </c>
      <c r="G247" s="76">
        <v>46221.6865046296</v>
      </c>
      <c r="H247" s="77" t="s">
        <v>76</v>
      </c>
      <c r="I247" s="82">
        <v>12000</v>
      </c>
      <c r="J247" s="84" t="s">
        <v>72</v>
      </c>
      <c r="K247" s="85"/>
      <c r="L247" s="89"/>
      <c r="M247" s="89"/>
    </row>
    <row r="248" s="59" customFormat="1" spans="1:16">
      <c r="A248" s="74">
        <v>247</v>
      </c>
      <c r="B248" s="66" t="s">
        <v>67</v>
      </c>
      <c r="C248" s="67" t="s">
        <v>296</v>
      </c>
      <c r="D248" s="67" t="s">
        <v>102</v>
      </c>
      <c r="E248" s="81" t="s">
        <v>74</v>
      </c>
      <c r="F248" s="76">
        <v>46215.8336458333</v>
      </c>
      <c r="G248" s="76">
        <v>46214.8338657407</v>
      </c>
      <c r="H248" s="77" t="s">
        <v>76</v>
      </c>
      <c r="I248" s="82">
        <v>12000</v>
      </c>
      <c r="J248" s="84" t="s">
        <v>72</v>
      </c>
      <c r="K248" s="80" t="s">
        <v>73</v>
      </c>
      <c r="L248" s="76">
        <v>46212.6073148148</v>
      </c>
      <c r="M248" s="76">
        <v>46212.6141203704</v>
      </c>
    </row>
    <row r="249" s="59" customFormat="1" spans="1:16">
      <c r="A249" s="74">
        <v>248</v>
      </c>
      <c r="B249" s="66" t="s">
        <v>67</v>
      </c>
      <c r="C249" s="67" t="s">
        <v>296</v>
      </c>
      <c r="D249" s="67" t="s">
        <v>103</v>
      </c>
      <c r="E249" s="81" t="s">
        <v>74</v>
      </c>
      <c r="F249" s="76">
        <v>46215.8336458333</v>
      </c>
      <c r="G249" s="76">
        <v>46214.8338657407</v>
      </c>
      <c r="H249" s="77" t="s">
        <v>76</v>
      </c>
      <c r="I249" s="82">
        <v>12000</v>
      </c>
      <c r="J249" s="84" t="s">
        <v>72</v>
      </c>
      <c r="K249" s="80" t="s">
        <v>73</v>
      </c>
      <c r="L249" s="76">
        <v>46212.6073148148</v>
      </c>
      <c r="M249" s="76">
        <v>46212.6142013889</v>
      </c>
    </row>
    <row r="250" s="59" customFormat="1" spans="1:16">
      <c r="A250" s="74">
        <v>249</v>
      </c>
      <c r="B250" s="66" t="s">
        <v>67</v>
      </c>
      <c r="C250" s="67" t="s">
        <v>296</v>
      </c>
      <c r="D250" s="67" t="s">
        <v>104</v>
      </c>
      <c r="E250" s="83" t="s">
        <v>78</v>
      </c>
      <c r="F250" s="76">
        <v>46220</v>
      </c>
      <c r="G250" s="76">
        <v>46221.6609837963</v>
      </c>
      <c r="H250" s="77" t="s">
        <v>76</v>
      </c>
      <c r="I250" s="82">
        <v>12000</v>
      </c>
      <c r="J250" s="84" t="s">
        <v>72</v>
      </c>
      <c r="K250" s="85"/>
      <c r="L250" s="86"/>
      <c r="M250" s="87"/>
    </row>
    <row r="251" s="59" customFormat="1" spans="1:16">
      <c r="A251" s="74">
        <v>250</v>
      </c>
      <c r="B251" s="66" t="s">
        <v>67</v>
      </c>
      <c r="C251" s="67" t="s">
        <v>296</v>
      </c>
      <c r="D251" s="67" t="s">
        <v>105</v>
      </c>
      <c r="E251" s="81" t="s">
        <v>74</v>
      </c>
      <c r="F251" s="76">
        <v>46215.8336458333</v>
      </c>
      <c r="G251" s="76">
        <v>46214.8338657407</v>
      </c>
      <c r="H251" s="77" t="s">
        <v>76</v>
      </c>
      <c r="I251" s="82">
        <v>12000</v>
      </c>
      <c r="J251" s="84" t="s">
        <v>72</v>
      </c>
      <c r="K251" s="80" t="s">
        <v>73</v>
      </c>
      <c r="L251" s="76">
        <v>46212.6073148148</v>
      </c>
      <c r="M251" s="76">
        <v>46212.6142708333</v>
      </c>
    </row>
    <row r="252" s="59" customFormat="1" spans="1:16">
      <c r="A252" s="74">
        <v>251</v>
      </c>
      <c r="B252" s="66" t="s">
        <v>67</v>
      </c>
      <c r="C252" s="67" t="s">
        <v>296</v>
      </c>
      <c r="D252" s="67" t="s">
        <v>106</v>
      </c>
      <c r="E252" s="81" t="s">
        <v>74</v>
      </c>
      <c r="F252" s="76">
        <v>46215.8336458333</v>
      </c>
      <c r="G252" s="76">
        <v>46214.8338657407</v>
      </c>
      <c r="H252" s="77" t="s">
        <v>76</v>
      </c>
      <c r="I252" s="82">
        <v>12000</v>
      </c>
      <c r="J252" s="84" t="s">
        <v>72</v>
      </c>
      <c r="K252" s="80" t="s">
        <v>73</v>
      </c>
      <c r="L252" s="76">
        <v>46212.6073263889</v>
      </c>
      <c r="M252" s="76">
        <v>46212.6143402778</v>
      </c>
    </row>
    <row r="253" s="59" customFormat="1" spans="1:16">
      <c r="A253" s="74">
        <v>252</v>
      </c>
      <c r="B253" s="66" t="s">
        <v>67</v>
      </c>
      <c r="C253" s="67" t="s">
        <v>296</v>
      </c>
      <c r="D253" s="67" t="s">
        <v>107</v>
      </c>
      <c r="E253" s="83" t="s">
        <v>78</v>
      </c>
      <c r="F253" s="76">
        <v>46221.3780902778</v>
      </c>
      <c r="G253" s="76">
        <v>46220.453599537</v>
      </c>
      <c r="H253" s="77" t="s">
        <v>76</v>
      </c>
      <c r="I253" s="82">
        <v>12000</v>
      </c>
      <c r="J253" s="84" t="s">
        <v>72</v>
      </c>
      <c r="K253" s="85"/>
      <c r="L253" s="86"/>
      <c r="M253" s="87"/>
    </row>
    <row r="254" s="59" customFormat="1" spans="1:16">
      <c r="A254" s="74">
        <v>253</v>
      </c>
      <c r="B254" s="66" t="s">
        <v>67</v>
      </c>
      <c r="C254" s="67" t="s">
        <v>296</v>
      </c>
      <c r="D254" s="67" t="s">
        <v>108</v>
      </c>
      <c r="E254" s="81" t="s">
        <v>74</v>
      </c>
      <c r="F254" s="76">
        <v>46215.8336458333</v>
      </c>
      <c r="G254" s="76">
        <v>46214.8338657407</v>
      </c>
      <c r="H254" s="77" t="s">
        <v>76</v>
      </c>
      <c r="I254" s="82">
        <v>12000</v>
      </c>
      <c r="J254" s="84" t="s">
        <v>72</v>
      </c>
      <c r="K254" s="80" t="s">
        <v>73</v>
      </c>
      <c r="L254" s="76">
        <v>46212.6073148148</v>
      </c>
      <c r="M254" s="76">
        <v>46212.6144675926</v>
      </c>
    </row>
    <row r="255" s="59" customFormat="1" spans="1:16">
      <c r="A255" s="74">
        <v>254</v>
      </c>
      <c r="B255" s="66" t="s">
        <v>67</v>
      </c>
      <c r="C255" s="67" t="s">
        <v>296</v>
      </c>
      <c r="D255" s="67" t="s">
        <v>109</v>
      </c>
      <c r="E255" s="81" t="s">
        <v>74</v>
      </c>
      <c r="F255" s="76">
        <v>46215.8336458333</v>
      </c>
      <c r="G255" s="76">
        <v>46214.8338657407</v>
      </c>
      <c r="H255" s="77" t="s">
        <v>76</v>
      </c>
      <c r="I255" s="82">
        <v>12000</v>
      </c>
      <c r="J255" s="84" t="s">
        <v>72</v>
      </c>
      <c r="K255" s="80" t="s">
        <v>73</v>
      </c>
      <c r="L255" s="76">
        <v>46212.6073148148</v>
      </c>
      <c r="M255" s="76">
        <v>46212.6147106482</v>
      </c>
    </row>
    <row r="256" s="59" customFormat="1" spans="1:16">
      <c r="A256" s="74">
        <v>255</v>
      </c>
      <c r="B256" s="66" t="s">
        <v>67</v>
      </c>
      <c r="C256" s="67" t="s">
        <v>296</v>
      </c>
      <c r="D256" s="67" t="s">
        <v>110</v>
      </c>
      <c r="E256" s="83" t="s">
        <v>78</v>
      </c>
      <c r="F256" s="76">
        <v>46221.3770601852</v>
      </c>
      <c r="G256" s="76">
        <v>46220.4562731481</v>
      </c>
      <c r="H256" s="77" t="s">
        <v>76</v>
      </c>
      <c r="I256" s="82">
        <v>12000</v>
      </c>
      <c r="J256" s="84" t="s">
        <v>72</v>
      </c>
      <c r="K256" s="85"/>
      <c r="L256" s="86"/>
      <c r="M256" s="87"/>
    </row>
    <row r="257" s="59" customFormat="1" spans="1:13">
      <c r="A257" s="74">
        <v>256</v>
      </c>
      <c r="B257" s="66" t="s">
        <v>67</v>
      </c>
      <c r="C257" s="67" t="s">
        <v>296</v>
      </c>
      <c r="D257" s="67" t="s">
        <v>111</v>
      </c>
      <c r="E257" s="81" t="s">
        <v>74</v>
      </c>
      <c r="F257" s="76">
        <v>46215.8336458333</v>
      </c>
      <c r="G257" s="76">
        <v>46214.8338657407</v>
      </c>
      <c r="H257" s="77" t="s">
        <v>76</v>
      </c>
      <c r="I257" s="82">
        <v>12000</v>
      </c>
      <c r="J257" s="84" t="s">
        <v>72</v>
      </c>
      <c r="K257" s="80" t="s">
        <v>73</v>
      </c>
      <c r="L257" s="76">
        <v>46212.6073148148</v>
      </c>
      <c r="M257" s="76">
        <v>46212.6147685185</v>
      </c>
    </row>
    <row r="258" s="59" customFormat="1" spans="1:13">
      <c r="A258" s="74">
        <v>257</v>
      </c>
      <c r="B258" s="66" t="s">
        <v>67</v>
      </c>
      <c r="C258" s="67" t="s">
        <v>296</v>
      </c>
      <c r="D258" s="67" t="s">
        <v>112</v>
      </c>
      <c r="E258" s="81" t="s">
        <v>74</v>
      </c>
      <c r="F258" s="76">
        <v>46215.8336458333</v>
      </c>
      <c r="G258" s="76">
        <v>46214.8338657407</v>
      </c>
      <c r="H258" s="77" t="s">
        <v>76</v>
      </c>
      <c r="I258" s="82">
        <v>12000</v>
      </c>
      <c r="J258" s="84" t="s">
        <v>72</v>
      </c>
      <c r="K258" s="80" t="s">
        <v>73</v>
      </c>
      <c r="L258" s="76">
        <v>46212.6073148148</v>
      </c>
      <c r="M258" s="76">
        <v>46212.6148958333</v>
      </c>
    </row>
    <row r="259" s="59" customFormat="1" spans="1:13">
      <c r="A259" s="74">
        <v>258</v>
      </c>
      <c r="B259" s="66" t="s">
        <v>67</v>
      </c>
      <c r="C259" s="67" t="s">
        <v>296</v>
      </c>
      <c r="D259" s="67" t="s">
        <v>113</v>
      </c>
      <c r="E259" s="83" t="s">
        <v>78</v>
      </c>
      <c r="F259" s="76">
        <v>46220</v>
      </c>
      <c r="G259" s="76">
        <v>46221.6610532407</v>
      </c>
      <c r="H259" s="77" t="s">
        <v>76</v>
      </c>
      <c r="I259" s="82">
        <v>12000</v>
      </c>
      <c r="J259" s="84" t="s">
        <v>72</v>
      </c>
      <c r="K259" s="85"/>
      <c r="L259" s="89"/>
      <c r="M259" s="89"/>
    </row>
    <row r="260" s="59" customFormat="1" spans="1:13">
      <c r="A260" s="74">
        <v>259</v>
      </c>
      <c r="B260" s="66" t="s">
        <v>67</v>
      </c>
      <c r="C260" s="67" t="s">
        <v>296</v>
      </c>
      <c r="D260" s="67" t="s">
        <v>114</v>
      </c>
      <c r="E260" s="81" t="s">
        <v>74</v>
      </c>
      <c r="F260" s="76">
        <v>46215.8336458333</v>
      </c>
      <c r="G260" s="76">
        <v>46214.8338657407</v>
      </c>
      <c r="H260" s="77" t="s">
        <v>76</v>
      </c>
      <c r="I260" s="82">
        <v>12000</v>
      </c>
      <c r="J260" s="84" t="s">
        <v>72</v>
      </c>
      <c r="K260" s="80" t="s">
        <v>73</v>
      </c>
      <c r="L260" s="76">
        <v>46212.6073148148</v>
      </c>
      <c r="M260" s="76">
        <v>46212.615</v>
      </c>
    </row>
    <row r="261" s="59" customFormat="1" spans="1:13">
      <c r="A261" s="74">
        <v>260</v>
      </c>
      <c r="B261" s="66" t="s">
        <v>67</v>
      </c>
      <c r="C261" s="67" t="s">
        <v>296</v>
      </c>
      <c r="D261" s="67" t="s">
        <v>115</v>
      </c>
      <c r="E261" s="81" t="s">
        <v>74</v>
      </c>
      <c r="F261" s="76">
        <v>46215.8336458333</v>
      </c>
      <c r="G261" s="76">
        <v>46214.8338657407</v>
      </c>
      <c r="H261" s="77" t="s">
        <v>76</v>
      </c>
      <c r="I261" s="82">
        <v>12000</v>
      </c>
      <c r="J261" s="84" t="s">
        <v>72</v>
      </c>
      <c r="K261" s="80" t="s">
        <v>73</v>
      </c>
      <c r="L261" s="76">
        <v>46212.6073148148</v>
      </c>
      <c r="M261" s="76">
        <v>46212.6150810185</v>
      </c>
    </row>
    <row r="262" s="59" customFormat="1" spans="1:13">
      <c r="A262" s="74">
        <v>261</v>
      </c>
      <c r="B262" s="66" t="s">
        <v>67</v>
      </c>
      <c r="C262" s="67" t="s">
        <v>296</v>
      </c>
      <c r="D262" s="67" t="s">
        <v>116</v>
      </c>
      <c r="E262" s="88"/>
      <c r="F262" s="89"/>
      <c r="G262" s="89"/>
      <c r="H262" s="77" t="s">
        <v>76</v>
      </c>
      <c r="I262" s="82">
        <v>12000</v>
      </c>
      <c r="J262" s="84"/>
      <c r="K262" s="85"/>
      <c r="L262" s="89"/>
      <c r="M262" s="89"/>
    </row>
    <row r="263" s="59" customFormat="1" spans="1:13">
      <c r="A263" s="74">
        <v>262</v>
      </c>
      <c r="B263" s="66" t="s">
        <v>67</v>
      </c>
      <c r="C263" s="67" t="s">
        <v>296</v>
      </c>
      <c r="D263" s="67" t="s">
        <v>117</v>
      </c>
      <c r="E263" s="88"/>
      <c r="F263" s="89"/>
      <c r="G263" s="89"/>
      <c r="H263" s="77" t="s">
        <v>76</v>
      </c>
      <c r="I263" s="82">
        <v>12000</v>
      </c>
      <c r="J263" s="84"/>
      <c r="K263" s="85"/>
      <c r="L263" s="89"/>
      <c r="M263" s="89"/>
    </row>
    <row r="264" s="59" customFormat="1" spans="1:13">
      <c r="A264" s="74">
        <v>263</v>
      </c>
      <c r="B264" s="66" t="s">
        <v>67</v>
      </c>
      <c r="C264" s="67" t="s">
        <v>296</v>
      </c>
      <c r="D264" s="67" t="s">
        <v>118</v>
      </c>
      <c r="E264" s="88"/>
      <c r="F264" s="89"/>
      <c r="G264" s="89"/>
      <c r="H264" s="77" t="s">
        <v>76</v>
      </c>
      <c r="I264" s="82">
        <v>12000</v>
      </c>
      <c r="J264" s="84"/>
      <c r="K264" s="85"/>
      <c r="L264" s="89"/>
      <c r="M264" s="89"/>
    </row>
    <row r="265" s="59" customFormat="1" spans="1:13">
      <c r="A265" s="74">
        <v>264</v>
      </c>
      <c r="B265" s="66" t="s">
        <v>67</v>
      </c>
      <c r="C265" s="67" t="s">
        <v>296</v>
      </c>
      <c r="D265" s="67" t="s">
        <v>119</v>
      </c>
      <c r="E265" s="88"/>
      <c r="F265" s="89"/>
      <c r="G265" s="89"/>
      <c r="H265" s="77" t="s">
        <v>76</v>
      </c>
      <c r="I265" s="82">
        <v>12000</v>
      </c>
      <c r="J265" s="84"/>
      <c r="K265" s="85"/>
      <c r="L265" s="89"/>
      <c r="M265" s="89"/>
    </row>
    <row r="266" s="59" customFormat="1" spans="1:13">
      <c r="A266" s="74">
        <v>265</v>
      </c>
      <c r="B266" s="66" t="s">
        <v>67</v>
      </c>
      <c r="C266" s="67" t="s">
        <v>296</v>
      </c>
      <c r="D266" s="59" t="s">
        <v>120</v>
      </c>
      <c r="E266" s="81" t="s">
        <v>74</v>
      </c>
      <c r="F266" s="76">
        <v>46215.8336458333</v>
      </c>
      <c r="G266" s="76">
        <v>46214.8338657407</v>
      </c>
      <c r="H266" s="77" t="s">
        <v>71</v>
      </c>
      <c r="I266" s="78">
        <v>16000</v>
      </c>
      <c r="J266" s="84" t="s">
        <v>72</v>
      </c>
      <c r="K266" s="80" t="s">
        <v>73</v>
      </c>
      <c r="L266" s="76">
        <v>46212.6073148148</v>
      </c>
      <c r="M266" s="76">
        <v>46212.6470486111</v>
      </c>
    </row>
    <row r="267" s="59" customFormat="1" spans="1:13">
      <c r="A267" s="74">
        <v>266</v>
      </c>
      <c r="B267" s="66" t="s">
        <v>67</v>
      </c>
      <c r="C267" s="67" t="s">
        <v>296</v>
      </c>
      <c r="D267" s="59" t="s">
        <v>121</v>
      </c>
      <c r="E267" s="81" t="s">
        <v>74</v>
      </c>
      <c r="F267" s="76">
        <v>46215.8336458333</v>
      </c>
      <c r="G267" s="76">
        <v>46214.8338657407</v>
      </c>
      <c r="H267" s="77" t="s">
        <v>76</v>
      </c>
      <c r="I267" s="82">
        <v>12000</v>
      </c>
      <c r="J267" s="84" t="s">
        <v>72</v>
      </c>
      <c r="K267" s="80" t="s">
        <v>73</v>
      </c>
      <c r="L267" s="76">
        <v>46212.6073148148</v>
      </c>
      <c r="M267" s="76">
        <v>46212.6471064815</v>
      </c>
    </row>
    <row r="268" s="59" customFormat="1" spans="1:13">
      <c r="A268" s="74">
        <v>267</v>
      </c>
      <c r="B268" s="66" t="s">
        <v>67</v>
      </c>
      <c r="C268" s="67" t="s">
        <v>296</v>
      </c>
      <c r="D268" s="59" t="s">
        <v>122</v>
      </c>
      <c r="E268" s="83" t="s">
        <v>78</v>
      </c>
      <c r="F268" s="76">
        <v>46221.3766666667</v>
      </c>
      <c r="G268" s="76">
        <v>46220.4609837963</v>
      </c>
      <c r="H268" s="77" t="s">
        <v>76</v>
      </c>
      <c r="I268" s="82">
        <v>12000</v>
      </c>
      <c r="J268" s="84" t="s">
        <v>72</v>
      </c>
      <c r="K268" s="85"/>
      <c r="L268" s="86"/>
      <c r="M268" s="87"/>
    </row>
    <row r="269" s="59" customFormat="1" spans="1:13">
      <c r="A269" s="74">
        <v>268</v>
      </c>
      <c r="B269" s="66" t="s">
        <v>67</v>
      </c>
      <c r="C269" s="67" t="s">
        <v>296</v>
      </c>
      <c r="D269" s="59" t="s">
        <v>123</v>
      </c>
      <c r="E269" s="81" t="s">
        <v>74</v>
      </c>
      <c r="F269" s="76">
        <v>46215.8336458333</v>
      </c>
      <c r="G269" s="76">
        <v>46214.8338657407</v>
      </c>
      <c r="H269" s="77" t="s">
        <v>76</v>
      </c>
      <c r="I269" s="82">
        <v>12000</v>
      </c>
      <c r="J269" s="84" t="s">
        <v>72</v>
      </c>
      <c r="K269" s="80" t="s">
        <v>73</v>
      </c>
      <c r="L269" s="76">
        <v>46212.6073148148</v>
      </c>
      <c r="M269" s="76">
        <v>46212.6472453704</v>
      </c>
    </row>
    <row r="270" s="59" customFormat="1" spans="1:13">
      <c r="A270" s="74">
        <v>269</v>
      </c>
      <c r="B270" s="66" t="s">
        <v>67</v>
      </c>
      <c r="C270" s="67" t="s">
        <v>296</v>
      </c>
      <c r="D270" s="59" t="s">
        <v>124</v>
      </c>
      <c r="E270" s="81" t="s">
        <v>74</v>
      </c>
      <c r="F270" s="76">
        <v>46215.8336458333</v>
      </c>
      <c r="G270" s="76">
        <v>46214.8338657407</v>
      </c>
      <c r="H270" s="77" t="s">
        <v>76</v>
      </c>
      <c r="I270" s="82">
        <v>12000</v>
      </c>
      <c r="J270" s="84" t="s">
        <v>72</v>
      </c>
      <c r="K270" s="80" t="s">
        <v>73</v>
      </c>
      <c r="L270" s="76">
        <v>46212.6073148148</v>
      </c>
      <c r="M270" s="76">
        <v>46212.6473032407</v>
      </c>
    </row>
    <row r="271" s="59" customFormat="1" spans="1:13">
      <c r="A271" s="74">
        <v>270</v>
      </c>
      <c r="B271" s="66" t="s">
        <v>67</v>
      </c>
      <c r="C271" s="67" t="s">
        <v>296</v>
      </c>
      <c r="D271" s="59" t="s">
        <v>125</v>
      </c>
      <c r="E271" s="83" t="s">
        <v>78</v>
      </c>
      <c r="F271" s="76">
        <v>46221.3837152778</v>
      </c>
      <c r="G271" s="76">
        <v>46221.5831597222</v>
      </c>
      <c r="H271" s="77" t="s">
        <v>76</v>
      </c>
      <c r="I271" s="82">
        <v>12000</v>
      </c>
      <c r="J271" s="84" t="s">
        <v>72</v>
      </c>
      <c r="K271" s="85"/>
      <c r="L271" s="86"/>
      <c r="M271" s="87"/>
    </row>
    <row r="272" s="59" customFormat="1" spans="1:13">
      <c r="A272" s="74">
        <v>271</v>
      </c>
      <c r="B272" s="66" t="s">
        <v>67</v>
      </c>
      <c r="C272" s="67" t="s">
        <v>296</v>
      </c>
      <c r="D272" s="59" t="s">
        <v>126</v>
      </c>
      <c r="E272" s="81" t="s">
        <v>74</v>
      </c>
      <c r="F272" s="76">
        <v>46215.8336458333</v>
      </c>
      <c r="G272" s="76">
        <v>46214.8338657407</v>
      </c>
      <c r="H272" s="77" t="s">
        <v>76</v>
      </c>
      <c r="I272" s="82">
        <v>12000</v>
      </c>
      <c r="J272" s="84" t="s">
        <v>72</v>
      </c>
      <c r="K272" s="80" t="s">
        <v>73</v>
      </c>
      <c r="L272" s="76">
        <v>46212.6073148148</v>
      </c>
      <c r="M272" s="76">
        <v>46212.6473611111</v>
      </c>
    </row>
    <row r="273" s="59" customFormat="1" spans="1:16">
      <c r="A273" s="74">
        <v>272</v>
      </c>
      <c r="B273" s="66" t="s">
        <v>67</v>
      </c>
      <c r="C273" s="67" t="s">
        <v>296</v>
      </c>
      <c r="D273" s="59" t="s">
        <v>127</v>
      </c>
      <c r="E273" s="81" t="s">
        <v>74</v>
      </c>
      <c r="F273" s="76">
        <v>46215.8336458333</v>
      </c>
      <c r="G273" s="76">
        <v>46214.8338657407</v>
      </c>
      <c r="H273" s="77" t="s">
        <v>76</v>
      </c>
      <c r="I273" s="82">
        <v>12000</v>
      </c>
      <c r="J273" s="84" t="s">
        <v>72</v>
      </c>
      <c r="K273" s="80" t="s">
        <v>73</v>
      </c>
      <c r="L273" s="76">
        <v>46212.6073263889</v>
      </c>
      <c r="M273" s="76">
        <v>46212.6474074074</v>
      </c>
    </row>
    <row r="274" s="59" customFormat="1" spans="1:16">
      <c r="A274" s="74">
        <v>273</v>
      </c>
      <c r="B274" s="66" t="s">
        <v>67</v>
      </c>
      <c r="C274" s="67" t="s">
        <v>296</v>
      </c>
      <c r="D274" s="59" t="s">
        <v>128</v>
      </c>
      <c r="E274" s="83" t="s">
        <v>78</v>
      </c>
      <c r="F274" s="76">
        <v>46220</v>
      </c>
      <c r="G274" s="76">
        <v>46221.6674305556</v>
      </c>
      <c r="H274" s="77" t="s">
        <v>76</v>
      </c>
      <c r="I274" s="82">
        <v>12000</v>
      </c>
      <c r="J274" s="84" t="s">
        <v>72</v>
      </c>
      <c r="K274" s="85"/>
      <c r="L274" s="86"/>
      <c r="M274" s="87"/>
    </row>
    <row r="275" s="59" customFormat="1" spans="1:16">
      <c r="A275" s="74">
        <v>274</v>
      </c>
      <c r="B275" s="66" t="s">
        <v>67</v>
      </c>
      <c r="C275" s="67" t="s">
        <v>296</v>
      </c>
      <c r="D275" s="59" t="s">
        <v>129</v>
      </c>
      <c r="E275" s="81" t="s">
        <v>74</v>
      </c>
      <c r="F275" s="76">
        <v>46215.8336458333</v>
      </c>
      <c r="G275" s="76">
        <v>46214.8338657407</v>
      </c>
      <c r="H275" s="77" t="s">
        <v>76</v>
      </c>
      <c r="I275" s="82">
        <v>12000</v>
      </c>
      <c r="J275" s="84" t="s">
        <v>72</v>
      </c>
      <c r="K275" s="80" t="s">
        <v>73</v>
      </c>
      <c r="L275" s="76">
        <v>46212.607337963</v>
      </c>
      <c r="M275" s="76">
        <v>46212.6474652778</v>
      </c>
    </row>
    <row r="276" s="59" customFormat="1" spans="1:16">
      <c r="A276" s="74">
        <v>275</v>
      </c>
      <c r="B276" s="66" t="s">
        <v>67</v>
      </c>
      <c r="C276" s="67" t="s">
        <v>296</v>
      </c>
      <c r="D276" s="59" t="s">
        <v>130</v>
      </c>
      <c r="E276" s="81" t="s">
        <v>74</v>
      </c>
      <c r="F276" s="76">
        <v>46215.8336458333</v>
      </c>
      <c r="G276" s="76">
        <v>46214.8338657407</v>
      </c>
      <c r="H276" s="77" t="s">
        <v>76</v>
      </c>
      <c r="I276" s="82">
        <v>12000</v>
      </c>
      <c r="J276" s="84" t="s">
        <v>72</v>
      </c>
      <c r="K276" s="80" t="s">
        <v>73</v>
      </c>
      <c r="L276" s="76">
        <v>46212.6073148148</v>
      </c>
      <c r="M276" s="76">
        <v>46212.6475231481</v>
      </c>
    </row>
    <row r="277" s="59" customFormat="1" spans="1:16">
      <c r="A277" s="74">
        <v>276</v>
      </c>
      <c r="B277" s="66" t="s">
        <v>67</v>
      </c>
      <c r="C277" s="67" t="s">
        <v>296</v>
      </c>
      <c r="D277" s="59" t="s">
        <v>131</v>
      </c>
      <c r="E277" s="83" t="s">
        <v>78</v>
      </c>
      <c r="F277" s="76">
        <v>46220</v>
      </c>
      <c r="G277" s="76">
        <v>46221.6675</v>
      </c>
      <c r="H277" s="77" t="s">
        <v>76</v>
      </c>
      <c r="I277" s="82">
        <v>12000</v>
      </c>
      <c r="J277" s="84" t="s">
        <v>72</v>
      </c>
      <c r="K277" s="85"/>
      <c r="L277" s="89"/>
      <c r="M277" s="89"/>
    </row>
    <row r="278" s="59" customFormat="1" spans="1:16">
      <c r="A278" s="74">
        <v>277</v>
      </c>
      <c r="B278" s="66" t="s">
        <v>67</v>
      </c>
      <c r="C278" s="67" t="s">
        <v>296</v>
      </c>
      <c r="D278" s="59" t="s">
        <v>132</v>
      </c>
      <c r="E278" s="81" t="s">
        <v>74</v>
      </c>
      <c r="F278" s="76">
        <v>46215.8336458333</v>
      </c>
      <c r="G278" s="76">
        <v>46214.8338657407</v>
      </c>
      <c r="H278" s="77" t="s">
        <v>76</v>
      </c>
      <c r="I278" s="82">
        <v>12000</v>
      </c>
      <c r="J278" s="84" t="s">
        <v>72</v>
      </c>
      <c r="K278" s="80" t="s">
        <v>73</v>
      </c>
      <c r="L278" s="76">
        <v>46212.6073148148</v>
      </c>
      <c r="M278" s="76">
        <v>46212.6475810185</v>
      </c>
    </row>
    <row r="279" s="59" customFormat="1" spans="1:16">
      <c r="A279" s="74">
        <v>278</v>
      </c>
      <c r="B279" s="66" t="s">
        <v>67</v>
      </c>
      <c r="C279" s="67" t="s">
        <v>296</v>
      </c>
      <c r="D279" s="59" t="s">
        <v>133</v>
      </c>
      <c r="E279" s="81" t="s">
        <v>74</v>
      </c>
      <c r="F279" s="76">
        <v>46215.8336458333</v>
      </c>
      <c r="G279" s="76">
        <v>46214.8338657407</v>
      </c>
      <c r="H279" s="77" t="s">
        <v>76</v>
      </c>
      <c r="I279" s="82">
        <v>12000</v>
      </c>
      <c r="J279" s="84" t="s">
        <v>72</v>
      </c>
      <c r="K279" s="80" t="s">
        <v>73</v>
      </c>
      <c r="L279" s="76">
        <v>46212.6073148148</v>
      </c>
      <c r="M279" s="76">
        <v>46212.6477314815</v>
      </c>
    </row>
    <row r="280" s="59" customFormat="1" spans="1:16">
      <c r="A280" s="74">
        <v>279</v>
      </c>
      <c r="B280" s="66" t="s">
        <v>67</v>
      </c>
      <c r="C280" s="67" t="s">
        <v>296</v>
      </c>
      <c r="D280" s="59" t="s">
        <v>134</v>
      </c>
      <c r="E280" s="83" t="s">
        <v>78</v>
      </c>
      <c r="F280" s="76">
        <v>46220</v>
      </c>
      <c r="G280" s="76">
        <v>46221.6675694444</v>
      </c>
      <c r="H280" s="77" t="s">
        <v>76</v>
      </c>
      <c r="I280" s="82">
        <v>12000</v>
      </c>
      <c r="J280" s="84" t="s">
        <v>72</v>
      </c>
      <c r="K280" s="85"/>
      <c r="L280" s="89"/>
      <c r="M280" s="89"/>
    </row>
    <row r="281" s="59" customFormat="1" spans="1:16">
      <c r="A281" s="74">
        <v>280</v>
      </c>
      <c r="B281" s="66" t="s">
        <v>67</v>
      </c>
      <c r="C281" s="67" t="s">
        <v>296</v>
      </c>
      <c r="D281" s="59" t="s">
        <v>135</v>
      </c>
      <c r="E281" s="81" t="s">
        <v>74</v>
      </c>
      <c r="F281" s="76">
        <v>46215.8336458333</v>
      </c>
      <c r="G281" s="76">
        <v>46214.8338657407</v>
      </c>
      <c r="H281" s="77" t="s">
        <v>76</v>
      </c>
      <c r="I281" s="82">
        <v>12000</v>
      </c>
      <c r="J281" s="84" t="s">
        <v>72</v>
      </c>
      <c r="K281" s="80" t="s">
        <v>73</v>
      </c>
      <c r="L281" s="76">
        <v>46212.6073148148</v>
      </c>
      <c r="M281" s="76">
        <v>46212.6478587963</v>
      </c>
    </row>
    <row r="282" s="59" customFormat="1" spans="1:16">
      <c r="A282" s="74">
        <v>281</v>
      </c>
      <c r="B282" s="66" t="s">
        <v>67</v>
      </c>
      <c r="C282" s="67" t="s">
        <v>296</v>
      </c>
      <c r="D282" s="59" t="s">
        <v>136</v>
      </c>
      <c r="E282" s="81" t="s">
        <v>74</v>
      </c>
      <c r="F282" s="76">
        <v>46215.8336458333</v>
      </c>
      <c r="G282" s="76">
        <v>46214.8338657407</v>
      </c>
      <c r="H282" s="77" t="s">
        <v>76</v>
      </c>
      <c r="I282" s="82">
        <v>12000</v>
      </c>
      <c r="J282" s="84" t="s">
        <v>72</v>
      </c>
      <c r="K282" s="80" t="s">
        <v>73</v>
      </c>
      <c r="L282" s="76">
        <v>46212.6073148148</v>
      </c>
      <c r="M282" s="76">
        <v>46212.6479282407</v>
      </c>
    </row>
    <row r="283" s="59" customFormat="1" spans="1:16">
      <c r="A283" s="74">
        <v>282</v>
      </c>
      <c r="B283" s="66" t="s">
        <v>67</v>
      </c>
      <c r="C283" s="67" t="s">
        <v>296</v>
      </c>
      <c r="D283" s="59" t="s">
        <v>137</v>
      </c>
      <c r="E283" s="83" t="s">
        <v>78</v>
      </c>
      <c r="F283" s="76">
        <v>46220</v>
      </c>
      <c r="G283" s="76">
        <v>46221.6680439815</v>
      </c>
      <c r="H283" s="77" t="s">
        <v>76</v>
      </c>
      <c r="I283" s="82">
        <v>12000</v>
      </c>
      <c r="J283" s="84" t="s">
        <v>72</v>
      </c>
      <c r="K283" s="85"/>
      <c r="L283" s="86"/>
      <c r="M283" s="87"/>
    </row>
    <row r="284" s="59" customFormat="1" spans="1:16">
      <c r="A284" s="74">
        <v>283</v>
      </c>
      <c r="B284" s="66" t="s">
        <v>67</v>
      </c>
      <c r="C284" s="67" t="s">
        <v>296</v>
      </c>
      <c r="D284" s="59" t="s">
        <v>138</v>
      </c>
      <c r="E284" s="88"/>
      <c r="H284" s="77" t="s">
        <v>76</v>
      </c>
      <c r="I284" s="82">
        <v>12000</v>
      </c>
      <c r="K284" s="85"/>
      <c r="L284" s="86"/>
      <c r="M284" s="87"/>
    </row>
    <row r="285" s="59" customFormat="1" spans="1:16">
      <c r="A285" s="74">
        <v>284</v>
      </c>
      <c r="B285" s="66" t="s">
        <v>67</v>
      </c>
      <c r="C285" s="67" t="s">
        <v>296</v>
      </c>
      <c r="D285" s="59" t="s">
        <v>139</v>
      </c>
      <c r="E285" s="88"/>
      <c r="H285" s="77" t="s">
        <v>76</v>
      </c>
      <c r="I285" s="82">
        <v>12000</v>
      </c>
      <c r="K285" s="85"/>
      <c r="L285" s="86"/>
      <c r="M285" s="87"/>
    </row>
    <row r="286" s="59" customFormat="1" spans="1:16">
      <c r="A286" s="74">
        <v>285</v>
      </c>
      <c r="B286" s="66" t="s">
        <v>67</v>
      </c>
      <c r="C286" s="67" t="s">
        <v>296</v>
      </c>
      <c r="D286" s="59" t="s">
        <v>140</v>
      </c>
      <c r="E286" s="88"/>
      <c r="H286" s="77" t="s">
        <v>76</v>
      </c>
      <c r="I286" s="82">
        <v>12000</v>
      </c>
      <c r="K286" s="85"/>
      <c r="L286" s="86"/>
      <c r="M286" s="87"/>
    </row>
    <row r="287" s="59" customFormat="1" spans="1:16">
      <c r="A287" s="74">
        <v>286</v>
      </c>
      <c r="B287" s="66" t="s">
        <v>67</v>
      </c>
      <c r="C287" s="67" t="s">
        <v>296</v>
      </c>
      <c r="D287" s="59" t="s">
        <v>141</v>
      </c>
      <c r="E287" s="75" t="s">
        <v>70</v>
      </c>
      <c r="F287" s="76">
        <v>46067.8821759259</v>
      </c>
      <c r="G287" s="76">
        <v>46066.8823263889</v>
      </c>
      <c r="H287" s="77" t="s">
        <v>71</v>
      </c>
      <c r="I287" s="78">
        <v>16000</v>
      </c>
      <c r="J287" s="79" t="s">
        <v>72</v>
      </c>
      <c r="K287" s="80" t="s">
        <v>73</v>
      </c>
      <c r="L287" s="76">
        <v>46058.7209722222</v>
      </c>
      <c r="M287" s="76">
        <v>46059.7515509259</v>
      </c>
      <c r="N287" s="81" t="s">
        <v>74</v>
      </c>
      <c r="O287" s="76">
        <v>46061.9167708333</v>
      </c>
      <c r="P287" s="76">
        <v>46060.9169097222</v>
      </c>
    </row>
    <row r="288" s="59" customFormat="1" spans="1:16">
      <c r="A288" s="74">
        <v>287</v>
      </c>
      <c r="B288" s="66" t="s">
        <v>67</v>
      </c>
      <c r="C288" s="67" t="s">
        <v>296</v>
      </c>
      <c r="D288" s="59" t="s">
        <v>142</v>
      </c>
      <c r="E288" s="75" t="s">
        <v>70</v>
      </c>
      <c r="F288" s="76">
        <v>46262.8228009259</v>
      </c>
      <c r="G288" s="76">
        <v>46260.8230092593</v>
      </c>
      <c r="H288" s="77" t="s">
        <v>76</v>
      </c>
      <c r="I288" s="82">
        <v>12000</v>
      </c>
      <c r="J288" s="79" t="s">
        <v>72</v>
      </c>
      <c r="K288" s="83" t="s">
        <v>78</v>
      </c>
      <c r="L288" s="76">
        <v>46255.6030555556</v>
      </c>
      <c r="M288" s="76">
        <v>46255.6042476852</v>
      </c>
    </row>
    <row r="289" s="59" customFormat="1" spans="1:16">
      <c r="A289" s="74">
        <v>288</v>
      </c>
      <c r="B289" s="66" t="s">
        <v>67</v>
      </c>
      <c r="C289" s="67" t="s">
        <v>296</v>
      </c>
      <c r="D289" s="59" t="s">
        <v>143</v>
      </c>
      <c r="E289" s="75" t="s">
        <v>70</v>
      </c>
      <c r="F289" s="76">
        <v>46262.8475462963</v>
      </c>
      <c r="G289" s="76">
        <v>46260.8477430556</v>
      </c>
      <c r="H289" s="77" t="s">
        <v>76</v>
      </c>
      <c r="I289" s="82">
        <v>12000</v>
      </c>
      <c r="J289" s="79" t="s">
        <v>72</v>
      </c>
      <c r="K289" s="80" t="s">
        <v>73</v>
      </c>
      <c r="L289" s="93">
        <v>46249.7254976852</v>
      </c>
      <c r="M289" s="93">
        <v>46252.7491319444</v>
      </c>
      <c r="N289" s="81" t="s">
        <v>74</v>
      </c>
      <c r="O289" s="76">
        <v>46257.8334837963</v>
      </c>
      <c r="P289" s="76">
        <v>46256.8336921296</v>
      </c>
    </row>
    <row r="290" s="59" customFormat="1" spans="1:16">
      <c r="A290" s="74">
        <v>289</v>
      </c>
      <c r="B290" s="66" t="s">
        <v>67</v>
      </c>
      <c r="C290" s="67" t="s">
        <v>296</v>
      </c>
      <c r="D290" s="59" t="s">
        <v>144</v>
      </c>
      <c r="E290" s="75" t="s">
        <v>70</v>
      </c>
      <c r="F290" s="76">
        <v>46262.8511226852</v>
      </c>
      <c r="G290" s="76">
        <v>46260.8513310185</v>
      </c>
      <c r="H290" s="77" t="s">
        <v>76</v>
      </c>
      <c r="I290" s="82">
        <v>12000</v>
      </c>
      <c r="J290" s="79" t="s">
        <v>72</v>
      </c>
      <c r="K290" s="83" t="s">
        <v>78</v>
      </c>
      <c r="L290" s="76">
        <v>46255.6035069444</v>
      </c>
      <c r="M290" s="76">
        <v>46255.6042939815</v>
      </c>
    </row>
    <row r="291" s="59" customFormat="1" spans="1:16">
      <c r="A291" s="74">
        <v>290</v>
      </c>
      <c r="B291" s="66" t="s">
        <v>67</v>
      </c>
      <c r="C291" s="67" t="s">
        <v>296</v>
      </c>
      <c r="D291" s="59" t="s">
        <v>145</v>
      </c>
      <c r="E291" s="88"/>
      <c r="F291" s="89"/>
      <c r="G291" s="89"/>
      <c r="H291" s="77" t="s">
        <v>76</v>
      </c>
      <c r="I291" s="82">
        <v>12000</v>
      </c>
      <c r="J291" s="84"/>
      <c r="K291" s="85"/>
      <c r="L291" s="86"/>
      <c r="M291" s="87"/>
    </row>
    <row r="292" s="59" customFormat="1" spans="1:16">
      <c r="A292" s="74">
        <v>291</v>
      </c>
      <c r="B292" s="66" t="s">
        <v>67</v>
      </c>
      <c r="C292" s="67" t="s">
        <v>296</v>
      </c>
      <c r="D292" s="59" t="s">
        <v>146</v>
      </c>
      <c r="E292" s="88"/>
      <c r="F292" s="89"/>
      <c r="G292" s="89"/>
      <c r="H292" s="77" t="s">
        <v>76</v>
      </c>
      <c r="I292" s="82">
        <v>12000</v>
      </c>
      <c r="J292" s="84"/>
      <c r="K292" s="85"/>
      <c r="L292" s="86"/>
      <c r="M292" s="87"/>
    </row>
    <row r="293" s="59" customFormat="1" spans="1:16">
      <c r="A293" s="74">
        <v>292</v>
      </c>
      <c r="B293" s="66" t="s">
        <v>67</v>
      </c>
      <c r="C293" s="67" t="s">
        <v>296</v>
      </c>
      <c r="D293" s="59" t="s">
        <v>147</v>
      </c>
      <c r="E293" s="88"/>
      <c r="F293" s="89"/>
      <c r="G293" s="89"/>
      <c r="H293" s="77" t="s">
        <v>76</v>
      </c>
      <c r="I293" s="82">
        <v>12000</v>
      </c>
      <c r="J293" s="84"/>
      <c r="K293" s="85"/>
      <c r="L293" s="86"/>
      <c r="M293" s="87"/>
    </row>
    <row r="294" s="59" customFormat="1" spans="1:16">
      <c r="A294" s="74">
        <v>293</v>
      </c>
      <c r="B294" s="66" t="s">
        <v>67</v>
      </c>
      <c r="C294" s="67" t="s">
        <v>296</v>
      </c>
      <c r="D294" s="59" t="s">
        <v>148</v>
      </c>
      <c r="E294" s="88"/>
      <c r="F294" s="89"/>
      <c r="G294" s="89"/>
      <c r="H294" s="77" t="s">
        <v>76</v>
      </c>
      <c r="I294" s="82">
        <v>12000</v>
      </c>
      <c r="J294" s="84"/>
      <c r="K294" s="85"/>
      <c r="L294" s="86"/>
      <c r="M294" s="87"/>
    </row>
    <row r="295" s="59" customFormat="1" spans="1:16">
      <c r="A295" s="74">
        <v>294</v>
      </c>
      <c r="B295" s="66" t="s">
        <v>67</v>
      </c>
      <c r="C295" s="67" t="s">
        <v>296</v>
      </c>
      <c r="D295" s="59" t="s">
        <v>149</v>
      </c>
      <c r="E295" s="88"/>
      <c r="F295" s="89"/>
      <c r="G295" s="89"/>
      <c r="H295" s="77" t="s">
        <v>76</v>
      </c>
      <c r="I295" s="82">
        <v>12000</v>
      </c>
      <c r="J295" s="84"/>
      <c r="K295" s="85"/>
      <c r="L295" s="86"/>
      <c r="M295" s="87"/>
    </row>
    <row r="296" s="59" customFormat="1" spans="1:16">
      <c r="A296" s="74">
        <v>295</v>
      </c>
      <c r="B296" s="66" t="s">
        <v>67</v>
      </c>
      <c r="C296" s="67" t="s">
        <v>296</v>
      </c>
      <c r="D296" s="59" t="s">
        <v>150</v>
      </c>
      <c r="E296" s="88"/>
      <c r="F296" s="89"/>
      <c r="G296" s="89"/>
      <c r="H296" s="77" t="s">
        <v>76</v>
      </c>
      <c r="I296" s="82">
        <v>12000</v>
      </c>
      <c r="J296" s="84"/>
      <c r="K296" s="85"/>
      <c r="L296" s="89"/>
      <c r="M296" s="89"/>
    </row>
    <row r="297" s="59" customFormat="1" spans="1:16">
      <c r="A297" s="74">
        <v>296</v>
      </c>
      <c r="B297" s="66" t="s">
        <v>67</v>
      </c>
      <c r="C297" s="67" t="s">
        <v>296</v>
      </c>
      <c r="D297" s="59" t="s">
        <v>151</v>
      </c>
      <c r="E297" s="88"/>
      <c r="F297" s="89"/>
      <c r="G297" s="89"/>
      <c r="H297" s="77" t="s">
        <v>76</v>
      </c>
      <c r="I297" s="82">
        <v>12000</v>
      </c>
      <c r="J297" s="84"/>
      <c r="K297" s="85"/>
      <c r="L297" s="89"/>
      <c r="M297" s="89"/>
    </row>
    <row r="298" s="59" customFormat="1" spans="1:16">
      <c r="A298" s="74">
        <v>297</v>
      </c>
      <c r="B298" s="66" t="s">
        <v>67</v>
      </c>
      <c r="C298" s="67" t="s">
        <v>296</v>
      </c>
      <c r="D298" s="59" t="s">
        <v>152</v>
      </c>
      <c r="E298" s="88"/>
      <c r="F298" s="89"/>
      <c r="G298" s="89"/>
      <c r="H298" s="77" t="s">
        <v>76</v>
      </c>
      <c r="I298" s="82">
        <v>12000</v>
      </c>
      <c r="J298" s="84"/>
      <c r="K298" s="85"/>
      <c r="L298" s="89"/>
      <c r="M298" s="89"/>
    </row>
    <row r="299" s="59" customFormat="1" spans="1:16">
      <c r="A299" s="74">
        <v>298</v>
      </c>
      <c r="B299" s="66" t="s">
        <v>67</v>
      </c>
      <c r="C299" s="67" t="s">
        <v>296</v>
      </c>
      <c r="D299" s="59" t="s">
        <v>153</v>
      </c>
      <c r="E299" s="88"/>
      <c r="F299" s="89"/>
      <c r="G299" s="89"/>
      <c r="H299" s="77" t="s">
        <v>76</v>
      </c>
      <c r="I299" s="82">
        <v>12000</v>
      </c>
      <c r="J299" s="84"/>
      <c r="K299" s="85"/>
      <c r="L299" s="89"/>
      <c r="M299" s="89"/>
    </row>
    <row r="300" s="59" customFormat="1" spans="1:16">
      <c r="A300" s="74">
        <v>299</v>
      </c>
      <c r="B300" s="66" t="s">
        <v>67</v>
      </c>
      <c r="C300" s="67" t="s">
        <v>296</v>
      </c>
      <c r="D300" s="59" t="s">
        <v>154</v>
      </c>
      <c r="E300" s="75" t="s">
        <v>70</v>
      </c>
      <c r="F300" s="94">
        <v>46275.7558101852</v>
      </c>
      <c r="G300" s="94">
        <v>46273.7560185185</v>
      </c>
      <c r="H300" s="77" t="s">
        <v>76</v>
      </c>
      <c r="I300" s="82">
        <v>12000</v>
      </c>
      <c r="J300" s="84" t="s">
        <v>72</v>
      </c>
      <c r="K300" s="83" t="s">
        <v>78</v>
      </c>
      <c r="L300" s="76">
        <v>46225</v>
      </c>
      <c r="M300" s="76">
        <v>46237.4650810185</v>
      </c>
      <c r="O300" s="89"/>
      <c r="P300" s="89"/>
    </row>
    <row r="301" s="59" customFormat="1" spans="1:16">
      <c r="A301" s="74">
        <v>300</v>
      </c>
      <c r="B301" s="66" t="s">
        <v>67</v>
      </c>
      <c r="C301" s="67" t="s">
        <v>296</v>
      </c>
      <c r="D301" s="59" t="s">
        <v>155</v>
      </c>
      <c r="E301" s="81" t="s">
        <v>74</v>
      </c>
      <c r="F301" s="76">
        <v>46225.8336574074</v>
      </c>
      <c r="G301" s="76">
        <v>46224.8338888889</v>
      </c>
      <c r="H301" s="77" t="s">
        <v>76</v>
      </c>
      <c r="I301" s="82">
        <v>12000</v>
      </c>
      <c r="J301" s="84" t="s">
        <v>72</v>
      </c>
      <c r="K301" s="83" t="s">
        <v>78</v>
      </c>
      <c r="L301" s="76">
        <v>46221.713587963</v>
      </c>
      <c r="M301" s="76">
        <v>46223.4377777778</v>
      </c>
    </row>
    <row r="302" s="59" customFormat="1" spans="1:16">
      <c r="A302" s="74">
        <v>301</v>
      </c>
      <c r="B302" s="66" t="s">
        <v>67</v>
      </c>
      <c r="C302" s="67" t="s">
        <v>296</v>
      </c>
      <c r="D302" s="59" t="s">
        <v>156</v>
      </c>
      <c r="E302" s="81" t="s">
        <v>74</v>
      </c>
      <c r="F302" s="76">
        <v>46225.8336574074</v>
      </c>
      <c r="G302" s="76">
        <v>46224.8338888889</v>
      </c>
      <c r="H302" s="77" t="s">
        <v>76</v>
      </c>
      <c r="I302" s="82">
        <v>12000</v>
      </c>
      <c r="J302" s="84" t="s">
        <v>72</v>
      </c>
      <c r="K302" s="83" t="s">
        <v>78</v>
      </c>
      <c r="L302" s="76">
        <v>46221.713587963</v>
      </c>
      <c r="M302" s="76">
        <v>46221.6572916667</v>
      </c>
    </row>
    <row r="303" s="59" customFormat="1" spans="1:16">
      <c r="A303" s="74">
        <v>302</v>
      </c>
      <c r="B303" s="66" t="s">
        <v>67</v>
      </c>
      <c r="C303" s="67" t="s">
        <v>296</v>
      </c>
      <c r="D303" s="59" t="s">
        <v>157</v>
      </c>
      <c r="E303" s="83" t="s">
        <v>78</v>
      </c>
      <c r="F303" s="76">
        <v>46225</v>
      </c>
      <c r="G303" s="76">
        <v>46237.6864699074</v>
      </c>
      <c r="H303" s="77" t="s">
        <v>76</v>
      </c>
      <c r="I303" s="82">
        <v>12000</v>
      </c>
      <c r="J303" s="84" t="s">
        <v>72</v>
      </c>
      <c r="K303" s="85"/>
      <c r="L303" s="86"/>
      <c r="M303" s="87"/>
    </row>
    <row r="304" s="59" customFormat="1" spans="1:16">
      <c r="A304" s="74">
        <v>303</v>
      </c>
      <c r="B304" s="66" t="s">
        <v>67</v>
      </c>
      <c r="C304" s="67" t="s">
        <v>296</v>
      </c>
      <c r="D304" s="59" t="s">
        <v>158</v>
      </c>
      <c r="E304" s="81" t="s">
        <v>74</v>
      </c>
      <c r="F304" s="76">
        <v>46225.8336574074</v>
      </c>
      <c r="G304" s="76">
        <v>46224.8338888889</v>
      </c>
      <c r="H304" s="77" t="s">
        <v>76</v>
      </c>
      <c r="I304" s="82">
        <v>12000</v>
      </c>
      <c r="J304" s="84" t="s">
        <v>72</v>
      </c>
      <c r="K304" s="83" t="s">
        <v>78</v>
      </c>
      <c r="L304" s="76">
        <v>46221.713587963</v>
      </c>
      <c r="M304" s="76">
        <v>46221.6573842593</v>
      </c>
    </row>
    <row r="305" s="59" customFormat="1" spans="1:16">
      <c r="A305" s="74">
        <v>304</v>
      </c>
      <c r="B305" s="66" t="s">
        <v>67</v>
      </c>
      <c r="C305" s="67" t="s">
        <v>296</v>
      </c>
      <c r="D305" s="59" t="s">
        <v>159</v>
      </c>
      <c r="E305" s="81" t="s">
        <v>74</v>
      </c>
      <c r="F305" s="76">
        <v>46225.8336574074</v>
      </c>
      <c r="G305" s="76">
        <v>46224.8338888889</v>
      </c>
      <c r="H305" s="77" t="s">
        <v>76</v>
      </c>
      <c r="I305" s="82">
        <v>12000</v>
      </c>
      <c r="J305" s="84" t="s">
        <v>72</v>
      </c>
      <c r="K305" s="83" t="s">
        <v>78</v>
      </c>
      <c r="L305" s="76">
        <v>46221.713587963</v>
      </c>
      <c r="M305" s="76">
        <v>46221.6574421296</v>
      </c>
    </row>
    <row r="306" s="59" customFormat="1" spans="1:16">
      <c r="A306" s="74">
        <v>305</v>
      </c>
      <c r="B306" s="66" t="s">
        <v>67</v>
      </c>
      <c r="C306" s="67" t="s">
        <v>296</v>
      </c>
      <c r="D306" s="59" t="s">
        <v>160</v>
      </c>
      <c r="E306" s="88"/>
      <c r="F306" s="89"/>
      <c r="G306" s="89"/>
      <c r="H306" s="77" t="s">
        <v>76</v>
      </c>
      <c r="I306" s="82">
        <v>12000</v>
      </c>
      <c r="J306" s="84"/>
      <c r="K306" s="85"/>
      <c r="L306" s="86"/>
      <c r="M306" s="87"/>
    </row>
    <row r="307" s="59" customFormat="1" spans="1:16">
      <c r="A307" s="74">
        <v>306</v>
      </c>
      <c r="B307" s="66" t="s">
        <v>67</v>
      </c>
      <c r="C307" s="67" t="s">
        <v>296</v>
      </c>
      <c r="D307" s="59" t="s">
        <v>161</v>
      </c>
      <c r="E307" s="88"/>
      <c r="F307" s="89"/>
      <c r="G307" s="89"/>
      <c r="H307" s="77" t="s">
        <v>76</v>
      </c>
      <c r="I307" s="82">
        <v>12000</v>
      </c>
      <c r="J307" s="84"/>
      <c r="K307" s="85"/>
      <c r="L307" s="86"/>
      <c r="M307" s="87"/>
    </row>
    <row r="308" s="59" customFormat="1" spans="1:16">
      <c r="A308" s="74">
        <v>307</v>
      </c>
      <c r="B308" s="66" t="s">
        <v>67</v>
      </c>
      <c r="C308" s="67" t="s">
        <v>296</v>
      </c>
      <c r="D308" s="59" t="s">
        <v>162</v>
      </c>
      <c r="E308" s="88"/>
      <c r="F308" s="89"/>
      <c r="G308" s="89"/>
      <c r="H308" s="77" t="s">
        <v>76</v>
      </c>
      <c r="I308" s="82">
        <v>12000</v>
      </c>
      <c r="J308" s="84"/>
      <c r="K308" s="85"/>
      <c r="L308" s="86"/>
      <c r="M308" s="87"/>
    </row>
    <row r="309" s="59" customFormat="1" spans="1:16">
      <c r="A309" s="74">
        <v>308</v>
      </c>
      <c r="B309" s="66" t="s">
        <v>67</v>
      </c>
      <c r="C309" s="67" t="s">
        <v>296</v>
      </c>
      <c r="D309" s="59" t="s">
        <v>163</v>
      </c>
      <c r="E309" s="88"/>
      <c r="F309" s="89"/>
      <c r="G309" s="89"/>
      <c r="H309" s="77" t="s">
        <v>76</v>
      </c>
      <c r="I309" s="82">
        <v>12000</v>
      </c>
      <c r="J309" s="84"/>
      <c r="K309" s="85"/>
      <c r="L309" s="86"/>
      <c r="M309" s="87"/>
    </row>
    <row r="310" s="59" customFormat="1" spans="1:16">
      <c r="A310" s="74">
        <v>309</v>
      </c>
      <c r="B310" s="66" t="s">
        <v>67</v>
      </c>
      <c r="C310" s="67" t="s">
        <v>296</v>
      </c>
      <c r="D310" s="59" t="s">
        <v>164</v>
      </c>
      <c r="E310" s="88"/>
      <c r="F310" s="89"/>
      <c r="G310" s="89"/>
      <c r="H310" s="77" t="s">
        <v>71</v>
      </c>
      <c r="I310" s="78">
        <v>16000</v>
      </c>
      <c r="J310" s="84"/>
      <c r="K310" s="85"/>
      <c r="L310" s="86"/>
      <c r="M310" s="87"/>
    </row>
    <row r="311" s="59" customFormat="1" spans="1:16">
      <c r="A311" s="74">
        <v>310</v>
      </c>
      <c r="B311" s="66" t="s">
        <v>67</v>
      </c>
      <c r="C311" s="67" t="s">
        <v>296</v>
      </c>
      <c r="D311" s="59" t="s">
        <v>165</v>
      </c>
      <c r="E311" s="88"/>
      <c r="F311" s="89"/>
      <c r="G311" s="89"/>
      <c r="H311" s="77" t="s">
        <v>76</v>
      </c>
      <c r="I311" s="82">
        <v>12000</v>
      </c>
      <c r="J311" s="84"/>
      <c r="K311" s="85"/>
      <c r="L311" s="89"/>
      <c r="M311" s="89"/>
    </row>
    <row r="312" s="59" customFormat="1" spans="1:16">
      <c r="A312" s="74">
        <v>311</v>
      </c>
      <c r="B312" s="66" t="s">
        <v>67</v>
      </c>
      <c r="C312" s="67" t="s">
        <v>296</v>
      </c>
      <c r="D312" s="59" t="s">
        <v>166</v>
      </c>
      <c r="E312" s="88"/>
      <c r="F312" s="89"/>
      <c r="G312" s="89"/>
      <c r="H312" s="77" t="s">
        <v>76</v>
      </c>
      <c r="I312" s="82">
        <v>12000</v>
      </c>
      <c r="J312" s="84"/>
      <c r="K312" s="85"/>
      <c r="L312" s="89"/>
      <c r="M312" s="89"/>
    </row>
    <row r="313" s="59" customFormat="1" spans="1:16">
      <c r="A313" s="74">
        <v>312</v>
      </c>
      <c r="B313" s="66" t="s">
        <v>67</v>
      </c>
      <c r="C313" s="67" t="s">
        <v>296</v>
      </c>
      <c r="D313" s="59" t="s">
        <v>167</v>
      </c>
      <c r="E313" s="88"/>
      <c r="F313" s="89"/>
      <c r="G313" s="89"/>
      <c r="H313" s="77" t="s">
        <v>76</v>
      </c>
      <c r="I313" s="82">
        <v>12000</v>
      </c>
      <c r="J313" s="84"/>
      <c r="K313" s="85"/>
      <c r="L313" s="89"/>
      <c r="M313" s="89"/>
    </row>
    <row r="314" s="59" customFormat="1" spans="1:16">
      <c r="A314" s="74">
        <v>313</v>
      </c>
      <c r="B314" s="66" t="s">
        <v>67</v>
      </c>
      <c r="C314" s="67" t="s">
        <v>296</v>
      </c>
      <c r="D314" s="59" t="s">
        <v>168</v>
      </c>
      <c r="E314" s="88"/>
      <c r="F314" s="89"/>
      <c r="G314" s="89"/>
      <c r="H314" s="77" t="s">
        <v>76</v>
      </c>
      <c r="I314" s="82">
        <v>12000</v>
      </c>
      <c r="J314" s="84"/>
      <c r="K314" s="85"/>
      <c r="L314" s="89"/>
      <c r="M314" s="89"/>
    </row>
    <row r="315" s="59" customFormat="1" spans="1:16">
      <c r="A315" s="74">
        <v>314</v>
      </c>
      <c r="B315" s="66" t="s">
        <v>67</v>
      </c>
      <c r="C315" s="67" t="s">
        <v>296</v>
      </c>
      <c r="D315" s="59" t="s">
        <v>169</v>
      </c>
      <c r="E315" s="88"/>
      <c r="F315" s="89"/>
      <c r="G315" s="89"/>
      <c r="H315" s="77" t="s">
        <v>76</v>
      </c>
      <c r="I315" s="82">
        <v>12000</v>
      </c>
      <c r="J315" s="84"/>
      <c r="K315" s="85"/>
      <c r="L315" s="89"/>
      <c r="M315" s="89"/>
    </row>
    <row r="316" s="59" customFormat="1" spans="1:16">
      <c r="A316" s="74">
        <v>315</v>
      </c>
      <c r="B316" s="66" t="s">
        <v>67</v>
      </c>
      <c r="C316" s="67" t="s">
        <v>296</v>
      </c>
      <c r="D316" s="59" t="s">
        <v>170</v>
      </c>
      <c r="E316" s="88"/>
      <c r="F316" s="89"/>
      <c r="G316" s="89"/>
      <c r="H316" s="77" t="s">
        <v>76</v>
      </c>
      <c r="I316" s="82">
        <v>12000</v>
      </c>
      <c r="J316" s="84"/>
      <c r="K316" s="85"/>
      <c r="L316" s="89"/>
      <c r="M316" s="89"/>
    </row>
    <row r="317" s="59" customFormat="1" spans="1:16">
      <c r="A317" s="74">
        <v>316</v>
      </c>
      <c r="B317" s="66" t="s">
        <v>67</v>
      </c>
      <c r="C317" s="67" t="s">
        <v>296</v>
      </c>
      <c r="D317" s="59" t="s">
        <v>171</v>
      </c>
      <c r="E317" s="88"/>
      <c r="F317" s="89"/>
      <c r="G317" s="89"/>
      <c r="H317" s="77" t="s">
        <v>76</v>
      </c>
      <c r="I317" s="82">
        <v>12000</v>
      </c>
      <c r="J317" s="84"/>
      <c r="K317" s="85"/>
      <c r="L317" s="89"/>
      <c r="M317" s="89"/>
      <c r="O317" s="89"/>
      <c r="P317" s="89"/>
    </row>
    <row r="318" s="59" customFormat="1" spans="1:16">
      <c r="A318" s="74">
        <v>317</v>
      </c>
      <c r="B318" s="66" t="s">
        <v>67</v>
      </c>
      <c r="C318" s="67" t="s">
        <v>296</v>
      </c>
      <c r="D318" s="59" t="s">
        <v>172</v>
      </c>
      <c r="E318" s="88"/>
      <c r="H318" s="77" t="s">
        <v>76</v>
      </c>
      <c r="I318" s="82">
        <v>12000</v>
      </c>
      <c r="K318" s="85"/>
      <c r="L318" s="86"/>
      <c r="M318" s="87"/>
    </row>
    <row r="319" s="59" customFormat="1" spans="1:16">
      <c r="A319" s="74">
        <v>318</v>
      </c>
      <c r="B319" s="66" t="s">
        <v>67</v>
      </c>
      <c r="C319" s="67" t="s">
        <v>296</v>
      </c>
      <c r="D319" s="59" t="s">
        <v>173</v>
      </c>
      <c r="E319" s="88"/>
      <c r="H319" s="77" t="s">
        <v>76</v>
      </c>
      <c r="I319" s="82">
        <v>12000</v>
      </c>
      <c r="K319" s="85"/>
      <c r="L319" s="86"/>
      <c r="M319" s="87"/>
    </row>
    <row r="320" s="59" customFormat="1" spans="1:16">
      <c r="A320" s="74">
        <v>319</v>
      </c>
      <c r="B320" s="66" t="s">
        <v>67</v>
      </c>
      <c r="C320" s="67" t="s">
        <v>296</v>
      </c>
      <c r="D320" s="59" t="s">
        <v>174</v>
      </c>
      <c r="E320" s="88"/>
      <c r="H320" s="77" t="s">
        <v>76</v>
      </c>
      <c r="I320" s="82">
        <v>12000</v>
      </c>
      <c r="K320" s="85"/>
      <c r="L320" s="86"/>
      <c r="M320" s="87"/>
    </row>
    <row r="321" s="59" customFormat="1" spans="1:16">
      <c r="A321" s="74">
        <v>320</v>
      </c>
      <c r="B321" s="66" t="s">
        <v>67</v>
      </c>
      <c r="C321" s="67" t="s">
        <v>296</v>
      </c>
      <c r="D321" s="59" t="s">
        <v>175</v>
      </c>
      <c r="E321" s="88"/>
      <c r="H321" s="77" t="s">
        <v>76</v>
      </c>
      <c r="I321" s="82">
        <v>12000</v>
      </c>
      <c r="K321" s="85"/>
      <c r="L321" s="86"/>
      <c r="M321" s="87"/>
    </row>
    <row r="322" s="59" customFormat="1" spans="1:16">
      <c r="A322" s="74">
        <v>321</v>
      </c>
      <c r="B322" s="66" t="s">
        <v>67</v>
      </c>
      <c r="C322" s="67" t="s">
        <v>296</v>
      </c>
      <c r="D322" s="59" t="s">
        <v>176</v>
      </c>
      <c r="E322" s="88"/>
      <c r="H322" s="77" t="s">
        <v>76</v>
      </c>
      <c r="I322" s="82">
        <v>12000</v>
      </c>
      <c r="K322" s="85"/>
      <c r="L322" s="86"/>
      <c r="M322" s="87"/>
    </row>
    <row r="323" s="59" customFormat="1" spans="1:16">
      <c r="A323" s="74">
        <v>322</v>
      </c>
      <c r="B323" s="66" t="s">
        <v>67</v>
      </c>
      <c r="C323" s="67" t="s">
        <v>296</v>
      </c>
      <c r="D323" s="59" t="s">
        <v>177</v>
      </c>
      <c r="E323" s="88"/>
      <c r="H323" s="77" t="s">
        <v>76</v>
      </c>
      <c r="I323" s="82">
        <v>12000</v>
      </c>
      <c r="K323" s="85"/>
      <c r="L323" s="86"/>
      <c r="M323" s="87"/>
    </row>
    <row r="324" s="59" customFormat="1" spans="1:16">
      <c r="A324" s="74">
        <v>323</v>
      </c>
      <c r="B324" s="66" t="s">
        <v>67</v>
      </c>
      <c r="C324" s="67" t="s">
        <v>296</v>
      </c>
      <c r="D324" s="59" t="s">
        <v>178</v>
      </c>
      <c r="E324" s="88"/>
      <c r="F324" s="89"/>
      <c r="G324" s="89"/>
      <c r="H324" s="77" t="s">
        <v>76</v>
      </c>
      <c r="I324" s="82">
        <v>12000</v>
      </c>
      <c r="J324" s="84"/>
      <c r="K324" s="85"/>
      <c r="L324" s="89"/>
      <c r="M324" s="89"/>
    </row>
    <row r="325" s="59" customFormat="1" spans="1:16">
      <c r="A325" s="74">
        <v>324</v>
      </c>
      <c r="B325" s="66" t="s">
        <v>67</v>
      </c>
      <c r="C325" s="67" t="s">
        <v>296</v>
      </c>
      <c r="D325" s="59" t="s">
        <v>179</v>
      </c>
      <c r="E325" s="88"/>
      <c r="F325" s="89"/>
      <c r="G325" s="89"/>
      <c r="H325" s="77" t="s">
        <v>76</v>
      </c>
      <c r="I325" s="82">
        <v>12000</v>
      </c>
      <c r="J325" s="84"/>
      <c r="K325" s="85"/>
      <c r="L325" s="86"/>
      <c r="M325" s="87"/>
    </row>
    <row r="326" s="59" customFormat="1" spans="1:16">
      <c r="A326" s="74">
        <v>325</v>
      </c>
      <c r="B326" s="66" t="s">
        <v>67</v>
      </c>
      <c r="C326" s="67" t="s">
        <v>296</v>
      </c>
      <c r="D326" s="59" t="s">
        <v>180</v>
      </c>
      <c r="E326" s="88"/>
      <c r="F326" s="89"/>
      <c r="G326" s="89"/>
      <c r="H326" s="77" t="s">
        <v>76</v>
      </c>
      <c r="I326" s="82">
        <v>12000</v>
      </c>
      <c r="J326" s="84"/>
      <c r="K326" s="85"/>
      <c r="L326" s="86"/>
      <c r="M326" s="87"/>
    </row>
    <row r="327" s="59" customFormat="1" spans="1:16">
      <c r="A327" s="74">
        <v>326</v>
      </c>
      <c r="B327" s="66" t="s">
        <v>67</v>
      </c>
      <c r="C327" s="67" t="s">
        <v>296</v>
      </c>
      <c r="D327" s="59" t="s">
        <v>181</v>
      </c>
      <c r="E327" s="88"/>
      <c r="F327" s="89"/>
      <c r="G327" s="89"/>
      <c r="H327" s="77" t="s">
        <v>76</v>
      </c>
      <c r="I327" s="82">
        <v>12000</v>
      </c>
      <c r="J327" s="84"/>
      <c r="K327" s="85"/>
      <c r="L327" s="86"/>
      <c r="M327" s="87"/>
    </row>
    <row r="328" s="59" customFormat="1" spans="1:16">
      <c r="A328" s="74">
        <v>327</v>
      </c>
      <c r="B328" s="66" t="s">
        <v>67</v>
      </c>
      <c r="C328" s="67" t="s">
        <v>296</v>
      </c>
      <c r="D328" s="59" t="s">
        <v>182</v>
      </c>
      <c r="E328" s="88"/>
      <c r="F328" s="89"/>
      <c r="G328" s="89"/>
      <c r="H328" s="77" t="s">
        <v>76</v>
      </c>
      <c r="I328" s="82">
        <v>12000</v>
      </c>
      <c r="J328" s="84"/>
      <c r="K328" s="85"/>
      <c r="L328" s="86"/>
      <c r="M328" s="87"/>
    </row>
    <row r="329" s="59" customFormat="1" spans="1:16">
      <c r="A329" s="74">
        <v>328</v>
      </c>
      <c r="B329" s="66" t="s">
        <v>67</v>
      </c>
      <c r="C329" s="67" t="s">
        <v>296</v>
      </c>
      <c r="D329" s="59" t="s">
        <v>183</v>
      </c>
      <c r="E329" s="88"/>
      <c r="F329" s="89"/>
      <c r="G329" s="89"/>
      <c r="H329" s="77" t="s">
        <v>76</v>
      </c>
      <c r="I329" s="82">
        <v>12000</v>
      </c>
      <c r="J329" s="84"/>
      <c r="K329" s="85"/>
      <c r="L329" s="86"/>
      <c r="M329" s="87"/>
    </row>
    <row r="330" s="59" customFormat="1" spans="1:16">
      <c r="A330" s="74">
        <v>329</v>
      </c>
      <c r="B330" s="66" t="s">
        <v>67</v>
      </c>
      <c r="C330" s="67" t="s">
        <v>296</v>
      </c>
      <c r="D330" s="59" t="s">
        <v>184</v>
      </c>
      <c r="E330" s="88"/>
      <c r="F330" s="89"/>
      <c r="G330" s="89"/>
      <c r="H330" s="77" t="s">
        <v>76</v>
      </c>
      <c r="I330" s="82">
        <v>12000</v>
      </c>
      <c r="J330" s="84"/>
      <c r="K330" s="85"/>
      <c r="L330" s="89"/>
      <c r="M330" s="89"/>
    </row>
    <row r="331" s="59" customFormat="1" spans="1:16">
      <c r="A331" s="74">
        <v>330</v>
      </c>
      <c r="B331" s="66" t="s">
        <v>67</v>
      </c>
      <c r="C331" s="67" t="s">
        <v>296</v>
      </c>
      <c r="D331" s="59" t="s">
        <v>185</v>
      </c>
      <c r="E331" s="75" t="s">
        <v>70</v>
      </c>
      <c r="F331" s="76">
        <v>46162.8821759259</v>
      </c>
      <c r="G331" s="76">
        <v>46161.8823842593</v>
      </c>
      <c r="H331" s="77" t="s">
        <v>71</v>
      </c>
      <c r="I331" s="78">
        <v>16000</v>
      </c>
      <c r="J331" s="79" t="s">
        <v>72</v>
      </c>
      <c r="K331" s="80" t="s">
        <v>73</v>
      </c>
      <c r="L331" s="76">
        <v>46152.7271643519</v>
      </c>
      <c r="M331" s="76">
        <v>46153.675</v>
      </c>
      <c r="N331" s="81" t="s">
        <v>74</v>
      </c>
      <c r="O331" s="76">
        <v>46156.9166898148</v>
      </c>
      <c r="P331" s="76">
        <v>46155.9169097222</v>
      </c>
    </row>
    <row r="332" s="59" customFormat="1" spans="1:16">
      <c r="A332" s="74">
        <v>331</v>
      </c>
      <c r="B332" s="66" t="s">
        <v>67</v>
      </c>
      <c r="C332" s="67" t="s">
        <v>296</v>
      </c>
      <c r="D332" s="59" t="s">
        <v>186</v>
      </c>
      <c r="E332" s="88"/>
      <c r="F332" s="89"/>
      <c r="G332" s="89"/>
      <c r="H332" s="77" t="s">
        <v>76</v>
      </c>
      <c r="I332" s="82">
        <v>12000</v>
      </c>
      <c r="J332" s="84"/>
      <c r="K332" s="85"/>
      <c r="L332" s="89"/>
      <c r="M332" s="89"/>
    </row>
    <row r="333" s="59" customFormat="1" spans="1:16">
      <c r="A333" s="74">
        <v>332</v>
      </c>
      <c r="B333" s="66" t="s">
        <v>67</v>
      </c>
      <c r="C333" s="67" t="s">
        <v>296</v>
      </c>
      <c r="D333" s="59" t="s">
        <v>187</v>
      </c>
      <c r="E333" s="88"/>
      <c r="F333" s="89"/>
      <c r="G333" s="89"/>
      <c r="H333" s="77" t="s">
        <v>76</v>
      </c>
      <c r="I333" s="82">
        <v>12000</v>
      </c>
      <c r="J333" s="84"/>
      <c r="K333" s="85"/>
      <c r="L333" s="89"/>
      <c r="M333" s="89"/>
    </row>
    <row r="334" s="59" customFormat="1" spans="1:16">
      <c r="A334" s="74">
        <v>333</v>
      </c>
      <c r="B334" s="66" t="s">
        <v>67</v>
      </c>
      <c r="C334" s="67" t="s">
        <v>296</v>
      </c>
      <c r="D334" s="59" t="s">
        <v>188</v>
      </c>
      <c r="E334" s="88"/>
      <c r="F334" s="89"/>
      <c r="G334" s="89"/>
      <c r="H334" s="77" t="s">
        <v>76</v>
      </c>
      <c r="I334" s="82">
        <v>12000</v>
      </c>
      <c r="J334" s="84"/>
      <c r="K334" s="85"/>
      <c r="L334" s="89"/>
      <c r="M334" s="89"/>
      <c r="O334" s="89"/>
      <c r="P334" s="89"/>
    </row>
    <row r="335" s="59" customFormat="1" spans="1:16">
      <c r="A335" s="74">
        <v>334</v>
      </c>
      <c r="B335" s="66" t="s">
        <v>67</v>
      </c>
      <c r="C335" s="67" t="s">
        <v>296</v>
      </c>
      <c r="D335" s="59" t="s">
        <v>189</v>
      </c>
      <c r="E335" s="88"/>
      <c r="H335" s="77" t="s">
        <v>76</v>
      </c>
      <c r="I335" s="82">
        <v>12000</v>
      </c>
      <c r="K335" s="85"/>
      <c r="L335" s="86"/>
      <c r="M335" s="87"/>
    </row>
    <row r="336" s="59" customFormat="1" spans="1:16">
      <c r="A336" s="74">
        <v>335</v>
      </c>
      <c r="B336" s="66" t="s">
        <v>67</v>
      </c>
      <c r="C336" s="67" t="s">
        <v>296</v>
      </c>
      <c r="D336" s="59" t="s">
        <v>190</v>
      </c>
      <c r="E336" s="88"/>
      <c r="H336" s="77" t="s">
        <v>76</v>
      </c>
      <c r="I336" s="82">
        <v>12000</v>
      </c>
      <c r="K336" s="85"/>
      <c r="L336" s="86"/>
      <c r="M336" s="87"/>
    </row>
    <row r="337" s="59" customFormat="1" spans="1:16">
      <c r="A337" s="74">
        <v>336</v>
      </c>
      <c r="B337" s="66" t="s">
        <v>67</v>
      </c>
      <c r="C337" s="67" t="s">
        <v>296</v>
      </c>
      <c r="D337" s="59" t="s">
        <v>191</v>
      </c>
      <c r="E337" s="88"/>
      <c r="H337" s="77" t="s">
        <v>76</v>
      </c>
      <c r="I337" s="82">
        <v>12000</v>
      </c>
      <c r="K337" s="85"/>
      <c r="L337" s="86"/>
      <c r="M337" s="87"/>
    </row>
    <row r="338" s="59" customFormat="1" spans="1:16">
      <c r="A338" s="74">
        <v>337</v>
      </c>
      <c r="B338" s="66" t="s">
        <v>67</v>
      </c>
      <c r="C338" s="67" t="s">
        <v>296</v>
      </c>
      <c r="D338" s="59" t="s">
        <v>192</v>
      </c>
      <c r="E338" s="88"/>
      <c r="H338" s="77" t="s">
        <v>76</v>
      </c>
      <c r="I338" s="82">
        <v>12000</v>
      </c>
      <c r="K338" s="85"/>
      <c r="L338" s="86"/>
      <c r="M338" s="87"/>
    </row>
    <row r="339" s="59" customFormat="1" spans="1:16">
      <c r="A339" s="74">
        <v>338</v>
      </c>
      <c r="B339" s="66" t="s">
        <v>67</v>
      </c>
      <c r="C339" s="67" t="s">
        <v>296</v>
      </c>
      <c r="D339" s="59" t="s">
        <v>193</v>
      </c>
      <c r="E339" s="88"/>
      <c r="H339" s="77" t="s">
        <v>76</v>
      </c>
      <c r="I339" s="82">
        <v>12000</v>
      </c>
      <c r="K339" s="85"/>
      <c r="L339" s="86"/>
      <c r="M339" s="87"/>
    </row>
    <row r="340" s="59" customFormat="1" spans="1:16">
      <c r="A340" s="74">
        <v>339</v>
      </c>
      <c r="B340" s="66" t="s">
        <v>67</v>
      </c>
      <c r="C340" s="67" t="s">
        <v>296</v>
      </c>
      <c r="D340" s="59" t="s">
        <v>194</v>
      </c>
      <c r="E340" s="88"/>
      <c r="F340" s="89"/>
      <c r="G340" s="89"/>
      <c r="H340" s="77" t="s">
        <v>76</v>
      </c>
      <c r="I340" s="82">
        <v>12000</v>
      </c>
      <c r="J340" s="84"/>
      <c r="K340" s="85"/>
      <c r="L340" s="86"/>
      <c r="M340" s="87"/>
    </row>
    <row r="341" s="59" customFormat="1" spans="1:16">
      <c r="A341" s="74">
        <v>340</v>
      </c>
      <c r="B341" s="66" t="s">
        <v>67</v>
      </c>
      <c r="C341" s="67" t="s">
        <v>296</v>
      </c>
      <c r="D341" s="59" t="s">
        <v>195</v>
      </c>
      <c r="E341" s="88"/>
      <c r="F341" s="89"/>
      <c r="G341" s="89"/>
      <c r="H341" s="77" t="s">
        <v>76</v>
      </c>
      <c r="I341" s="82">
        <v>12000</v>
      </c>
      <c r="J341" s="84"/>
      <c r="K341" s="85"/>
      <c r="L341" s="86"/>
      <c r="M341" s="87"/>
    </row>
    <row r="342" s="59" customFormat="1" spans="1:16">
      <c r="A342" s="74">
        <v>341</v>
      </c>
      <c r="B342" s="66" t="s">
        <v>67</v>
      </c>
      <c r="C342" s="67" t="s">
        <v>296</v>
      </c>
      <c r="D342" s="59" t="s">
        <v>196</v>
      </c>
      <c r="E342" s="88"/>
      <c r="F342" s="89"/>
      <c r="G342" s="89"/>
      <c r="H342" s="77" t="s">
        <v>76</v>
      </c>
      <c r="I342" s="82">
        <v>12000</v>
      </c>
      <c r="J342" s="84"/>
      <c r="K342" s="85"/>
      <c r="L342" s="86"/>
      <c r="M342" s="87"/>
    </row>
    <row r="343" s="59" customFormat="1" spans="1:16">
      <c r="A343" s="74">
        <v>342</v>
      </c>
      <c r="B343" s="66" t="s">
        <v>67</v>
      </c>
      <c r="C343" s="67" t="s">
        <v>296</v>
      </c>
      <c r="D343" s="59" t="s">
        <v>197</v>
      </c>
      <c r="E343" s="88"/>
      <c r="F343" s="89"/>
      <c r="G343" s="89"/>
      <c r="H343" s="77" t="s">
        <v>76</v>
      </c>
      <c r="I343" s="82">
        <v>12000</v>
      </c>
      <c r="J343" s="84"/>
      <c r="K343" s="85"/>
      <c r="L343" s="86"/>
      <c r="M343" s="87"/>
    </row>
    <row r="344" s="59" customFormat="1" spans="1:16">
      <c r="A344" s="74">
        <v>343</v>
      </c>
      <c r="B344" s="66" t="s">
        <v>67</v>
      </c>
      <c r="C344" s="67" t="s">
        <v>296</v>
      </c>
      <c r="D344" s="59" t="s">
        <v>198</v>
      </c>
      <c r="E344" s="88"/>
      <c r="F344" s="89"/>
      <c r="G344" s="89"/>
      <c r="H344" s="77" t="s">
        <v>76</v>
      </c>
      <c r="I344" s="82">
        <v>12000</v>
      </c>
      <c r="J344" s="84"/>
      <c r="K344" s="85"/>
      <c r="L344" s="86"/>
      <c r="M344" s="87"/>
    </row>
    <row r="345" s="59" customFormat="1" spans="1:16">
      <c r="A345" s="74">
        <v>344</v>
      </c>
      <c r="B345" s="66" t="s">
        <v>67</v>
      </c>
      <c r="C345" s="67" t="s">
        <v>296</v>
      </c>
      <c r="D345" s="59" t="s">
        <v>199</v>
      </c>
      <c r="E345" s="88"/>
      <c r="F345" s="89"/>
      <c r="G345" s="89"/>
      <c r="H345" s="77" t="s">
        <v>76</v>
      </c>
      <c r="I345" s="82">
        <v>12000</v>
      </c>
      <c r="J345" s="84"/>
      <c r="K345" s="85"/>
      <c r="L345" s="89"/>
      <c r="M345" s="89"/>
    </row>
    <row r="346" s="59" customFormat="1" spans="1:16">
      <c r="A346" s="74">
        <v>345</v>
      </c>
      <c r="B346" s="66" t="s">
        <v>67</v>
      </c>
      <c r="C346" s="67" t="s">
        <v>296</v>
      </c>
      <c r="D346" s="59" t="s">
        <v>200</v>
      </c>
      <c r="E346" s="88"/>
      <c r="F346" s="89"/>
      <c r="G346" s="89"/>
      <c r="H346" s="77" t="s">
        <v>76</v>
      </c>
      <c r="I346" s="82">
        <v>12000</v>
      </c>
      <c r="J346" s="84"/>
      <c r="K346" s="85"/>
      <c r="L346" s="89"/>
      <c r="M346" s="89"/>
    </row>
    <row r="347" s="59" customFormat="1" spans="1:16">
      <c r="A347" s="74">
        <v>346</v>
      </c>
      <c r="B347" s="66" t="s">
        <v>67</v>
      </c>
      <c r="C347" s="67" t="s">
        <v>296</v>
      </c>
      <c r="D347" s="59" t="s">
        <v>201</v>
      </c>
      <c r="E347" s="88"/>
      <c r="F347" s="89"/>
      <c r="G347" s="89"/>
      <c r="H347" s="77" t="s">
        <v>76</v>
      </c>
      <c r="I347" s="82">
        <v>12000</v>
      </c>
      <c r="J347" s="84"/>
      <c r="K347" s="85"/>
      <c r="L347" s="89"/>
      <c r="M347" s="89"/>
    </row>
    <row r="348" s="59" customFormat="1" spans="1:16">
      <c r="A348" s="74">
        <v>347</v>
      </c>
      <c r="B348" s="66" t="s">
        <v>67</v>
      </c>
      <c r="C348" s="67" t="s">
        <v>296</v>
      </c>
      <c r="D348" s="59" t="s">
        <v>202</v>
      </c>
      <c r="E348" s="88"/>
      <c r="F348" s="89"/>
      <c r="G348" s="89"/>
      <c r="H348" s="77" t="s">
        <v>76</v>
      </c>
      <c r="I348" s="82">
        <v>12000</v>
      </c>
      <c r="J348" s="84"/>
      <c r="K348" s="85"/>
      <c r="L348" s="89"/>
      <c r="M348" s="89"/>
    </row>
    <row r="349" s="59" customFormat="1" spans="1:16">
      <c r="A349" s="74">
        <v>348</v>
      </c>
      <c r="B349" s="66" t="s">
        <v>67</v>
      </c>
      <c r="C349" s="67" t="s">
        <v>296</v>
      </c>
      <c r="D349" s="59" t="s">
        <v>203</v>
      </c>
      <c r="E349" s="88"/>
      <c r="F349" s="89"/>
      <c r="G349" s="89"/>
      <c r="H349" s="77" t="s">
        <v>76</v>
      </c>
      <c r="I349" s="82">
        <v>12000</v>
      </c>
      <c r="J349" s="84"/>
      <c r="K349" s="85"/>
      <c r="L349" s="89"/>
      <c r="M349" s="89"/>
    </row>
    <row r="350" s="59" customFormat="1" spans="1:16">
      <c r="A350" s="74">
        <v>349</v>
      </c>
      <c r="B350" s="66" t="s">
        <v>67</v>
      </c>
      <c r="C350" s="67" t="s">
        <v>296</v>
      </c>
      <c r="D350" s="59" t="s">
        <v>204</v>
      </c>
      <c r="E350" s="88"/>
      <c r="F350" s="89"/>
      <c r="G350" s="89"/>
      <c r="H350" s="77" t="s">
        <v>76</v>
      </c>
      <c r="I350" s="82">
        <v>12000</v>
      </c>
      <c r="J350" s="84"/>
      <c r="K350" s="85"/>
      <c r="L350" s="89"/>
      <c r="M350" s="89"/>
    </row>
    <row r="351" s="59" customFormat="1" spans="1:16">
      <c r="A351" s="74">
        <v>350</v>
      </c>
      <c r="B351" s="66" t="s">
        <v>67</v>
      </c>
      <c r="C351" s="67" t="s">
        <v>296</v>
      </c>
      <c r="D351" s="59" t="s">
        <v>205</v>
      </c>
      <c r="E351" s="88"/>
      <c r="F351" s="89"/>
      <c r="G351" s="89"/>
      <c r="H351" s="77" t="s">
        <v>76</v>
      </c>
      <c r="I351" s="82">
        <v>12000</v>
      </c>
      <c r="J351" s="84"/>
      <c r="K351" s="85"/>
      <c r="L351" s="89"/>
      <c r="M351" s="89"/>
      <c r="O351" s="89"/>
      <c r="P351" s="89"/>
    </row>
    <row r="352" s="59" customFormat="1" spans="1:16">
      <c r="A352" s="74">
        <v>351</v>
      </c>
      <c r="B352" s="66" t="s">
        <v>67</v>
      </c>
      <c r="C352" s="67" t="s">
        <v>296</v>
      </c>
      <c r="D352" s="59" t="s">
        <v>206</v>
      </c>
      <c r="E352" s="88"/>
      <c r="H352" s="77" t="s">
        <v>76</v>
      </c>
      <c r="I352" s="82">
        <v>12000</v>
      </c>
      <c r="K352" s="85"/>
      <c r="L352" s="86"/>
      <c r="M352" s="87"/>
    </row>
    <row r="353" s="59" customFormat="1" spans="1:13">
      <c r="A353" s="74">
        <v>352</v>
      </c>
      <c r="B353" s="66" t="s">
        <v>67</v>
      </c>
      <c r="C353" s="67" t="s">
        <v>296</v>
      </c>
      <c r="D353" s="59" t="s">
        <v>207</v>
      </c>
      <c r="E353" s="88"/>
      <c r="H353" s="77" t="s">
        <v>76</v>
      </c>
      <c r="I353" s="82">
        <v>12000</v>
      </c>
      <c r="K353" s="85"/>
      <c r="L353" s="86"/>
      <c r="M353" s="87"/>
    </row>
    <row r="354" s="59" customFormat="1" spans="1:13">
      <c r="A354" s="74">
        <v>353</v>
      </c>
      <c r="B354" s="66" t="s">
        <v>67</v>
      </c>
      <c r="C354" s="67" t="s">
        <v>296</v>
      </c>
      <c r="D354" s="59" t="s">
        <v>208</v>
      </c>
      <c r="E354" s="88"/>
      <c r="H354" s="77" t="s">
        <v>71</v>
      </c>
      <c r="I354" s="78">
        <v>16000</v>
      </c>
      <c r="K354" s="85"/>
      <c r="L354" s="86"/>
      <c r="M354" s="87"/>
    </row>
    <row r="355" s="59" customFormat="1" spans="1:13">
      <c r="A355" s="74">
        <v>354</v>
      </c>
      <c r="B355" s="66" t="s">
        <v>67</v>
      </c>
      <c r="C355" s="67" t="s">
        <v>296</v>
      </c>
      <c r="D355" s="59" t="s">
        <v>209</v>
      </c>
      <c r="E355" s="88"/>
      <c r="H355" s="77" t="s">
        <v>76</v>
      </c>
      <c r="I355" s="82">
        <v>12000</v>
      </c>
      <c r="K355" s="85"/>
      <c r="L355" s="86"/>
      <c r="M355" s="87"/>
    </row>
    <row r="356" s="59" customFormat="1" spans="1:13">
      <c r="A356" s="74">
        <v>355</v>
      </c>
      <c r="B356" s="66" t="s">
        <v>67</v>
      </c>
      <c r="C356" s="67" t="s">
        <v>296</v>
      </c>
      <c r="D356" s="59" t="s">
        <v>210</v>
      </c>
      <c r="E356" s="88"/>
      <c r="H356" s="77" t="s">
        <v>76</v>
      </c>
      <c r="I356" s="82">
        <v>12000</v>
      </c>
      <c r="K356" s="85"/>
      <c r="L356" s="86"/>
      <c r="M356" s="87"/>
    </row>
    <row r="357" s="59" customFormat="1" spans="1:13">
      <c r="A357" s="74">
        <v>356</v>
      </c>
      <c r="B357" s="66" t="s">
        <v>67</v>
      </c>
      <c r="C357" s="67" t="s">
        <v>296</v>
      </c>
      <c r="D357" s="59" t="s">
        <v>211</v>
      </c>
      <c r="E357" s="88"/>
      <c r="H357" s="77" t="s">
        <v>76</v>
      </c>
      <c r="I357" s="82">
        <v>12000</v>
      </c>
      <c r="K357" s="85"/>
      <c r="L357" s="86"/>
      <c r="M357" s="87"/>
    </row>
    <row r="358" s="59" customFormat="1" spans="1:13">
      <c r="A358" s="74">
        <v>357</v>
      </c>
      <c r="B358" s="66" t="s">
        <v>67</v>
      </c>
      <c r="C358" s="67" t="s">
        <v>296</v>
      </c>
      <c r="D358" s="59" t="s">
        <v>212</v>
      </c>
      <c r="E358" s="88"/>
      <c r="F358" s="89"/>
      <c r="G358" s="89"/>
      <c r="H358" s="77" t="s">
        <v>76</v>
      </c>
      <c r="I358" s="82">
        <v>12000</v>
      </c>
      <c r="J358" s="84"/>
      <c r="K358" s="85"/>
      <c r="L358" s="89"/>
      <c r="M358" s="89"/>
    </row>
    <row r="359" s="59" customFormat="1" spans="1:13">
      <c r="A359" s="74">
        <v>358</v>
      </c>
      <c r="B359" s="66" t="s">
        <v>67</v>
      </c>
      <c r="C359" s="67" t="s">
        <v>296</v>
      </c>
      <c r="D359" s="59" t="s">
        <v>213</v>
      </c>
      <c r="E359" s="88"/>
      <c r="F359" s="89"/>
      <c r="G359" s="89"/>
      <c r="H359" s="77" t="s">
        <v>76</v>
      </c>
      <c r="I359" s="82">
        <v>12000</v>
      </c>
      <c r="J359" s="84"/>
      <c r="K359" s="85"/>
      <c r="L359" s="86"/>
      <c r="M359" s="87"/>
    </row>
    <row r="360" s="59" customFormat="1" spans="1:13">
      <c r="A360" s="74">
        <v>359</v>
      </c>
      <c r="B360" s="66" t="s">
        <v>67</v>
      </c>
      <c r="C360" s="67" t="s">
        <v>296</v>
      </c>
      <c r="D360" s="59" t="s">
        <v>214</v>
      </c>
      <c r="E360" s="88"/>
      <c r="F360" s="89"/>
      <c r="G360" s="89"/>
      <c r="H360" s="77" t="s">
        <v>76</v>
      </c>
      <c r="I360" s="82">
        <v>12000</v>
      </c>
      <c r="J360" s="84"/>
      <c r="K360" s="85"/>
      <c r="L360" s="86"/>
      <c r="M360" s="87"/>
    </row>
    <row r="361" s="59" customFormat="1" spans="1:13">
      <c r="A361" s="74">
        <v>360</v>
      </c>
      <c r="B361" s="66" t="s">
        <v>67</v>
      </c>
      <c r="C361" s="67" t="s">
        <v>296</v>
      </c>
      <c r="D361" s="59" t="s">
        <v>215</v>
      </c>
      <c r="E361" s="88"/>
      <c r="F361" s="89"/>
      <c r="G361" s="89"/>
      <c r="H361" s="77" t="s">
        <v>76</v>
      </c>
      <c r="I361" s="82">
        <v>12000</v>
      </c>
      <c r="J361" s="84"/>
      <c r="K361" s="85"/>
      <c r="L361" s="86"/>
      <c r="M361" s="87"/>
    </row>
    <row r="362" s="59" customFormat="1" spans="1:13">
      <c r="A362" s="74">
        <v>361</v>
      </c>
      <c r="B362" s="66" t="s">
        <v>67</v>
      </c>
      <c r="C362" s="67" t="s">
        <v>296</v>
      </c>
      <c r="D362" s="59" t="s">
        <v>216</v>
      </c>
      <c r="E362" s="88"/>
      <c r="F362" s="89"/>
      <c r="G362" s="89"/>
      <c r="H362" s="77" t="s">
        <v>76</v>
      </c>
      <c r="I362" s="82">
        <v>12000</v>
      </c>
      <c r="J362" s="84"/>
      <c r="K362" s="85"/>
      <c r="L362" s="86"/>
      <c r="M362" s="87"/>
    </row>
    <row r="363" s="59" customFormat="1" spans="1:13">
      <c r="A363" s="74">
        <v>362</v>
      </c>
      <c r="B363" s="66" t="s">
        <v>67</v>
      </c>
      <c r="C363" s="67" t="s">
        <v>296</v>
      </c>
      <c r="D363" s="59" t="s">
        <v>217</v>
      </c>
      <c r="E363" s="88"/>
      <c r="F363" s="89"/>
      <c r="G363" s="89"/>
      <c r="H363" s="77" t="s">
        <v>76</v>
      </c>
      <c r="I363" s="82">
        <v>12000</v>
      </c>
      <c r="J363" s="84"/>
      <c r="K363" s="85"/>
      <c r="L363" s="86"/>
      <c r="M363" s="87"/>
    </row>
    <row r="364" s="59" customFormat="1" spans="1:13">
      <c r="A364" s="74">
        <v>363</v>
      </c>
      <c r="B364" s="66" t="s">
        <v>67</v>
      </c>
      <c r="C364" s="67" t="s">
        <v>296</v>
      </c>
      <c r="D364" s="59" t="s">
        <v>218</v>
      </c>
      <c r="E364" s="88"/>
      <c r="F364" s="89"/>
      <c r="G364" s="89"/>
      <c r="H364" s="77" t="s">
        <v>76</v>
      </c>
      <c r="I364" s="82">
        <v>12000</v>
      </c>
      <c r="J364" s="84"/>
      <c r="K364" s="85"/>
      <c r="L364" s="89"/>
      <c r="M364" s="89"/>
    </row>
    <row r="365" s="59" customFormat="1" spans="1:13">
      <c r="A365" s="74">
        <v>364</v>
      </c>
      <c r="B365" s="66" t="s">
        <v>67</v>
      </c>
      <c r="C365" s="67" t="s">
        <v>296</v>
      </c>
      <c r="D365" s="59" t="s">
        <v>219</v>
      </c>
      <c r="E365" s="88"/>
      <c r="F365" s="89"/>
      <c r="G365" s="89"/>
      <c r="H365" s="77" t="s">
        <v>76</v>
      </c>
      <c r="I365" s="82">
        <v>12000</v>
      </c>
      <c r="J365" s="84"/>
      <c r="K365" s="85"/>
      <c r="L365" s="89"/>
      <c r="M365" s="89"/>
    </row>
    <row r="366" s="59" customFormat="1" spans="1:13">
      <c r="A366" s="74">
        <v>365</v>
      </c>
      <c r="B366" s="66" t="s">
        <v>67</v>
      </c>
      <c r="C366" s="67" t="s">
        <v>296</v>
      </c>
      <c r="D366" s="59" t="s">
        <v>220</v>
      </c>
      <c r="E366" s="88"/>
      <c r="F366" s="89"/>
      <c r="G366" s="89"/>
      <c r="H366" s="77" t="s">
        <v>76</v>
      </c>
      <c r="I366" s="82">
        <v>12000</v>
      </c>
      <c r="J366" s="84"/>
      <c r="K366" s="85"/>
      <c r="L366" s="89"/>
      <c r="M366" s="89"/>
    </row>
    <row r="367" s="59" customFormat="1" spans="1:13">
      <c r="A367" s="74">
        <v>366</v>
      </c>
      <c r="B367" s="66" t="s">
        <v>67</v>
      </c>
      <c r="C367" s="67" t="s">
        <v>296</v>
      </c>
      <c r="D367" s="59" t="s">
        <v>221</v>
      </c>
      <c r="E367" s="88"/>
      <c r="F367" s="89"/>
      <c r="G367" s="89"/>
      <c r="H367" s="77" t="s">
        <v>76</v>
      </c>
      <c r="I367" s="82">
        <v>12000</v>
      </c>
      <c r="J367" s="84"/>
      <c r="K367" s="85"/>
      <c r="L367" s="89"/>
      <c r="M367" s="89"/>
    </row>
    <row r="368" s="59" customFormat="1" spans="1:13">
      <c r="A368" s="74">
        <v>367</v>
      </c>
      <c r="B368" s="66" t="s">
        <v>67</v>
      </c>
      <c r="C368" s="67" t="s">
        <v>296</v>
      </c>
      <c r="D368" s="59" t="s">
        <v>222</v>
      </c>
      <c r="E368" s="88"/>
      <c r="H368" s="77" t="s">
        <v>76</v>
      </c>
      <c r="I368" s="82">
        <v>12000</v>
      </c>
      <c r="K368" s="85"/>
      <c r="L368" s="86"/>
      <c r="M368" s="87"/>
    </row>
    <row r="369" s="59" customFormat="1" spans="1:16">
      <c r="A369" s="74">
        <v>368</v>
      </c>
      <c r="B369" s="66" t="s">
        <v>67</v>
      </c>
      <c r="C369" s="67" t="s">
        <v>296</v>
      </c>
      <c r="D369" s="59" t="s">
        <v>223</v>
      </c>
      <c r="E369" s="88"/>
      <c r="H369" s="77" t="s">
        <v>76</v>
      </c>
      <c r="I369" s="82">
        <v>12000</v>
      </c>
      <c r="K369" s="85"/>
      <c r="L369" s="86"/>
      <c r="M369" s="87"/>
    </row>
    <row r="370" s="59" customFormat="1" spans="1:16">
      <c r="A370" s="74">
        <v>369</v>
      </c>
      <c r="B370" s="66" t="s">
        <v>67</v>
      </c>
      <c r="C370" s="67" t="s">
        <v>296</v>
      </c>
      <c r="D370" s="59" t="s">
        <v>224</v>
      </c>
      <c r="E370" s="88"/>
      <c r="H370" s="77" t="s">
        <v>76</v>
      </c>
      <c r="I370" s="82">
        <v>12000</v>
      </c>
      <c r="K370" s="85"/>
      <c r="L370" s="86"/>
      <c r="M370" s="87"/>
    </row>
    <row r="371" s="59" customFormat="1" spans="1:16">
      <c r="A371" s="74">
        <v>370</v>
      </c>
      <c r="B371" s="66" t="s">
        <v>67</v>
      </c>
      <c r="C371" s="67" t="s">
        <v>296</v>
      </c>
      <c r="D371" s="59" t="s">
        <v>225</v>
      </c>
      <c r="E371" s="88"/>
      <c r="H371" s="77" t="s">
        <v>76</v>
      </c>
      <c r="I371" s="82">
        <v>12000</v>
      </c>
      <c r="K371" s="85"/>
      <c r="L371" s="86"/>
      <c r="M371" s="87"/>
    </row>
    <row r="372" s="59" customFormat="1" spans="1:16">
      <c r="A372" s="74">
        <v>371</v>
      </c>
      <c r="B372" s="66" t="s">
        <v>67</v>
      </c>
      <c r="C372" s="67" t="s">
        <v>296</v>
      </c>
      <c r="D372" s="59" t="s">
        <v>226</v>
      </c>
      <c r="E372" s="88"/>
      <c r="H372" s="77" t="s">
        <v>76</v>
      </c>
      <c r="I372" s="82">
        <v>12000</v>
      </c>
      <c r="K372" s="85"/>
      <c r="L372" s="86"/>
      <c r="M372" s="87"/>
    </row>
    <row r="373" s="59" customFormat="1" spans="1:16">
      <c r="A373" s="74">
        <v>372</v>
      </c>
      <c r="B373" s="66" t="s">
        <v>67</v>
      </c>
      <c r="C373" s="67" t="s">
        <v>296</v>
      </c>
      <c r="D373" s="59" t="s">
        <v>227</v>
      </c>
      <c r="E373" s="88"/>
      <c r="H373" s="77" t="s">
        <v>76</v>
      </c>
      <c r="I373" s="82">
        <v>12000</v>
      </c>
      <c r="K373" s="85"/>
      <c r="L373" s="86"/>
      <c r="M373" s="87"/>
    </row>
    <row r="374" s="59" customFormat="1" spans="1:16">
      <c r="A374" s="74">
        <v>373</v>
      </c>
      <c r="B374" s="66" t="s">
        <v>67</v>
      </c>
      <c r="C374" s="67" t="s">
        <v>296</v>
      </c>
      <c r="D374" s="59" t="s">
        <v>228</v>
      </c>
      <c r="E374" s="88"/>
      <c r="F374" s="89"/>
      <c r="G374" s="89"/>
      <c r="H374" s="77" t="s">
        <v>76</v>
      </c>
      <c r="I374" s="82">
        <v>12000</v>
      </c>
      <c r="J374" s="84"/>
      <c r="K374" s="85"/>
      <c r="L374" s="89"/>
      <c r="M374" s="89"/>
    </row>
    <row r="375" s="59" customFormat="1" spans="1:16">
      <c r="A375" s="74">
        <v>374</v>
      </c>
      <c r="B375" s="66" t="s">
        <v>67</v>
      </c>
      <c r="C375" s="67" t="s">
        <v>296</v>
      </c>
      <c r="D375" s="59" t="s">
        <v>229</v>
      </c>
      <c r="E375" s="75" t="s">
        <v>70</v>
      </c>
      <c r="F375" s="76">
        <v>46161.8821875</v>
      </c>
      <c r="G375" s="76">
        <v>46160.8824074074</v>
      </c>
      <c r="H375" s="77" t="s">
        <v>71</v>
      </c>
      <c r="I375" s="78">
        <v>16000</v>
      </c>
      <c r="J375" s="79" t="s">
        <v>72</v>
      </c>
      <c r="K375" s="80" t="s">
        <v>73</v>
      </c>
      <c r="L375" s="76">
        <v>46152.7270138889</v>
      </c>
      <c r="M375" s="76">
        <v>46153.6749652778</v>
      </c>
      <c r="N375" s="81" t="s">
        <v>74</v>
      </c>
      <c r="O375" s="76">
        <v>46156.9166898148</v>
      </c>
      <c r="P375" s="76">
        <v>46155.9169097222</v>
      </c>
    </row>
    <row r="376" s="59" customFormat="1" spans="1:16">
      <c r="A376" s="74">
        <v>375</v>
      </c>
      <c r="B376" s="66" t="s">
        <v>67</v>
      </c>
      <c r="C376" s="67" t="s">
        <v>296</v>
      </c>
      <c r="D376" s="59" t="s">
        <v>230</v>
      </c>
      <c r="E376" s="88"/>
      <c r="F376" s="89"/>
      <c r="G376" s="89"/>
      <c r="H376" s="77" t="s">
        <v>76</v>
      </c>
      <c r="I376" s="82">
        <v>12000</v>
      </c>
      <c r="J376" s="84"/>
      <c r="K376" s="85"/>
      <c r="L376" s="86"/>
      <c r="M376" s="87"/>
    </row>
    <row r="377" s="59" customFormat="1" spans="1:16">
      <c r="A377" s="74">
        <v>376</v>
      </c>
      <c r="B377" s="66" t="s">
        <v>67</v>
      </c>
      <c r="C377" s="67" t="s">
        <v>296</v>
      </c>
      <c r="D377" s="59" t="s">
        <v>231</v>
      </c>
      <c r="E377" s="88"/>
      <c r="F377" s="89"/>
      <c r="G377" s="89"/>
      <c r="H377" s="77" t="s">
        <v>76</v>
      </c>
      <c r="I377" s="82">
        <v>12000</v>
      </c>
      <c r="J377" s="84"/>
      <c r="K377" s="85"/>
      <c r="L377" s="86"/>
      <c r="M377" s="87"/>
    </row>
    <row r="378" s="59" customFormat="1" spans="1:16">
      <c r="A378" s="74">
        <v>377</v>
      </c>
      <c r="B378" s="66" t="s">
        <v>67</v>
      </c>
      <c r="C378" s="67" t="s">
        <v>296</v>
      </c>
      <c r="D378" s="59" t="s">
        <v>232</v>
      </c>
      <c r="E378" s="88"/>
      <c r="F378" s="89"/>
      <c r="G378" s="89"/>
      <c r="H378" s="77" t="s">
        <v>76</v>
      </c>
      <c r="I378" s="82">
        <v>12000</v>
      </c>
      <c r="J378" s="84"/>
      <c r="K378" s="85"/>
      <c r="L378" s="86"/>
      <c r="M378" s="87"/>
    </row>
    <row r="379" s="59" customFormat="1" spans="1:16">
      <c r="A379" s="74">
        <v>378</v>
      </c>
      <c r="B379" s="66" t="s">
        <v>67</v>
      </c>
      <c r="C379" s="67" t="s">
        <v>296</v>
      </c>
      <c r="D379" s="59" t="s">
        <v>233</v>
      </c>
      <c r="E379" s="88"/>
      <c r="F379" s="89"/>
      <c r="G379" s="89"/>
      <c r="H379" s="77" t="s">
        <v>76</v>
      </c>
      <c r="I379" s="82">
        <v>12000</v>
      </c>
      <c r="J379" s="84"/>
      <c r="K379" s="85"/>
      <c r="L379" s="86"/>
      <c r="M379" s="87"/>
    </row>
    <row r="380" s="59" customFormat="1" spans="1:16">
      <c r="A380" s="74">
        <v>379</v>
      </c>
      <c r="B380" s="66" t="s">
        <v>67</v>
      </c>
      <c r="C380" s="67" t="s">
        <v>296</v>
      </c>
      <c r="D380" s="59" t="s">
        <v>234</v>
      </c>
      <c r="E380" s="88"/>
      <c r="F380" s="89"/>
      <c r="G380" s="89"/>
      <c r="H380" s="77" t="s">
        <v>76</v>
      </c>
      <c r="I380" s="82">
        <v>12000</v>
      </c>
      <c r="J380" s="84"/>
      <c r="K380" s="85"/>
      <c r="L380" s="89"/>
      <c r="M380" s="89"/>
    </row>
    <row r="381" s="59" customFormat="1" spans="1:16">
      <c r="A381" s="74">
        <v>380</v>
      </c>
      <c r="B381" s="66" t="s">
        <v>67</v>
      </c>
      <c r="C381" s="67" t="s">
        <v>296</v>
      </c>
      <c r="D381" s="59" t="s">
        <v>235</v>
      </c>
      <c r="E381" s="88"/>
      <c r="F381" s="89"/>
      <c r="G381" s="89"/>
      <c r="H381" s="77" t="s">
        <v>76</v>
      </c>
      <c r="I381" s="82">
        <v>12000</v>
      </c>
      <c r="J381" s="84"/>
      <c r="K381" s="85"/>
      <c r="L381" s="89"/>
      <c r="M381" s="89"/>
    </row>
    <row r="382" s="59" customFormat="1" spans="1:16">
      <c r="A382" s="74">
        <v>381</v>
      </c>
      <c r="B382" s="66" t="s">
        <v>67</v>
      </c>
      <c r="C382" s="67" t="s">
        <v>296</v>
      </c>
      <c r="D382" s="59" t="s">
        <v>236</v>
      </c>
      <c r="E382" s="88"/>
      <c r="F382" s="89"/>
      <c r="G382" s="89"/>
      <c r="H382" s="77" t="s">
        <v>76</v>
      </c>
      <c r="I382" s="82">
        <v>12000</v>
      </c>
      <c r="J382" s="84"/>
      <c r="K382" s="85"/>
      <c r="L382" s="89"/>
      <c r="M382" s="89"/>
    </row>
    <row r="383" s="59" customFormat="1" spans="1:16">
      <c r="A383" s="74">
        <v>382</v>
      </c>
      <c r="B383" s="66" t="s">
        <v>67</v>
      </c>
      <c r="C383" s="67" t="s">
        <v>296</v>
      </c>
      <c r="D383" s="59" t="s">
        <v>237</v>
      </c>
      <c r="E383" s="88"/>
      <c r="F383" s="89"/>
      <c r="G383" s="89"/>
      <c r="H383" s="77" t="s">
        <v>76</v>
      </c>
      <c r="I383" s="82">
        <v>12000</v>
      </c>
      <c r="J383" s="84"/>
      <c r="K383" s="85"/>
      <c r="L383" s="89"/>
      <c r="M383" s="89"/>
    </row>
    <row r="384" s="59" customFormat="1" spans="1:16">
      <c r="A384" s="74">
        <v>383</v>
      </c>
      <c r="B384" s="66" t="s">
        <v>67</v>
      </c>
      <c r="C384" s="67" t="s">
        <v>296</v>
      </c>
      <c r="D384" s="59" t="s">
        <v>238</v>
      </c>
      <c r="E384" s="88"/>
      <c r="F384" s="89"/>
      <c r="G384" s="89"/>
      <c r="H384" s="77" t="s">
        <v>76</v>
      </c>
      <c r="I384" s="82">
        <v>12000</v>
      </c>
      <c r="J384" s="84"/>
      <c r="K384" s="85"/>
      <c r="L384" s="89"/>
      <c r="M384" s="89"/>
      <c r="O384" s="89"/>
      <c r="P384" s="89"/>
    </row>
    <row r="385" s="59" customFormat="1" spans="1:13">
      <c r="A385" s="74">
        <v>384</v>
      </c>
      <c r="B385" s="66" t="s">
        <v>67</v>
      </c>
      <c r="C385" s="67" t="s">
        <v>296</v>
      </c>
      <c r="D385" s="59" t="s">
        <v>239</v>
      </c>
      <c r="E385" s="88"/>
      <c r="H385" s="77" t="s">
        <v>76</v>
      </c>
      <c r="I385" s="82">
        <v>12000</v>
      </c>
      <c r="K385" s="85"/>
      <c r="L385" s="86"/>
      <c r="M385" s="87"/>
    </row>
    <row r="386" s="59" customFormat="1" spans="1:13">
      <c r="A386" s="74">
        <v>385</v>
      </c>
      <c r="B386" s="66" t="s">
        <v>67</v>
      </c>
      <c r="C386" s="67" t="s">
        <v>296</v>
      </c>
      <c r="D386" s="59" t="s">
        <v>240</v>
      </c>
      <c r="E386" s="88"/>
      <c r="H386" s="77" t="s">
        <v>76</v>
      </c>
      <c r="I386" s="82">
        <v>12000</v>
      </c>
      <c r="K386" s="85"/>
      <c r="L386" s="86"/>
      <c r="M386" s="87"/>
    </row>
    <row r="387" s="59" customFormat="1" spans="1:13">
      <c r="A387" s="74">
        <v>386</v>
      </c>
      <c r="B387" s="66" t="s">
        <v>67</v>
      </c>
      <c r="C387" s="67" t="s">
        <v>296</v>
      </c>
      <c r="D387" s="59" t="s">
        <v>241</v>
      </c>
      <c r="E387" s="88"/>
      <c r="H387" s="77" t="s">
        <v>76</v>
      </c>
      <c r="I387" s="82">
        <v>12000</v>
      </c>
      <c r="K387" s="85"/>
      <c r="L387" s="86"/>
      <c r="M387" s="87"/>
    </row>
    <row r="388" s="59" customFormat="1" spans="1:13">
      <c r="A388" s="74">
        <v>387</v>
      </c>
      <c r="B388" s="66" t="s">
        <v>67</v>
      </c>
      <c r="C388" s="67" t="s">
        <v>296</v>
      </c>
      <c r="D388" s="59" t="s">
        <v>242</v>
      </c>
      <c r="E388" s="88"/>
      <c r="H388" s="77" t="s">
        <v>76</v>
      </c>
      <c r="I388" s="82">
        <v>12000</v>
      </c>
      <c r="K388" s="85"/>
      <c r="L388" s="86"/>
      <c r="M388" s="87"/>
    </row>
    <row r="389" s="59" customFormat="1" spans="1:13">
      <c r="A389" s="74">
        <v>388</v>
      </c>
      <c r="B389" s="66" t="s">
        <v>67</v>
      </c>
      <c r="C389" s="67" t="s">
        <v>296</v>
      </c>
      <c r="D389" s="59" t="s">
        <v>243</v>
      </c>
      <c r="E389" s="88"/>
      <c r="H389" s="77" t="s">
        <v>76</v>
      </c>
      <c r="I389" s="82">
        <v>12000</v>
      </c>
      <c r="K389" s="85"/>
      <c r="L389" s="86"/>
      <c r="M389" s="87"/>
    </row>
    <row r="390" s="59" customFormat="1" spans="1:13">
      <c r="A390" s="74">
        <v>389</v>
      </c>
      <c r="B390" s="66" t="s">
        <v>67</v>
      </c>
      <c r="C390" s="67" t="s">
        <v>296</v>
      </c>
      <c r="D390" s="59" t="s">
        <v>244</v>
      </c>
      <c r="E390" s="88"/>
      <c r="H390" s="77" t="s">
        <v>76</v>
      </c>
      <c r="I390" s="82">
        <v>12000</v>
      </c>
      <c r="K390" s="85"/>
      <c r="L390" s="86"/>
      <c r="M390" s="87"/>
    </row>
    <row r="391" s="59" customFormat="1" spans="1:13">
      <c r="A391" s="74">
        <v>390</v>
      </c>
      <c r="B391" s="66" t="s">
        <v>67</v>
      </c>
      <c r="C391" s="67" t="s">
        <v>296</v>
      </c>
      <c r="D391" s="59" t="s">
        <v>245</v>
      </c>
      <c r="E391" s="88"/>
      <c r="H391" s="77" t="s">
        <v>76</v>
      </c>
      <c r="I391" s="82">
        <v>12000</v>
      </c>
      <c r="K391" s="85"/>
      <c r="L391" s="86"/>
      <c r="M391" s="87"/>
    </row>
    <row r="392" s="59" customFormat="1" spans="1:13">
      <c r="A392" s="74">
        <v>391</v>
      </c>
      <c r="B392" s="66" t="s">
        <v>67</v>
      </c>
      <c r="C392" s="67" t="s">
        <v>296</v>
      </c>
      <c r="D392" s="59" t="s">
        <v>246</v>
      </c>
      <c r="E392" s="88"/>
      <c r="H392" s="77" t="s">
        <v>76</v>
      </c>
      <c r="I392" s="82">
        <v>12000</v>
      </c>
      <c r="J392" s="84"/>
      <c r="K392" s="95"/>
    </row>
    <row r="393" s="59" customFormat="1" spans="1:13">
      <c r="A393" s="74">
        <v>392</v>
      </c>
      <c r="B393" s="66" t="s">
        <v>67</v>
      </c>
      <c r="C393" s="67" t="s">
        <v>296</v>
      </c>
      <c r="D393" s="59" t="s">
        <v>247</v>
      </c>
      <c r="E393" s="88"/>
      <c r="H393" s="77" t="s">
        <v>76</v>
      </c>
      <c r="I393" s="82">
        <v>12000</v>
      </c>
      <c r="J393" s="84"/>
      <c r="K393" s="95"/>
    </row>
    <row r="394" s="59" customFormat="1" spans="1:13">
      <c r="A394" s="74">
        <v>393</v>
      </c>
      <c r="B394" s="66" t="s">
        <v>67</v>
      </c>
      <c r="C394" s="67" t="s">
        <v>296</v>
      </c>
      <c r="D394" s="59" t="s">
        <v>248</v>
      </c>
      <c r="E394" s="88"/>
      <c r="H394" s="77" t="s">
        <v>76</v>
      </c>
      <c r="I394" s="82">
        <v>12000</v>
      </c>
      <c r="K394" s="85"/>
      <c r="L394" s="86"/>
      <c r="M394" s="87"/>
    </row>
    <row r="395" s="59" customFormat="1" spans="1:13">
      <c r="A395" s="74">
        <v>394</v>
      </c>
      <c r="B395" s="66" t="s">
        <v>67</v>
      </c>
      <c r="C395" s="67" t="s">
        <v>296</v>
      </c>
      <c r="D395" s="59" t="s">
        <v>249</v>
      </c>
      <c r="E395" s="88"/>
      <c r="H395" s="77" t="s">
        <v>76</v>
      </c>
      <c r="I395" s="82">
        <v>12000</v>
      </c>
      <c r="K395" s="85"/>
      <c r="L395" s="86"/>
      <c r="M395" s="87"/>
    </row>
    <row r="396" s="59" customFormat="1" spans="1:13">
      <c r="A396" s="74">
        <v>395</v>
      </c>
      <c r="B396" s="66" t="s">
        <v>67</v>
      </c>
      <c r="C396" s="67" t="s">
        <v>296</v>
      </c>
      <c r="D396" s="59" t="s">
        <v>250</v>
      </c>
      <c r="E396" s="88"/>
      <c r="H396" s="77" t="s">
        <v>76</v>
      </c>
      <c r="I396" s="82">
        <v>12000</v>
      </c>
      <c r="K396" s="85"/>
      <c r="L396" s="86"/>
      <c r="M396" s="87"/>
    </row>
    <row r="397" s="59" customFormat="1" spans="1:13">
      <c r="A397" s="74">
        <v>396</v>
      </c>
      <c r="B397" s="66" t="s">
        <v>67</v>
      </c>
      <c r="C397" s="67" t="s">
        <v>296</v>
      </c>
      <c r="D397" s="59" t="s">
        <v>251</v>
      </c>
      <c r="E397" s="88"/>
      <c r="H397" s="77" t="s">
        <v>76</v>
      </c>
      <c r="I397" s="82">
        <v>12000</v>
      </c>
      <c r="K397" s="85"/>
      <c r="L397" s="86"/>
      <c r="M397" s="87"/>
    </row>
    <row r="398" s="59" customFormat="1" spans="1:13">
      <c r="A398" s="74">
        <v>397</v>
      </c>
      <c r="B398" s="66" t="s">
        <v>67</v>
      </c>
      <c r="C398" s="67" t="s">
        <v>296</v>
      </c>
      <c r="D398" s="59" t="s">
        <v>252</v>
      </c>
      <c r="E398" s="88"/>
      <c r="H398" s="77" t="s">
        <v>71</v>
      </c>
      <c r="I398" s="78">
        <v>16000</v>
      </c>
      <c r="K398" s="85"/>
      <c r="L398" s="86"/>
      <c r="M398" s="87"/>
    </row>
    <row r="399" s="59" customFormat="1" spans="1:13">
      <c r="A399" s="74">
        <v>398</v>
      </c>
      <c r="B399" s="66" t="s">
        <v>67</v>
      </c>
      <c r="C399" s="67" t="s">
        <v>296</v>
      </c>
      <c r="D399" s="59" t="s">
        <v>253</v>
      </c>
      <c r="E399" s="88"/>
      <c r="H399" s="77" t="s">
        <v>76</v>
      </c>
      <c r="I399" s="82">
        <v>12000</v>
      </c>
      <c r="K399" s="85"/>
      <c r="L399" s="86"/>
      <c r="M399" s="87"/>
    </row>
    <row r="400" s="59" customFormat="1" spans="1:13">
      <c r="A400" s="74">
        <v>399</v>
      </c>
      <c r="B400" s="66" t="s">
        <v>67</v>
      </c>
      <c r="C400" s="67" t="s">
        <v>296</v>
      </c>
      <c r="D400" s="59" t="s">
        <v>254</v>
      </c>
      <c r="E400" s="88"/>
      <c r="F400" s="89"/>
      <c r="G400" s="89"/>
      <c r="H400" s="77" t="s">
        <v>76</v>
      </c>
      <c r="I400" s="82">
        <v>12000</v>
      </c>
      <c r="J400" s="84"/>
      <c r="K400" s="85"/>
      <c r="L400" s="86"/>
      <c r="M400" s="87"/>
    </row>
    <row r="401" s="59" customFormat="1" spans="1:13">
      <c r="A401" s="74">
        <v>400</v>
      </c>
      <c r="B401" s="66" t="s">
        <v>67</v>
      </c>
      <c r="C401" s="67" t="s">
        <v>296</v>
      </c>
      <c r="D401" s="59" t="s">
        <v>255</v>
      </c>
      <c r="E401" s="88"/>
      <c r="F401" s="89"/>
      <c r="G401" s="89"/>
      <c r="H401" s="77" t="s">
        <v>76</v>
      </c>
      <c r="I401" s="82">
        <v>12000</v>
      </c>
      <c r="J401" s="84"/>
      <c r="K401" s="85"/>
      <c r="L401" s="86"/>
      <c r="M401" s="87"/>
    </row>
    <row r="402" s="59" customFormat="1" spans="1:13">
      <c r="A402" s="74">
        <v>401</v>
      </c>
      <c r="B402" s="66" t="s">
        <v>67</v>
      </c>
      <c r="C402" s="67" t="s">
        <v>296</v>
      </c>
      <c r="D402" s="59" t="s">
        <v>256</v>
      </c>
      <c r="E402" s="88"/>
      <c r="F402" s="89"/>
      <c r="G402" s="89"/>
      <c r="H402" s="77" t="s">
        <v>76</v>
      </c>
      <c r="I402" s="82">
        <v>12000</v>
      </c>
      <c r="J402" s="84"/>
      <c r="K402" s="85"/>
      <c r="L402" s="86"/>
      <c r="M402" s="87"/>
    </row>
    <row r="403" s="59" customFormat="1" spans="1:13">
      <c r="A403" s="74">
        <v>402</v>
      </c>
      <c r="B403" s="66" t="s">
        <v>67</v>
      </c>
      <c r="C403" s="67" t="s">
        <v>296</v>
      </c>
      <c r="D403" s="59" t="s">
        <v>257</v>
      </c>
      <c r="E403" s="88"/>
      <c r="F403" s="89"/>
      <c r="G403" s="89"/>
      <c r="H403" s="77" t="s">
        <v>76</v>
      </c>
      <c r="I403" s="82">
        <v>12000</v>
      </c>
      <c r="J403" s="84"/>
      <c r="K403" s="85"/>
      <c r="L403" s="86"/>
      <c r="M403" s="87"/>
    </row>
    <row r="404" s="59" customFormat="1" spans="1:13">
      <c r="A404" s="74">
        <v>403</v>
      </c>
      <c r="B404" s="66" t="s">
        <v>67</v>
      </c>
      <c r="C404" s="67" t="s">
        <v>296</v>
      </c>
      <c r="D404" s="59" t="s">
        <v>258</v>
      </c>
      <c r="E404" s="88"/>
      <c r="H404" s="77" t="s">
        <v>76</v>
      </c>
      <c r="I404" s="82">
        <v>12000</v>
      </c>
      <c r="K404" s="85"/>
      <c r="L404" s="86"/>
      <c r="M404" s="87"/>
    </row>
    <row r="405" s="59" customFormat="1" spans="1:13">
      <c r="A405" s="74">
        <v>404</v>
      </c>
      <c r="B405" s="66" t="s">
        <v>67</v>
      </c>
      <c r="C405" s="67" t="s">
        <v>296</v>
      </c>
      <c r="D405" s="59" t="s">
        <v>259</v>
      </c>
      <c r="E405" s="88"/>
      <c r="H405" s="77" t="s">
        <v>76</v>
      </c>
      <c r="I405" s="82">
        <v>12000</v>
      </c>
      <c r="K405" s="85"/>
      <c r="L405" s="86"/>
      <c r="M405" s="87"/>
    </row>
    <row r="406" s="59" customFormat="1" spans="1:13">
      <c r="A406" s="74">
        <v>405</v>
      </c>
      <c r="B406" s="66" t="s">
        <v>67</v>
      </c>
      <c r="C406" s="67" t="s">
        <v>296</v>
      </c>
      <c r="D406" s="59" t="s">
        <v>260</v>
      </c>
      <c r="E406" s="88"/>
      <c r="H406" s="77" t="s">
        <v>76</v>
      </c>
      <c r="I406" s="82">
        <v>12000</v>
      </c>
      <c r="K406" s="85"/>
      <c r="L406" s="86"/>
      <c r="M406" s="87"/>
    </row>
    <row r="407" s="59" customFormat="1" spans="1:13">
      <c r="A407" s="74">
        <v>406</v>
      </c>
      <c r="B407" s="66" t="s">
        <v>67</v>
      </c>
      <c r="C407" s="67" t="s">
        <v>296</v>
      </c>
      <c r="D407" s="59" t="s">
        <v>261</v>
      </c>
      <c r="E407" s="88"/>
      <c r="H407" s="77" t="s">
        <v>76</v>
      </c>
      <c r="I407" s="82">
        <v>12000</v>
      </c>
      <c r="K407" s="85"/>
      <c r="L407" s="86"/>
      <c r="M407" s="87"/>
    </row>
    <row r="408" s="59" customFormat="1" spans="1:13">
      <c r="A408" s="74">
        <v>407</v>
      </c>
      <c r="B408" s="66" t="s">
        <v>67</v>
      </c>
      <c r="C408" s="67" t="s">
        <v>296</v>
      </c>
      <c r="D408" s="59" t="s">
        <v>262</v>
      </c>
      <c r="E408" s="88"/>
      <c r="H408" s="77" t="s">
        <v>76</v>
      </c>
      <c r="I408" s="82">
        <v>12000</v>
      </c>
      <c r="K408" s="85"/>
      <c r="L408" s="86"/>
      <c r="M408" s="87"/>
    </row>
    <row r="409" s="59" customFormat="1" spans="1:13">
      <c r="A409" s="74">
        <v>408</v>
      </c>
      <c r="B409" s="66" t="s">
        <v>67</v>
      </c>
      <c r="C409" s="67" t="s">
        <v>296</v>
      </c>
      <c r="D409" s="59" t="s">
        <v>263</v>
      </c>
      <c r="E409" s="88"/>
      <c r="H409" s="77" t="s">
        <v>76</v>
      </c>
      <c r="I409" s="82">
        <v>12000</v>
      </c>
      <c r="K409" s="85"/>
      <c r="L409" s="86"/>
      <c r="M409" s="87"/>
    </row>
    <row r="410" s="59" customFormat="1" spans="1:13">
      <c r="A410" s="74">
        <v>409</v>
      </c>
      <c r="B410" s="66" t="s">
        <v>67</v>
      </c>
      <c r="C410" s="67" t="s">
        <v>296</v>
      </c>
      <c r="D410" s="59" t="s">
        <v>264</v>
      </c>
      <c r="E410" s="88"/>
      <c r="H410" s="77" t="s">
        <v>76</v>
      </c>
      <c r="I410" s="82">
        <v>12000</v>
      </c>
      <c r="K410" s="85"/>
      <c r="L410" s="86"/>
      <c r="M410" s="87"/>
    </row>
    <row r="411" s="59" customFormat="1" spans="1:13">
      <c r="A411" s="74">
        <v>410</v>
      </c>
      <c r="B411" s="66" t="s">
        <v>67</v>
      </c>
      <c r="C411" s="67" t="s">
        <v>296</v>
      </c>
      <c r="D411" s="59" t="s">
        <v>265</v>
      </c>
      <c r="E411" s="88"/>
      <c r="H411" s="77" t="s">
        <v>76</v>
      </c>
      <c r="I411" s="82">
        <v>12000</v>
      </c>
      <c r="K411" s="85"/>
      <c r="L411" s="86"/>
      <c r="M411" s="87"/>
    </row>
    <row r="412" s="59" customFormat="1" spans="1:13">
      <c r="A412" s="74">
        <v>411</v>
      </c>
      <c r="B412" s="66" t="s">
        <v>67</v>
      </c>
      <c r="C412" s="67" t="s">
        <v>296</v>
      </c>
      <c r="D412" s="59" t="s">
        <v>266</v>
      </c>
      <c r="E412" s="88"/>
      <c r="H412" s="77" t="s">
        <v>76</v>
      </c>
      <c r="I412" s="82">
        <v>12000</v>
      </c>
      <c r="K412" s="85"/>
      <c r="L412" s="86"/>
      <c r="M412" s="87"/>
    </row>
    <row r="413" s="59" customFormat="1" spans="1:13">
      <c r="A413" s="74">
        <v>412</v>
      </c>
      <c r="B413" s="66" t="s">
        <v>67</v>
      </c>
      <c r="C413" s="67" t="s">
        <v>296</v>
      </c>
      <c r="D413" s="59" t="s">
        <v>267</v>
      </c>
      <c r="E413" s="88"/>
      <c r="F413" s="89"/>
      <c r="G413" s="89"/>
      <c r="H413" s="77" t="s">
        <v>76</v>
      </c>
      <c r="I413" s="82">
        <v>12000</v>
      </c>
      <c r="J413" s="84"/>
      <c r="K413" s="85"/>
      <c r="L413" s="86"/>
      <c r="M413" s="87"/>
    </row>
    <row r="414" s="59" customFormat="1" spans="1:13">
      <c r="A414" s="74">
        <v>413</v>
      </c>
      <c r="B414" s="66" t="s">
        <v>67</v>
      </c>
      <c r="C414" s="67" t="s">
        <v>296</v>
      </c>
      <c r="D414" s="59" t="s">
        <v>268</v>
      </c>
      <c r="E414" s="88"/>
      <c r="F414" s="89"/>
      <c r="G414" s="89"/>
      <c r="H414" s="77" t="s">
        <v>76</v>
      </c>
      <c r="I414" s="82">
        <v>12000</v>
      </c>
      <c r="J414" s="84"/>
      <c r="K414" s="85"/>
      <c r="L414" s="86"/>
      <c r="M414" s="87"/>
    </row>
    <row r="415" s="59" customFormat="1" spans="1:13">
      <c r="A415" s="74">
        <v>414</v>
      </c>
      <c r="B415" s="66" t="s">
        <v>67</v>
      </c>
      <c r="C415" s="67" t="s">
        <v>296</v>
      </c>
      <c r="D415" s="59" t="s">
        <v>269</v>
      </c>
      <c r="E415" s="88"/>
      <c r="F415" s="89"/>
      <c r="G415" s="89"/>
      <c r="H415" s="77" t="s">
        <v>76</v>
      </c>
      <c r="I415" s="82">
        <v>12000</v>
      </c>
      <c r="J415" s="84"/>
      <c r="K415" s="85"/>
      <c r="L415" s="86"/>
      <c r="M415" s="87"/>
    </row>
    <row r="416" s="59" customFormat="1" spans="1:13">
      <c r="A416" s="74">
        <v>415</v>
      </c>
      <c r="B416" s="66" t="s">
        <v>67</v>
      </c>
      <c r="C416" s="67" t="s">
        <v>296</v>
      </c>
      <c r="D416" s="59" t="s">
        <v>270</v>
      </c>
      <c r="E416" s="88"/>
      <c r="F416" s="89"/>
      <c r="G416" s="89"/>
      <c r="H416" s="77" t="s">
        <v>76</v>
      </c>
      <c r="I416" s="82">
        <v>12000</v>
      </c>
      <c r="J416" s="84"/>
      <c r="K416" s="85"/>
      <c r="L416" s="86"/>
      <c r="M416" s="87"/>
    </row>
    <row r="417" s="59" customFormat="1" spans="1:13">
      <c r="A417" s="74">
        <v>416</v>
      </c>
      <c r="B417" s="66" t="s">
        <v>67</v>
      </c>
      <c r="C417" s="67" t="s">
        <v>296</v>
      </c>
      <c r="D417" s="59" t="s">
        <v>271</v>
      </c>
      <c r="E417" s="88"/>
      <c r="F417" s="89"/>
      <c r="G417" s="89"/>
      <c r="H417" s="77" t="s">
        <v>76</v>
      </c>
      <c r="I417" s="82">
        <v>12000</v>
      </c>
      <c r="J417" s="84"/>
      <c r="K417" s="85"/>
      <c r="L417" s="86"/>
      <c r="M417" s="87"/>
    </row>
    <row r="418" s="59" customFormat="1" spans="1:13">
      <c r="A418" s="74">
        <v>417</v>
      </c>
      <c r="B418" s="66" t="s">
        <v>67</v>
      </c>
      <c r="C418" s="67" t="s">
        <v>296</v>
      </c>
      <c r="D418" s="59" t="s">
        <v>272</v>
      </c>
      <c r="E418" s="88"/>
      <c r="H418" s="77" t="s">
        <v>76</v>
      </c>
      <c r="I418" s="82">
        <v>12000</v>
      </c>
      <c r="K418" s="85"/>
      <c r="L418" s="86"/>
      <c r="M418" s="87"/>
    </row>
    <row r="419" s="59" customFormat="1" spans="1:13">
      <c r="A419" s="74">
        <v>418</v>
      </c>
      <c r="B419" s="66" t="s">
        <v>67</v>
      </c>
      <c r="C419" s="67" t="s">
        <v>296</v>
      </c>
      <c r="D419" s="59" t="s">
        <v>273</v>
      </c>
      <c r="E419" s="88"/>
      <c r="H419" s="77" t="s">
        <v>71</v>
      </c>
      <c r="I419" s="78">
        <v>16000</v>
      </c>
      <c r="K419" s="85"/>
      <c r="L419" s="86"/>
      <c r="M419" s="87"/>
    </row>
    <row r="420" s="59" customFormat="1" spans="1:13">
      <c r="A420" s="74">
        <v>419</v>
      </c>
      <c r="B420" s="66" t="s">
        <v>67</v>
      </c>
      <c r="C420" s="67" t="s">
        <v>296</v>
      </c>
      <c r="D420" s="59" t="s">
        <v>274</v>
      </c>
      <c r="E420" s="88"/>
      <c r="H420" s="77" t="s">
        <v>76</v>
      </c>
      <c r="I420" s="82">
        <v>12000</v>
      </c>
      <c r="K420" s="85"/>
      <c r="L420" s="86"/>
      <c r="M420" s="87"/>
    </row>
    <row r="421" s="59" customFormat="1" spans="1:13">
      <c r="A421" s="74">
        <v>420</v>
      </c>
      <c r="B421" s="66" t="s">
        <v>67</v>
      </c>
      <c r="C421" s="67" t="s">
        <v>296</v>
      </c>
      <c r="D421" s="59" t="s">
        <v>275</v>
      </c>
      <c r="E421" s="88"/>
      <c r="H421" s="77" t="s">
        <v>76</v>
      </c>
      <c r="I421" s="82">
        <v>12000</v>
      </c>
      <c r="K421" s="85"/>
      <c r="L421" s="86"/>
      <c r="M421" s="87"/>
    </row>
    <row r="422" s="59" customFormat="1" spans="1:13">
      <c r="A422" s="74">
        <v>421</v>
      </c>
      <c r="B422" s="66" t="s">
        <v>67</v>
      </c>
      <c r="C422" s="67" t="s">
        <v>296</v>
      </c>
      <c r="D422" s="59" t="s">
        <v>276</v>
      </c>
      <c r="E422" s="88"/>
      <c r="H422" s="77" t="s">
        <v>76</v>
      </c>
      <c r="I422" s="82">
        <v>12000</v>
      </c>
      <c r="K422" s="85"/>
      <c r="L422" s="86"/>
      <c r="M422" s="87"/>
    </row>
    <row r="423" s="59" customFormat="1" spans="1:13">
      <c r="A423" s="74">
        <v>422</v>
      </c>
      <c r="B423" s="66" t="s">
        <v>67</v>
      </c>
      <c r="C423" s="67" t="s">
        <v>296</v>
      </c>
      <c r="D423" s="59" t="s">
        <v>277</v>
      </c>
      <c r="E423" s="88"/>
      <c r="H423" s="77" t="s">
        <v>76</v>
      </c>
      <c r="I423" s="82">
        <v>12000</v>
      </c>
      <c r="K423" s="85"/>
      <c r="L423" s="86"/>
      <c r="M423" s="87"/>
    </row>
    <row r="424" s="59" customFormat="1" spans="1:13">
      <c r="A424" s="74">
        <v>423</v>
      </c>
      <c r="B424" s="66" t="s">
        <v>67</v>
      </c>
      <c r="C424" s="67" t="s">
        <v>296</v>
      </c>
      <c r="D424" s="59" t="s">
        <v>278</v>
      </c>
      <c r="E424" s="88"/>
      <c r="H424" s="77" t="s">
        <v>76</v>
      </c>
      <c r="I424" s="82">
        <v>12000</v>
      </c>
      <c r="K424" s="85"/>
      <c r="L424" s="86"/>
      <c r="M424" s="87"/>
    </row>
    <row r="425" s="59" customFormat="1" spans="1:13">
      <c r="A425" s="74">
        <v>424</v>
      </c>
      <c r="B425" s="66" t="s">
        <v>67</v>
      </c>
      <c r="C425" s="67" t="s">
        <v>296</v>
      </c>
      <c r="D425" s="59" t="s">
        <v>279</v>
      </c>
      <c r="E425" s="88"/>
      <c r="H425" s="77" t="s">
        <v>76</v>
      </c>
      <c r="I425" s="82">
        <v>12000</v>
      </c>
      <c r="K425" s="85"/>
      <c r="L425" s="86"/>
      <c r="M425" s="87"/>
    </row>
    <row r="426" s="59" customFormat="1" spans="1:13">
      <c r="A426" s="74">
        <v>425</v>
      </c>
      <c r="B426" s="66" t="s">
        <v>67</v>
      </c>
      <c r="C426" s="67" t="s">
        <v>296</v>
      </c>
      <c r="D426" s="59" t="s">
        <v>280</v>
      </c>
      <c r="E426" s="88"/>
      <c r="H426" s="77" t="s">
        <v>76</v>
      </c>
      <c r="I426" s="82">
        <v>12000</v>
      </c>
      <c r="K426" s="85"/>
      <c r="L426" s="86"/>
      <c r="M426" s="87"/>
    </row>
    <row r="427" s="59" customFormat="1" spans="1:13">
      <c r="A427" s="74">
        <v>426</v>
      </c>
      <c r="B427" s="66" t="s">
        <v>67</v>
      </c>
      <c r="C427" s="67" t="s">
        <v>296</v>
      </c>
      <c r="D427" s="59" t="s">
        <v>281</v>
      </c>
      <c r="E427" s="88"/>
      <c r="H427" s="77" t="s">
        <v>76</v>
      </c>
      <c r="I427" s="82">
        <v>12000</v>
      </c>
      <c r="K427" s="85"/>
      <c r="L427" s="86"/>
      <c r="M427" s="87"/>
    </row>
    <row r="428" s="59" customFormat="1" spans="1:13">
      <c r="A428" s="74">
        <v>427</v>
      </c>
      <c r="B428" s="66" t="s">
        <v>67</v>
      </c>
      <c r="C428" s="67" t="s">
        <v>296</v>
      </c>
      <c r="D428" s="59" t="s">
        <v>282</v>
      </c>
      <c r="E428" s="88"/>
      <c r="H428" s="77" t="s">
        <v>76</v>
      </c>
      <c r="I428" s="82">
        <v>12000</v>
      </c>
      <c r="K428" s="85"/>
      <c r="L428" s="86"/>
      <c r="M428" s="87"/>
    </row>
    <row r="429" s="59" customFormat="1" spans="1:13">
      <c r="A429" s="74">
        <v>428</v>
      </c>
      <c r="B429" s="66" t="s">
        <v>67</v>
      </c>
      <c r="C429" s="67" t="s">
        <v>296</v>
      </c>
      <c r="D429" s="59" t="s">
        <v>283</v>
      </c>
      <c r="E429" s="88"/>
      <c r="H429" s="77" t="s">
        <v>76</v>
      </c>
      <c r="I429" s="82">
        <v>12000</v>
      </c>
      <c r="K429" s="85"/>
      <c r="L429" s="86"/>
      <c r="M429" s="87"/>
    </row>
    <row r="430" s="59" customFormat="1" spans="1:13">
      <c r="A430" s="74">
        <v>429</v>
      </c>
      <c r="B430" s="66" t="s">
        <v>67</v>
      </c>
      <c r="C430" s="67" t="s">
        <v>296</v>
      </c>
      <c r="D430" s="59" t="s">
        <v>284</v>
      </c>
      <c r="E430" s="88"/>
      <c r="H430" s="77" t="s">
        <v>76</v>
      </c>
      <c r="I430" s="82">
        <v>12000</v>
      </c>
      <c r="K430" s="85"/>
      <c r="L430" s="86"/>
      <c r="M430" s="87"/>
    </row>
    <row r="431" s="59" customFormat="1" spans="1:13">
      <c r="A431" s="74">
        <v>430</v>
      </c>
      <c r="B431" s="66" t="s">
        <v>67</v>
      </c>
      <c r="C431" s="67" t="s">
        <v>296</v>
      </c>
      <c r="D431" s="59" t="s">
        <v>285</v>
      </c>
      <c r="E431" s="88"/>
      <c r="H431" s="77" t="s">
        <v>76</v>
      </c>
      <c r="I431" s="82">
        <v>12000</v>
      </c>
      <c r="K431" s="85"/>
      <c r="L431" s="86"/>
      <c r="M431" s="87"/>
    </row>
    <row r="432" s="59" customFormat="1" spans="1:13">
      <c r="A432" s="74">
        <v>431</v>
      </c>
      <c r="B432" s="66" t="s">
        <v>67</v>
      </c>
      <c r="C432" s="67" t="s">
        <v>296</v>
      </c>
      <c r="D432" s="59" t="s">
        <v>286</v>
      </c>
      <c r="E432" s="88"/>
      <c r="H432" s="77" t="s">
        <v>76</v>
      </c>
      <c r="I432" s="82">
        <v>12000</v>
      </c>
      <c r="K432" s="85"/>
      <c r="L432" s="86"/>
      <c r="M432" s="87"/>
    </row>
    <row r="433" s="59" customFormat="1" spans="1:16">
      <c r="A433" s="74">
        <v>432</v>
      </c>
      <c r="B433" s="66" t="s">
        <v>67</v>
      </c>
      <c r="C433" s="67" t="s">
        <v>296</v>
      </c>
      <c r="D433" s="59" t="s">
        <v>287</v>
      </c>
      <c r="E433" s="88"/>
      <c r="H433" s="77" t="s">
        <v>76</v>
      </c>
      <c r="I433" s="82">
        <v>12000</v>
      </c>
      <c r="K433" s="85"/>
      <c r="L433" s="86"/>
      <c r="M433" s="87"/>
    </row>
    <row r="434" s="59" customFormat="1" spans="1:16">
      <c r="A434" s="74">
        <v>433</v>
      </c>
      <c r="B434" s="66" t="s">
        <v>67</v>
      </c>
      <c r="C434" s="67" t="s">
        <v>296</v>
      </c>
      <c r="D434" s="59" t="s">
        <v>288</v>
      </c>
      <c r="E434" s="88"/>
      <c r="H434" s="77" t="s">
        <v>76</v>
      </c>
      <c r="I434" s="82">
        <v>12000</v>
      </c>
      <c r="K434" s="85"/>
      <c r="L434" s="86"/>
      <c r="M434" s="87"/>
    </row>
    <row r="435" s="59" customFormat="1" spans="1:16">
      <c r="A435" s="74">
        <v>434</v>
      </c>
      <c r="B435" s="66" t="s">
        <v>67</v>
      </c>
      <c r="C435" s="67" t="s">
        <v>296</v>
      </c>
      <c r="D435" s="59" t="s">
        <v>289</v>
      </c>
      <c r="E435" s="88"/>
      <c r="H435" s="77" t="s">
        <v>76</v>
      </c>
      <c r="I435" s="82">
        <v>12000</v>
      </c>
      <c r="K435" s="85"/>
      <c r="L435" s="86"/>
      <c r="M435" s="87"/>
    </row>
    <row r="436" s="59" customFormat="1" spans="1:16">
      <c r="A436" s="74">
        <v>435</v>
      </c>
      <c r="B436" s="66" t="s">
        <v>67</v>
      </c>
      <c r="C436" s="67" t="s">
        <v>296</v>
      </c>
      <c r="D436" s="59" t="s">
        <v>290</v>
      </c>
      <c r="E436" s="88"/>
      <c r="H436" s="77" t="s">
        <v>76</v>
      </c>
      <c r="I436" s="82">
        <v>12000</v>
      </c>
      <c r="K436" s="85"/>
      <c r="L436" s="86"/>
      <c r="M436" s="87"/>
    </row>
    <row r="437" s="59" customFormat="1" spans="1:16">
      <c r="A437" s="74">
        <v>436</v>
      </c>
      <c r="B437" s="66" t="s">
        <v>67</v>
      </c>
      <c r="C437" s="67" t="s">
        <v>296</v>
      </c>
      <c r="D437" s="59" t="s">
        <v>291</v>
      </c>
      <c r="E437" s="88"/>
      <c r="H437" s="77" t="s">
        <v>76</v>
      </c>
      <c r="I437" s="82">
        <v>12000</v>
      </c>
      <c r="K437" s="85"/>
      <c r="L437" s="86"/>
      <c r="M437" s="87"/>
    </row>
    <row r="438" s="59" customFormat="1" spans="1:16">
      <c r="A438" s="74">
        <v>437</v>
      </c>
      <c r="B438" s="66" t="s">
        <v>67</v>
      </c>
      <c r="C438" s="67" t="s">
        <v>296</v>
      </c>
      <c r="D438" s="59" t="s">
        <v>292</v>
      </c>
      <c r="E438" s="88"/>
      <c r="H438" s="77" t="s">
        <v>76</v>
      </c>
      <c r="I438" s="82">
        <v>12000</v>
      </c>
      <c r="K438" s="85"/>
      <c r="L438" s="86"/>
      <c r="M438" s="87"/>
    </row>
    <row r="439" s="59" customFormat="1" spans="1:16">
      <c r="A439" s="74">
        <v>438</v>
      </c>
      <c r="B439" s="66" t="s">
        <v>67</v>
      </c>
      <c r="C439" s="67" t="s">
        <v>296</v>
      </c>
      <c r="D439" s="59" t="s">
        <v>293</v>
      </c>
      <c r="E439" s="88"/>
      <c r="H439" s="77" t="s">
        <v>76</v>
      </c>
      <c r="I439" s="82">
        <v>12000</v>
      </c>
      <c r="K439" s="85"/>
      <c r="L439" s="86"/>
      <c r="M439" s="87"/>
    </row>
    <row r="440" s="59" customFormat="1" spans="1:16">
      <c r="A440" s="74">
        <v>439</v>
      </c>
      <c r="B440" s="66" t="s">
        <v>67</v>
      </c>
      <c r="C440" s="67" t="s">
        <v>296</v>
      </c>
      <c r="D440" s="59" t="s">
        <v>294</v>
      </c>
      <c r="E440" s="88"/>
      <c r="H440" s="77" t="s">
        <v>76</v>
      </c>
      <c r="I440" s="82">
        <v>12000</v>
      </c>
      <c r="K440" s="85"/>
      <c r="L440" s="86"/>
      <c r="M440" s="87"/>
    </row>
    <row r="441" s="59" customFormat="1" spans="1:16">
      <c r="A441" s="74">
        <v>440</v>
      </c>
      <c r="B441" s="66" t="s">
        <v>67</v>
      </c>
      <c r="C441" s="67" t="s">
        <v>296</v>
      </c>
      <c r="D441" s="59" t="s">
        <v>295</v>
      </c>
      <c r="E441" s="88"/>
      <c r="H441" s="77" t="s">
        <v>76</v>
      </c>
      <c r="I441" s="82">
        <v>12000</v>
      </c>
      <c r="K441" s="85"/>
      <c r="L441" s="86"/>
      <c r="M441" s="87"/>
    </row>
    <row r="442" s="59" customFormat="1" ht="16.5" spans="1:16">
      <c r="A442" s="74">
        <v>441</v>
      </c>
      <c r="B442" s="66" t="s">
        <v>67</v>
      </c>
      <c r="C442" s="67" t="s">
        <v>297</v>
      </c>
      <c r="D442" s="67" t="s">
        <v>69</v>
      </c>
      <c r="E442" s="96" t="s">
        <v>74</v>
      </c>
      <c r="F442" s="89">
        <v>45946.9167476852</v>
      </c>
      <c r="G442" s="89">
        <v>45945.916875</v>
      </c>
      <c r="H442" s="77" t="s">
        <v>71</v>
      </c>
      <c r="I442" s="78">
        <v>16000</v>
      </c>
      <c r="J442" s="84" t="s">
        <v>72</v>
      </c>
      <c r="K442" s="80" t="s">
        <v>73</v>
      </c>
      <c r="L442" s="89">
        <v>45729.5</v>
      </c>
      <c r="M442" s="89">
        <v>45729.46875</v>
      </c>
    </row>
    <row r="443" s="59" customFormat="1" ht="16.5" spans="1:16">
      <c r="A443" s="74">
        <v>442</v>
      </c>
      <c r="B443" s="66" t="s">
        <v>67</v>
      </c>
      <c r="C443" s="67" t="s">
        <v>297</v>
      </c>
      <c r="D443" s="67" t="s">
        <v>75</v>
      </c>
      <c r="E443" s="96" t="s">
        <v>74</v>
      </c>
      <c r="F443" s="89">
        <v>45946.9167476852</v>
      </c>
      <c r="G443" s="89">
        <v>45945.916875</v>
      </c>
      <c r="H443" s="77" t="s">
        <v>71</v>
      </c>
      <c r="I443" s="78">
        <v>16000</v>
      </c>
      <c r="J443" s="84" t="s">
        <v>72</v>
      </c>
      <c r="K443" s="80" t="s">
        <v>73</v>
      </c>
      <c r="L443" s="89">
        <v>45729.5</v>
      </c>
      <c r="M443" s="89">
        <v>45729.4791666667</v>
      </c>
    </row>
    <row r="444" s="59" customFormat="1" spans="1:16">
      <c r="A444" s="74">
        <v>443</v>
      </c>
      <c r="B444" s="66" t="s">
        <v>67</v>
      </c>
      <c r="C444" s="67" t="s">
        <v>297</v>
      </c>
      <c r="D444" s="67" t="s">
        <v>77</v>
      </c>
      <c r="E444" s="75" t="s">
        <v>70</v>
      </c>
      <c r="F444" s="89">
        <v>46198.8822569444</v>
      </c>
      <c r="G444" s="89">
        <v>46197.8824768519</v>
      </c>
      <c r="H444" s="77" t="s">
        <v>71</v>
      </c>
      <c r="I444" s="78">
        <v>16000</v>
      </c>
      <c r="J444" s="84" t="s">
        <v>72</v>
      </c>
      <c r="K444" s="80" t="s">
        <v>73</v>
      </c>
      <c r="L444" s="89">
        <v>46185.7607060185</v>
      </c>
      <c r="M444" s="89">
        <v>46191.6531365741</v>
      </c>
      <c r="N444" s="81" t="s">
        <v>74</v>
      </c>
      <c r="O444" s="89">
        <v>46193.9167824074</v>
      </c>
      <c r="P444" s="89">
        <v>46192.9170023148</v>
      </c>
    </row>
    <row r="445" s="59" customFormat="1" spans="1:16">
      <c r="A445" s="74">
        <v>444</v>
      </c>
      <c r="B445" s="66" t="s">
        <v>67</v>
      </c>
      <c r="C445" s="67" t="s">
        <v>297</v>
      </c>
      <c r="D445" s="67" t="s">
        <v>79</v>
      </c>
      <c r="E445" s="88"/>
      <c r="F445" s="89"/>
      <c r="G445" s="89"/>
      <c r="H445" s="77" t="s">
        <v>71</v>
      </c>
      <c r="I445" s="78">
        <v>16000</v>
      </c>
      <c r="J445" s="84"/>
      <c r="K445" s="85"/>
      <c r="L445" s="89"/>
      <c r="M445" s="89"/>
    </row>
    <row r="446" s="59" customFormat="1" spans="1:16">
      <c r="A446" s="74">
        <v>445</v>
      </c>
      <c r="B446" s="66" t="s">
        <v>67</v>
      </c>
      <c r="C446" s="67" t="s">
        <v>297</v>
      </c>
      <c r="D446" s="67" t="s">
        <v>80</v>
      </c>
      <c r="E446" s="88"/>
      <c r="F446" s="89"/>
      <c r="G446" s="89"/>
      <c r="H446" s="77" t="s">
        <v>71</v>
      </c>
      <c r="I446" s="78">
        <v>16000</v>
      </c>
      <c r="J446" s="84"/>
      <c r="K446" s="85"/>
      <c r="L446" s="89"/>
      <c r="M446" s="89"/>
    </row>
    <row r="447" s="59" customFormat="1" spans="1:16">
      <c r="A447" s="74">
        <v>446</v>
      </c>
      <c r="B447" s="66" t="s">
        <v>67</v>
      </c>
      <c r="C447" s="67" t="s">
        <v>297</v>
      </c>
      <c r="D447" s="67" t="s">
        <v>81</v>
      </c>
      <c r="E447" s="88"/>
      <c r="F447" s="89"/>
      <c r="G447" s="89"/>
      <c r="H447" s="77" t="s">
        <v>71</v>
      </c>
      <c r="I447" s="78">
        <v>16000</v>
      </c>
      <c r="J447" s="84"/>
      <c r="K447" s="85"/>
      <c r="L447" s="89"/>
      <c r="M447" s="89"/>
    </row>
    <row r="448" s="59" customFormat="1" spans="1:16">
      <c r="A448" s="74">
        <v>447</v>
      </c>
      <c r="B448" s="66" t="s">
        <v>67</v>
      </c>
      <c r="C448" s="67" t="s">
        <v>297</v>
      </c>
      <c r="D448" s="67" t="s">
        <v>82</v>
      </c>
      <c r="E448" s="88"/>
      <c r="F448" s="89"/>
      <c r="G448" s="89"/>
      <c r="H448" s="77" t="s">
        <v>71</v>
      </c>
      <c r="I448" s="78">
        <v>16000</v>
      </c>
      <c r="J448" s="84"/>
      <c r="K448" s="85"/>
      <c r="L448" s="89"/>
      <c r="M448" s="89"/>
    </row>
    <row r="449" s="59" customFormat="1" spans="1:16">
      <c r="A449" s="74">
        <v>448</v>
      </c>
      <c r="B449" s="66" t="s">
        <v>67</v>
      </c>
      <c r="C449" s="67" t="s">
        <v>297</v>
      </c>
      <c r="D449" s="67" t="s">
        <v>83</v>
      </c>
      <c r="E449" s="88"/>
      <c r="F449" s="89"/>
      <c r="G449" s="89"/>
      <c r="H449" s="77" t="s">
        <v>71</v>
      </c>
      <c r="I449" s="78">
        <v>16000</v>
      </c>
      <c r="J449" s="84"/>
      <c r="K449" s="85"/>
      <c r="L449" s="89"/>
      <c r="M449" s="89"/>
    </row>
    <row r="450" s="59" customFormat="1" spans="1:16">
      <c r="A450" s="74">
        <v>449</v>
      </c>
      <c r="B450" s="66" t="s">
        <v>67</v>
      </c>
      <c r="C450" s="67" t="s">
        <v>297</v>
      </c>
      <c r="D450" s="67" t="s">
        <v>84</v>
      </c>
      <c r="E450" s="88"/>
      <c r="F450" s="89"/>
      <c r="G450" s="89"/>
      <c r="H450" s="77" t="s">
        <v>71</v>
      </c>
      <c r="I450" s="78">
        <v>16000</v>
      </c>
      <c r="J450" s="84"/>
      <c r="K450" s="85"/>
      <c r="L450" s="89"/>
      <c r="M450" s="89"/>
    </row>
    <row r="451" s="59" customFormat="1" spans="1:16">
      <c r="A451" s="74">
        <v>450</v>
      </c>
      <c r="B451" s="66" t="s">
        <v>67</v>
      </c>
      <c r="C451" s="67" t="s">
        <v>297</v>
      </c>
      <c r="D451" s="67" t="s">
        <v>85</v>
      </c>
      <c r="E451" s="88"/>
      <c r="F451" s="89"/>
      <c r="G451" s="89"/>
      <c r="H451" s="77" t="s">
        <v>71</v>
      </c>
      <c r="I451" s="78">
        <v>16000</v>
      </c>
      <c r="J451" s="84"/>
      <c r="K451" s="85"/>
      <c r="L451" s="89"/>
      <c r="M451" s="89"/>
    </row>
    <row r="452" s="59" customFormat="1" spans="1:16">
      <c r="A452" s="74">
        <v>451</v>
      </c>
      <c r="B452" s="66" t="s">
        <v>67</v>
      </c>
      <c r="C452" s="67" t="s">
        <v>297</v>
      </c>
      <c r="D452" s="67" t="s">
        <v>86</v>
      </c>
      <c r="E452" s="88"/>
      <c r="F452" s="89"/>
      <c r="G452" s="89"/>
      <c r="H452" s="77" t="s">
        <v>71</v>
      </c>
      <c r="I452" s="78">
        <v>16000</v>
      </c>
      <c r="J452" s="84"/>
      <c r="K452" s="85"/>
      <c r="L452" s="89"/>
      <c r="M452" s="89"/>
    </row>
    <row r="453" s="59" customFormat="1" spans="1:16">
      <c r="A453" s="74">
        <v>452</v>
      </c>
      <c r="B453" s="66" t="s">
        <v>67</v>
      </c>
      <c r="C453" s="67" t="s">
        <v>297</v>
      </c>
      <c r="D453" s="67" t="s">
        <v>87</v>
      </c>
      <c r="E453" s="88"/>
      <c r="F453" s="89"/>
      <c r="G453" s="89"/>
      <c r="H453" s="77" t="s">
        <v>71</v>
      </c>
      <c r="I453" s="78">
        <v>16000</v>
      </c>
      <c r="J453" s="84"/>
      <c r="K453" s="85"/>
      <c r="L453" s="89"/>
      <c r="M453" s="89"/>
    </row>
    <row r="454" s="59" customFormat="1" spans="1:16">
      <c r="A454" s="74">
        <v>453</v>
      </c>
      <c r="B454" s="66" t="s">
        <v>67</v>
      </c>
      <c r="C454" s="67" t="s">
        <v>297</v>
      </c>
      <c r="D454" s="67" t="s">
        <v>88</v>
      </c>
      <c r="E454" s="88"/>
      <c r="F454" s="89"/>
      <c r="G454" s="89"/>
      <c r="H454" s="77" t="s">
        <v>71</v>
      </c>
      <c r="I454" s="78">
        <v>16000</v>
      </c>
      <c r="J454" s="84"/>
      <c r="K454" s="85"/>
      <c r="L454" s="89"/>
      <c r="M454" s="89"/>
    </row>
    <row r="455" s="59" customFormat="1" spans="1:16">
      <c r="A455" s="74">
        <v>454</v>
      </c>
      <c r="B455" s="66" t="s">
        <v>67</v>
      </c>
      <c r="C455" s="67" t="s">
        <v>297</v>
      </c>
      <c r="D455" s="67" t="s">
        <v>89</v>
      </c>
      <c r="E455" s="80" t="s">
        <v>73</v>
      </c>
      <c r="F455" s="89">
        <v>45791.6002199074</v>
      </c>
      <c r="G455" s="89">
        <v>45794.75</v>
      </c>
      <c r="H455" s="77" t="s">
        <v>71</v>
      </c>
      <c r="I455" s="78">
        <v>16000</v>
      </c>
      <c r="J455" s="84" t="s">
        <v>72</v>
      </c>
      <c r="K455" s="85"/>
      <c r="L455" s="89"/>
      <c r="M455" s="89"/>
    </row>
    <row r="456" s="59" customFormat="1" spans="1:16">
      <c r="A456" s="74">
        <v>455</v>
      </c>
      <c r="B456" s="66" t="s">
        <v>67</v>
      </c>
      <c r="C456" s="67" t="s">
        <v>297</v>
      </c>
      <c r="D456" s="67" t="s">
        <v>90</v>
      </c>
      <c r="E456" s="80" t="s">
        <v>73</v>
      </c>
      <c r="F456" s="89">
        <v>45791.6002199074</v>
      </c>
      <c r="G456" s="89">
        <v>45794.75</v>
      </c>
      <c r="H456" s="77" t="s">
        <v>71</v>
      </c>
      <c r="I456" s="78">
        <v>16000</v>
      </c>
      <c r="J456" s="84" t="s">
        <v>72</v>
      </c>
      <c r="K456" s="85"/>
      <c r="L456" s="89"/>
      <c r="M456" s="89"/>
    </row>
    <row r="457" s="59" customFormat="1" spans="1:16">
      <c r="A457" s="74">
        <v>456</v>
      </c>
      <c r="B457" s="66" t="s">
        <v>67</v>
      </c>
      <c r="C457" s="67" t="s">
        <v>297</v>
      </c>
      <c r="D457" s="67" t="s">
        <v>97</v>
      </c>
      <c r="E457" s="75" t="s">
        <v>70</v>
      </c>
      <c r="F457" s="89">
        <v>46198.8822569444</v>
      </c>
      <c r="G457" s="89">
        <v>46197.8824768519</v>
      </c>
      <c r="H457" s="77" t="s">
        <v>71</v>
      </c>
      <c r="I457" s="78">
        <v>16000</v>
      </c>
      <c r="J457" s="84" t="s">
        <v>72</v>
      </c>
      <c r="K457" s="80" t="s">
        <v>73</v>
      </c>
      <c r="L457" s="89">
        <v>46185.7607060185</v>
      </c>
      <c r="M457" s="89">
        <v>46191.6532291667</v>
      </c>
      <c r="N457" s="81" t="s">
        <v>74</v>
      </c>
      <c r="O457" s="89">
        <v>46193.9167824074</v>
      </c>
      <c r="P457" s="89">
        <v>46192.9170023148</v>
      </c>
    </row>
    <row r="458" s="59" customFormat="1" spans="1:16">
      <c r="A458" s="74">
        <v>457</v>
      </c>
      <c r="B458" s="66" t="s">
        <v>67</v>
      </c>
      <c r="C458" s="67" t="s">
        <v>297</v>
      </c>
      <c r="D458" s="67" t="s">
        <v>98</v>
      </c>
      <c r="E458" s="88"/>
      <c r="F458" s="89"/>
      <c r="G458" s="89"/>
      <c r="H458" s="77" t="s">
        <v>71</v>
      </c>
      <c r="I458" s="78">
        <v>16000</v>
      </c>
      <c r="J458" s="84"/>
      <c r="K458" s="85"/>
      <c r="L458" s="89"/>
      <c r="M458" s="89"/>
    </row>
    <row r="459" s="59" customFormat="1" spans="1:16">
      <c r="A459" s="74">
        <v>458</v>
      </c>
      <c r="B459" s="66" t="s">
        <v>67</v>
      </c>
      <c r="C459" s="67" t="s">
        <v>297</v>
      </c>
      <c r="D459" s="67" t="s">
        <v>99</v>
      </c>
      <c r="E459" s="88"/>
      <c r="F459" s="89"/>
      <c r="G459" s="89"/>
      <c r="H459" s="77" t="s">
        <v>71</v>
      </c>
      <c r="I459" s="78">
        <v>16000</v>
      </c>
      <c r="J459" s="84"/>
      <c r="K459" s="85"/>
      <c r="L459" s="89"/>
      <c r="M459" s="89"/>
    </row>
    <row r="460" s="59" customFormat="1" spans="1:16">
      <c r="A460" s="74">
        <v>459</v>
      </c>
      <c r="B460" s="66" t="s">
        <v>67</v>
      </c>
      <c r="C460" s="67" t="s">
        <v>297</v>
      </c>
      <c r="D460" s="67" t="s">
        <v>100</v>
      </c>
      <c r="E460" s="88"/>
      <c r="F460" s="89"/>
      <c r="G460" s="89"/>
      <c r="H460" s="77" t="s">
        <v>71</v>
      </c>
      <c r="I460" s="78">
        <v>16000</v>
      </c>
      <c r="J460" s="84"/>
      <c r="K460" s="85"/>
      <c r="L460" s="89"/>
      <c r="M460" s="89"/>
    </row>
    <row r="461" s="59" customFormat="1" spans="1:16">
      <c r="A461" s="74">
        <v>460</v>
      </c>
      <c r="B461" s="66" t="s">
        <v>67</v>
      </c>
      <c r="C461" s="67" t="s">
        <v>297</v>
      </c>
      <c r="D461" s="67" t="s">
        <v>101</v>
      </c>
      <c r="E461" s="88"/>
      <c r="F461" s="89"/>
      <c r="G461" s="89"/>
      <c r="H461" s="77" t="s">
        <v>71</v>
      </c>
      <c r="I461" s="78">
        <v>16000</v>
      </c>
      <c r="J461" s="84"/>
      <c r="K461" s="85"/>
      <c r="L461" s="89"/>
      <c r="M461" s="89"/>
    </row>
    <row r="462" s="59" customFormat="1" spans="1:16">
      <c r="A462" s="74">
        <v>461</v>
      </c>
      <c r="B462" s="66" t="s">
        <v>67</v>
      </c>
      <c r="C462" s="67" t="s">
        <v>297</v>
      </c>
      <c r="D462" s="67" t="s">
        <v>102</v>
      </c>
      <c r="E462" s="88"/>
      <c r="F462" s="89"/>
      <c r="G462" s="89"/>
      <c r="H462" s="77" t="s">
        <v>71</v>
      </c>
      <c r="I462" s="78">
        <v>16000</v>
      </c>
      <c r="J462" s="84"/>
      <c r="K462" s="85"/>
      <c r="L462" s="89"/>
      <c r="M462" s="89"/>
    </row>
    <row r="463" s="59" customFormat="1" spans="1:16">
      <c r="A463" s="74">
        <v>462</v>
      </c>
      <c r="B463" s="66" t="s">
        <v>67</v>
      </c>
      <c r="C463" s="67" t="s">
        <v>297</v>
      </c>
      <c r="D463" s="67" t="s">
        <v>103</v>
      </c>
      <c r="E463" s="88"/>
      <c r="F463" s="89"/>
      <c r="G463" s="89"/>
      <c r="H463" s="77" t="s">
        <v>71</v>
      </c>
      <c r="I463" s="78">
        <v>16000</v>
      </c>
      <c r="J463" s="84"/>
      <c r="K463" s="85"/>
      <c r="L463" s="89"/>
      <c r="M463" s="89"/>
    </row>
    <row r="464" s="59" customFormat="1" spans="1:16">
      <c r="A464" s="74">
        <v>463</v>
      </c>
      <c r="B464" s="66" t="s">
        <v>67</v>
      </c>
      <c r="C464" s="67" t="s">
        <v>297</v>
      </c>
      <c r="D464" s="67" t="s">
        <v>104</v>
      </c>
      <c r="E464" s="88"/>
      <c r="F464" s="89"/>
      <c r="G464" s="89"/>
      <c r="H464" s="77" t="s">
        <v>71</v>
      </c>
      <c r="I464" s="78">
        <v>16000</v>
      </c>
      <c r="J464" s="84"/>
      <c r="K464" s="85"/>
      <c r="L464" s="89"/>
      <c r="M464" s="89"/>
    </row>
    <row r="465" s="59" customFormat="1" spans="1:16">
      <c r="A465" s="74">
        <v>464</v>
      </c>
      <c r="B465" s="66" t="s">
        <v>67</v>
      </c>
      <c r="C465" s="67" t="s">
        <v>297</v>
      </c>
      <c r="D465" s="67" t="s">
        <v>105</v>
      </c>
      <c r="E465" s="88"/>
      <c r="F465" s="89"/>
      <c r="G465" s="89"/>
      <c r="H465" s="77" t="s">
        <v>71</v>
      </c>
      <c r="I465" s="78">
        <v>16000</v>
      </c>
      <c r="J465" s="84"/>
      <c r="K465" s="85"/>
      <c r="L465" s="89"/>
      <c r="M465" s="89"/>
    </row>
    <row r="466" s="59" customFormat="1" spans="1:16">
      <c r="A466" s="74">
        <v>465</v>
      </c>
      <c r="B466" s="66" t="s">
        <v>67</v>
      </c>
      <c r="C466" s="67" t="s">
        <v>297</v>
      </c>
      <c r="D466" s="67" t="s">
        <v>106</v>
      </c>
      <c r="E466" s="88"/>
      <c r="F466" s="89"/>
      <c r="G466" s="89"/>
      <c r="H466" s="77" t="s">
        <v>71</v>
      </c>
      <c r="I466" s="78">
        <v>16000</v>
      </c>
      <c r="J466" s="84"/>
      <c r="K466" s="85"/>
      <c r="L466" s="89"/>
      <c r="M466" s="89"/>
    </row>
    <row r="467" s="59" customFormat="1" spans="1:16">
      <c r="A467" s="74">
        <v>466</v>
      </c>
      <c r="B467" s="66" t="s">
        <v>67</v>
      </c>
      <c r="C467" s="67" t="s">
        <v>297</v>
      </c>
      <c r="D467" s="67" t="s">
        <v>107</v>
      </c>
      <c r="E467" s="88"/>
      <c r="F467" s="89"/>
      <c r="G467" s="89"/>
      <c r="H467" s="77" t="s">
        <v>71</v>
      </c>
      <c r="I467" s="78">
        <v>16000</v>
      </c>
      <c r="J467" s="84"/>
      <c r="K467" s="85"/>
      <c r="L467" s="89"/>
      <c r="M467" s="89"/>
    </row>
    <row r="468" s="59" customFormat="1" spans="1:16">
      <c r="A468" s="74">
        <v>467</v>
      </c>
      <c r="B468" s="66" t="s">
        <v>67</v>
      </c>
      <c r="C468" s="67" t="s">
        <v>297</v>
      </c>
      <c r="D468" s="67" t="s">
        <v>108</v>
      </c>
      <c r="E468" s="88"/>
      <c r="F468" s="89"/>
      <c r="G468" s="89"/>
      <c r="H468" s="77" t="s">
        <v>71</v>
      </c>
      <c r="I468" s="78">
        <v>16000</v>
      </c>
      <c r="J468" s="84"/>
      <c r="K468" s="85"/>
      <c r="L468" s="89"/>
      <c r="M468" s="89"/>
    </row>
    <row r="469" s="59" customFormat="1" spans="1:16">
      <c r="A469" s="74">
        <v>468</v>
      </c>
      <c r="B469" s="66" t="s">
        <v>67</v>
      </c>
      <c r="C469" s="67" t="s">
        <v>297</v>
      </c>
      <c r="D469" s="67" t="s">
        <v>109</v>
      </c>
      <c r="E469" s="88"/>
      <c r="F469" s="89"/>
      <c r="G469" s="89"/>
      <c r="H469" s="77" t="s">
        <v>71</v>
      </c>
      <c r="I469" s="78">
        <v>16000</v>
      </c>
      <c r="K469" s="85"/>
      <c r="L469" s="86"/>
      <c r="M469" s="87"/>
    </row>
    <row r="470" s="59" customFormat="1" spans="1:16">
      <c r="A470" s="74">
        <v>469</v>
      </c>
      <c r="B470" s="66" t="s">
        <v>67</v>
      </c>
      <c r="C470" s="67" t="s">
        <v>297</v>
      </c>
      <c r="D470" s="67" t="s">
        <v>110</v>
      </c>
      <c r="E470" s="88"/>
      <c r="F470" s="89"/>
      <c r="G470" s="89"/>
      <c r="H470" s="77" t="s">
        <v>71</v>
      </c>
      <c r="I470" s="78">
        <v>16000</v>
      </c>
      <c r="K470" s="85"/>
      <c r="L470" s="86"/>
      <c r="M470" s="87"/>
    </row>
    <row r="471" s="59" customFormat="1" spans="1:16">
      <c r="A471" s="74">
        <v>470</v>
      </c>
      <c r="B471" s="66" t="s">
        <v>67</v>
      </c>
      <c r="C471" s="67" t="s">
        <v>297</v>
      </c>
      <c r="D471" s="67" t="s">
        <v>111</v>
      </c>
      <c r="E471" s="80" t="s">
        <v>73</v>
      </c>
      <c r="F471" s="89" t="s">
        <v>298</v>
      </c>
      <c r="G471" s="89" t="s">
        <v>299</v>
      </c>
      <c r="H471" s="77" t="s">
        <v>71</v>
      </c>
      <c r="I471" s="78">
        <v>16000</v>
      </c>
      <c r="J471" s="84" t="s">
        <v>72</v>
      </c>
      <c r="K471" s="85"/>
      <c r="L471" s="86"/>
      <c r="M471" s="87"/>
    </row>
    <row r="472" s="59" customFormat="1" spans="1:16">
      <c r="A472" s="74">
        <v>471</v>
      </c>
      <c r="B472" s="66" t="s">
        <v>67</v>
      </c>
      <c r="C472" s="67" t="s">
        <v>297</v>
      </c>
      <c r="D472" s="67" t="s">
        <v>112</v>
      </c>
      <c r="E472" s="80" t="s">
        <v>73</v>
      </c>
      <c r="F472" s="89">
        <v>45791.6002199074</v>
      </c>
      <c r="G472" s="89">
        <v>45794.75</v>
      </c>
      <c r="H472" s="77" t="s">
        <v>71</v>
      </c>
      <c r="I472" s="78">
        <v>16000</v>
      </c>
      <c r="J472" s="84" t="s">
        <v>72</v>
      </c>
      <c r="K472" s="85"/>
      <c r="L472" s="89"/>
      <c r="M472" s="89"/>
    </row>
    <row r="473" s="59" customFormat="1" spans="1:16">
      <c r="A473" s="74">
        <v>472</v>
      </c>
      <c r="B473" s="66" t="s">
        <v>67</v>
      </c>
      <c r="C473" s="67" t="s">
        <v>297</v>
      </c>
      <c r="D473" s="67" t="s">
        <v>113</v>
      </c>
      <c r="E473" s="80" t="s">
        <v>73</v>
      </c>
      <c r="F473" s="89">
        <v>45791.6002199074</v>
      </c>
      <c r="G473" s="89">
        <v>45794.75</v>
      </c>
      <c r="H473" s="77" t="s">
        <v>71</v>
      </c>
      <c r="I473" s="78">
        <v>16000</v>
      </c>
      <c r="J473" s="84" t="s">
        <v>72</v>
      </c>
      <c r="K473" s="85"/>
      <c r="L473" s="89"/>
      <c r="M473" s="89"/>
    </row>
    <row r="474" s="59" customFormat="1" spans="1:16">
      <c r="A474" s="74">
        <v>473</v>
      </c>
      <c r="B474" s="66" t="s">
        <v>67</v>
      </c>
      <c r="C474" s="67" t="s">
        <v>297</v>
      </c>
      <c r="D474" s="59" t="s">
        <v>120</v>
      </c>
      <c r="E474" s="75" t="s">
        <v>70</v>
      </c>
      <c r="F474" s="89">
        <v>46198.8822569444</v>
      </c>
      <c r="G474" s="89">
        <v>46197.8824768519</v>
      </c>
      <c r="H474" s="77" t="s">
        <v>71</v>
      </c>
      <c r="I474" s="78">
        <v>16000</v>
      </c>
      <c r="J474" s="84" t="s">
        <v>72</v>
      </c>
      <c r="K474" s="80" t="s">
        <v>73</v>
      </c>
      <c r="L474" s="89">
        <v>46185.7607060185</v>
      </c>
      <c r="M474" s="89">
        <v>46191.6587847222</v>
      </c>
      <c r="N474" s="81" t="s">
        <v>74</v>
      </c>
      <c r="O474" s="89">
        <v>46193.9167824074</v>
      </c>
      <c r="P474" s="89">
        <v>46192.9170023148</v>
      </c>
    </row>
    <row r="475" s="59" customFormat="1" spans="1:16">
      <c r="A475" s="74">
        <v>474</v>
      </c>
      <c r="B475" s="66" t="s">
        <v>67</v>
      </c>
      <c r="C475" s="67" t="s">
        <v>297</v>
      </c>
      <c r="D475" s="59" t="s">
        <v>121</v>
      </c>
      <c r="E475" s="80" t="s">
        <v>73</v>
      </c>
      <c r="F475" s="76">
        <v>46259.4509837963</v>
      </c>
      <c r="G475" s="76">
        <v>46261.4751273148</v>
      </c>
      <c r="H475" s="77" t="s">
        <v>71</v>
      </c>
      <c r="I475" s="78">
        <v>16000</v>
      </c>
      <c r="J475" s="84" t="s">
        <v>72</v>
      </c>
      <c r="K475" s="85"/>
      <c r="L475" s="89"/>
      <c r="M475" s="89"/>
    </row>
    <row r="476" s="59" customFormat="1" spans="1:16">
      <c r="A476" s="74">
        <v>475</v>
      </c>
      <c r="B476" s="66" t="s">
        <v>67</v>
      </c>
      <c r="C476" s="67" t="s">
        <v>297</v>
      </c>
      <c r="D476" s="59" t="s">
        <v>122</v>
      </c>
      <c r="E476" s="88"/>
      <c r="F476" s="89"/>
      <c r="G476" s="89"/>
      <c r="H476" s="77" t="s">
        <v>71</v>
      </c>
      <c r="I476" s="78">
        <v>16000</v>
      </c>
      <c r="J476" s="84"/>
      <c r="K476" s="85"/>
      <c r="L476" s="89"/>
      <c r="M476" s="89"/>
    </row>
    <row r="477" s="59" customFormat="1" spans="1:16">
      <c r="A477" s="74">
        <v>476</v>
      </c>
      <c r="B477" s="66" t="s">
        <v>67</v>
      </c>
      <c r="C477" s="67" t="s">
        <v>297</v>
      </c>
      <c r="D477" s="59" t="s">
        <v>123</v>
      </c>
      <c r="E477" s="88"/>
      <c r="F477" s="89"/>
      <c r="G477" s="89"/>
      <c r="H477" s="77" t="s">
        <v>71</v>
      </c>
      <c r="I477" s="78">
        <v>16000</v>
      </c>
      <c r="J477" s="84"/>
      <c r="K477" s="85"/>
      <c r="L477" s="89"/>
      <c r="M477" s="89"/>
    </row>
    <row r="478" s="59" customFormat="1" spans="1:16">
      <c r="A478" s="74">
        <v>477</v>
      </c>
      <c r="B478" s="66" t="s">
        <v>67</v>
      </c>
      <c r="C478" s="67" t="s">
        <v>297</v>
      </c>
      <c r="D478" s="59" t="s">
        <v>124</v>
      </c>
      <c r="E478" s="88"/>
      <c r="F478" s="89"/>
      <c r="G478" s="89"/>
      <c r="H478" s="77" t="s">
        <v>71</v>
      </c>
      <c r="I478" s="78">
        <v>16000</v>
      </c>
      <c r="K478" s="85"/>
      <c r="L478" s="86"/>
      <c r="M478" s="87"/>
    </row>
    <row r="479" s="59" customFormat="1" spans="1:16">
      <c r="A479" s="74">
        <v>478</v>
      </c>
      <c r="B479" s="66" t="s">
        <v>67</v>
      </c>
      <c r="C479" s="67" t="s">
        <v>297</v>
      </c>
      <c r="D479" s="59" t="s">
        <v>125</v>
      </c>
      <c r="E479" s="88"/>
      <c r="F479" s="89"/>
      <c r="G479" s="89"/>
      <c r="H479" s="77" t="s">
        <v>71</v>
      </c>
      <c r="I479" s="78">
        <v>16000</v>
      </c>
      <c r="K479" s="85"/>
      <c r="L479" s="86"/>
      <c r="M479" s="87"/>
    </row>
    <row r="480" s="59" customFormat="1" spans="1:16">
      <c r="A480" s="74">
        <v>479</v>
      </c>
      <c r="B480" s="66" t="s">
        <v>67</v>
      </c>
      <c r="C480" s="67" t="s">
        <v>297</v>
      </c>
      <c r="D480" s="59" t="s">
        <v>126</v>
      </c>
      <c r="E480" s="88"/>
      <c r="F480" s="89"/>
      <c r="G480" s="89"/>
      <c r="H480" s="77" t="s">
        <v>71</v>
      </c>
      <c r="I480" s="78">
        <v>16000</v>
      </c>
      <c r="K480" s="85"/>
      <c r="L480" s="86"/>
      <c r="M480" s="87"/>
    </row>
    <row r="481" s="59" customFormat="1" spans="1:16">
      <c r="A481" s="74">
        <v>480</v>
      </c>
      <c r="B481" s="66" t="s">
        <v>67</v>
      </c>
      <c r="C481" s="67" t="s">
        <v>297</v>
      </c>
      <c r="D481" s="59" t="s">
        <v>127</v>
      </c>
      <c r="E481" s="88"/>
      <c r="F481" s="89"/>
      <c r="G481" s="89"/>
      <c r="H481" s="77" t="s">
        <v>71</v>
      </c>
      <c r="I481" s="78">
        <v>16000</v>
      </c>
      <c r="K481" s="85"/>
      <c r="L481" s="86"/>
      <c r="M481" s="87"/>
    </row>
    <row r="482" s="59" customFormat="1" spans="1:16">
      <c r="A482" s="74">
        <v>481</v>
      </c>
      <c r="B482" s="66" t="s">
        <v>67</v>
      </c>
      <c r="C482" s="67" t="s">
        <v>297</v>
      </c>
      <c r="D482" s="59" t="s">
        <v>128</v>
      </c>
      <c r="E482" s="88"/>
      <c r="F482" s="89"/>
      <c r="G482" s="89"/>
      <c r="H482" s="77" t="s">
        <v>71</v>
      </c>
      <c r="I482" s="78">
        <v>16000</v>
      </c>
      <c r="J482" s="84"/>
      <c r="K482" s="85"/>
      <c r="L482" s="89"/>
      <c r="M482" s="89"/>
    </row>
    <row r="483" s="59" customFormat="1" spans="1:16">
      <c r="A483" s="74">
        <v>482</v>
      </c>
      <c r="B483" s="66" t="s">
        <v>67</v>
      </c>
      <c r="C483" s="67" t="s">
        <v>297</v>
      </c>
      <c r="D483" s="59" t="s">
        <v>129</v>
      </c>
      <c r="E483" s="88"/>
      <c r="F483" s="89"/>
      <c r="G483" s="89"/>
      <c r="H483" s="77" t="s">
        <v>71</v>
      </c>
      <c r="I483" s="78">
        <v>16000</v>
      </c>
      <c r="J483" s="84"/>
      <c r="K483" s="85"/>
      <c r="L483" s="89"/>
      <c r="M483" s="89"/>
    </row>
    <row r="484" s="59" customFormat="1" spans="1:16">
      <c r="A484" s="74">
        <v>483</v>
      </c>
      <c r="B484" s="66" t="s">
        <v>67</v>
      </c>
      <c r="C484" s="67" t="s">
        <v>297</v>
      </c>
      <c r="D484" s="59" t="s">
        <v>130</v>
      </c>
      <c r="E484" s="88"/>
      <c r="F484" s="89"/>
      <c r="G484" s="89"/>
      <c r="H484" s="77" t="s">
        <v>71</v>
      </c>
      <c r="I484" s="78">
        <v>16000</v>
      </c>
      <c r="J484" s="84"/>
      <c r="K484" s="85"/>
      <c r="L484" s="89"/>
      <c r="M484" s="89"/>
    </row>
    <row r="485" s="59" customFormat="1" spans="1:16">
      <c r="A485" s="74">
        <v>484</v>
      </c>
      <c r="B485" s="66" t="s">
        <v>67</v>
      </c>
      <c r="C485" s="67" t="s">
        <v>297</v>
      </c>
      <c r="D485" s="59" t="s">
        <v>131</v>
      </c>
      <c r="E485" s="88"/>
      <c r="F485" s="89"/>
      <c r="G485" s="89"/>
      <c r="H485" s="77" t="s">
        <v>71</v>
      </c>
      <c r="I485" s="78">
        <v>16000</v>
      </c>
      <c r="J485" s="84"/>
      <c r="K485" s="85"/>
      <c r="L485" s="89"/>
      <c r="M485" s="89"/>
    </row>
    <row r="486" s="59" customFormat="1" spans="1:16">
      <c r="A486" s="74">
        <v>485</v>
      </c>
      <c r="B486" s="66" t="s">
        <v>67</v>
      </c>
      <c r="C486" s="67" t="s">
        <v>297</v>
      </c>
      <c r="D486" s="59" t="s">
        <v>132</v>
      </c>
      <c r="E486" s="88"/>
      <c r="F486" s="89"/>
      <c r="G486" s="89"/>
      <c r="H486" s="77" t="s">
        <v>71</v>
      </c>
      <c r="I486" s="78">
        <v>16000</v>
      </c>
      <c r="J486" s="84"/>
      <c r="K486" s="85"/>
      <c r="L486" s="89"/>
      <c r="M486" s="89"/>
    </row>
    <row r="487" s="59" customFormat="1" spans="1:16">
      <c r="A487" s="74">
        <v>486</v>
      </c>
      <c r="B487" s="66" t="s">
        <v>67</v>
      </c>
      <c r="C487" s="67" t="s">
        <v>297</v>
      </c>
      <c r="D487" s="59" t="s">
        <v>133</v>
      </c>
      <c r="E487" s="88"/>
      <c r="F487" s="89"/>
      <c r="G487" s="89"/>
      <c r="H487" s="77" t="s">
        <v>71</v>
      </c>
      <c r="I487" s="78">
        <v>16000</v>
      </c>
      <c r="J487" s="84"/>
      <c r="K487" s="85"/>
      <c r="L487" s="89"/>
      <c r="M487" s="89"/>
    </row>
    <row r="488" s="59" customFormat="1" spans="1:16">
      <c r="A488" s="74">
        <v>487</v>
      </c>
      <c r="B488" s="66" t="s">
        <v>67</v>
      </c>
      <c r="C488" s="67" t="s">
        <v>297</v>
      </c>
      <c r="D488" s="59" t="s">
        <v>134</v>
      </c>
      <c r="E488" s="88"/>
      <c r="F488" s="89"/>
      <c r="G488" s="89"/>
      <c r="H488" s="77" t="s">
        <v>71</v>
      </c>
      <c r="I488" s="78">
        <v>16000</v>
      </c>
      <c r="J488" s="84"/>
      <c r="K488" s="85"/>
      <c r="L488" s="89"/>
      <c r="M488" s="89"/>
    </row>
    <row r="489" s="59" customFormat="1" spans="1:16">
      <c r="A489" s="74">
        <v>488</v>
      </c>
      <c r="B489" s="66" t="s">
        <v>67</v>
      </c>
      <c r="C489" s="67" t="s">
        <v>297</v>
      </c>
      <c r="D489" s="59" t="s">
        <v>141</v>
      </c>
      <c r="E489" s="75" t="s">
        <v>70</v>
      </c>
      <c r="F489" s="89">
        <v>46198.8822569444</v>
      </c>
      <c r="G489" s="89">
        <v>46197.8824768519</v>
      </c>
      <c r="H489" s="77" t="s">
        <v>71</v>
      </c>
      <c r="I489" s="78">
        <v>16000</v>
      </c>
      <c r="J489" s="84" t="s">
        <v>72</v>
      </c>
      <c r="K489" s="80" t="s">
        <v>73</v>
      </c>
      <c r="L489" s="89">
        <v>46185.7607638889</v>
      </c>
      <c r="M489" s="89">
        <v>46191.6588425926</v>
      </c>
      <c r="N489" s="81" t="s">
        <v>74</v>
      </c>
      <c r="O489" s="89">
        <v>46193.9167824074</v>
      </c>
      <c r="P489" s="89">
        <v>46192.9170023148</v>
      </c>
    </row>
    <row r="490" s="59" customFormat="1" spans="1:16">
      <c r="A490" s="74">
        <v>489</v>
      </c>
      <c r="B490" s="66" t="s">
        <v>67</v>
      </c>
      <c r="C490" s="67" t="s">
        <v>297</v>
      </c>
      <c r="D490" s="59" t="s">
        <v>142</v>
      </c>
      <c r="E490" s="88"/>
      <c r="F490" s="89"/>
      <c r="G490" s="89"/>
      <c r="H490" s="77" t="s">
        <v>71</v>
      </c>
      <c r="I490" s="78">
        <v>16000</v>
      </c>
      <c r="J490" s="84"/>
      <c r="K490" s="85"/>
      <c r="L490" s="89"/>
      <c r="M490" s="89"/>
    </row>
    <row r="491" s="59" customFormat="1" spans="1:16">
      <c r="A491" s="74">
        <v>490</v>
      </c>
      <c r="B491" s="66" t="s">
        <v>67</v>
      </c>
      <c r="C491" s="67" t="s">
        <v>297</v>
      </c>
      <c r="D491" s="59" t="s">
        <v>143</v>
      </c>
      <c r="E491" s="88"/>
      <c r="F491" s="89"/>
      <c r="G491" s="89"/>
      <c r="H491" s="77" t="s">
        <v>71</v>
      </c>
      <c r="I491" s="78">
        <v>16000</v>
      </c>
      <c r="K491" s="85"/>
      <c r="L491" s="86"/>
      <c r="M491" s="87"/>
    </row>
    <row r="492" s="59" customFormat="1" spans="1:16">
      <c r="A492" s="74">
        <v>491</v>
      </c>
      <c r="B492" s="66" t="s">
        <v>67</v>
      </c>
      <c r="C492" s="67" t="s">
        <v>297</v>
      </c>
      <c r="D492" s="59" t="s">
        <v>144</v>
      </c>
      <c r="E492" s="88"/>
      <c r="F492" s="89"/>
      <c r="G492" s="89"/>
      <c r="H492" s="77" t="s">
        <v>71</v>
      </c>
      <c r="I492" s="78">
        <v>16000</v>
      </c>
      <c r="K492" s="85"/>
      <c r="L492" s="86"/>
      <c r="M492" s="87"/>
    </row>
    <row r="493" s="59" customFormat="1" spans="1:16">
      <c r="A493" s="74">
        <v>492</v>
      </c>
      <c r="B493" s="66" t="s">
        <v>67</v>
      </c>
      <c r="C493" s="67" t="s">
        <v>297</v>
      </c>
      <c r="D493" s="59" t="s">
        <v>145</v>
      </c>
      <c r="E493" s="88"/>
      <c r="F493" s="89"/>
      <c r="G493" s="89"/>
      <c r="H493" s="77" t="s">
        <v>71</v>
      </c>
      <c r="I493" s="78">
        <v>16000</v>
      </c>
      <c r="K493" s="85"/>
      <c r="L493" s="86"/>
      <c r="M493" s="87"/>
    </row>
    <row r="494" s="59" customFormat="1" spans="1:16">
      <c r="A494" s="74">
        <v>493</v>
      </c>
      <c r="B494" s="66" t="s">
        <v>67</v>
      </c>
      <c r="C494" s="67" t="s">
        <v>297</v>
      </c>
      <c r="D494" s="59" t="s">
        <v>146</v>
      </c>
      <c r="E494" s="88"/>
      <c r="F494" s="89"/>
      <c r="G494" s="89"/>
      <c r="H494" s="77" t="s">
        <v>71</v>
      </c>
      <c r="I494" s="78">
        <v>16000</v>
      </c>
      <c r="J494" s="84"/>
      <c r="K494" s="85"/>
      <c r="L494" s="89"/>
      <c r="M494" s="89"/>
    </row>
    <row r="495" s="59" customFormat="1" spans="1:16">
      <c r="A495" s="74">
        <v>494</v>
      </c>
      <c r="B495" s="66" t="s">
        <v>67</v>
      </c>
      <c r="C495" s="67" t="s">
        <v>297</v>
      </c>
      <c r="D495" s="59" t="s">
        <v>147</v>
      </c>
      <c r="E495" s="88"/>
      <c r="F495" s="89"/>
      <c r="G495" s="89"/>
      <c r="H495" s="77" t="s">
        <v>71</v>
      </c>
      <c r="I495" s="78">
        <v>16000</v>
      </c>
      <c r="J495" s="84"/>
      <c r="K495" s="85"/>
      <c r="L495" s="89"/>
      <c r="M495" s="89"/>
    </row>
    <row r="496" s="59" customFormat="1" spans="1:16">
      <c r="A496" s="74">
        <v>495</v>
      </c>
      <c r="B496" s="66" t="s">
        <v>67</v>
      </c>
      <c r="C496" s="67" t="s">
        <v>297</v>
      </c>
      <c r="D496" s="59" t="s">
        <v>148</v>
      </c>
      <c r="E496" s="88"/>
      <c r="F496" s="89"/>
      <c r="G496" s="89"/>
      <c r="H496" s="77" t="s">
        <v>71</v>
      </c>
      <c r="I496" s="78">
        <v>16000</v>
      </c>
      <c r="J496" s="84"/>
      <c r="K496" s="85"/>
      <c r="L496" s="89"/>
      <c r="M496" s="89"/>
    </row>
    <row r="497" s="59" customFormat="1" spans="1:19">
      <c r="A497" s="74">
        <v>496</v>
      </c>
      <c r="B497" s="66" t="s">
        <v>67</v>
      </c>
      <c r="C497" s="67" t="s">
        <v>297</v>
      </c>
      <c r="D497" s="59" t="s">
        <v>149</v>
      </c>
      <c r="E497" s="88"/>
      <c r="F497" s="89"/>
      <c r="G497" s="89"/>
      <c r="H497" s="77" t="s">
        <v>71</v>
      </c>
      <c r="I497" s="78">
        <v>16000</v>
      </c>
      <c r="J497" s="84"/>
      <c r="K497" s="85"/>
      <c r="L497" s="89"/>
      <c r="M497" s="89"/>
    </row>
    <row r="498" s="59" customFormat="1" spans="1:19">
      <c r="A498" s="74">
        <v>497</v>
      </c>
      <c r="B498" s="66" t="s">
        <v>67</v>
      </c>
      <c r="C498" s="67" t="s">
        <v>297</v>
      </c>
      <c r="D498" s="59" t="s">
        <v>150</v>
      </c>
      <c r="E498" s="88"/>
      <c r="F498" s="89"/>
      <c r="G498" s="89"/>
      <c r="H498" s="77" t="s">
        <v>71</v>
      </c>
      <c r="I498" s="78">
        <v>16000</v>
      </c>
      <c r="J498" s="84"/>
      <c r="K498" s="85"/>
      <c r="L498" s="89"/>
      <c r="M498" s="89"/>
    </row>
    <row r="499" s="59" customFormat="1" spans="1:19">
      <c r="A499" s="74">
        <v>498</v>
      </c>
      <c r="B499" s="66" t="s">
        <v>67</v>
      </c>
      <c r="C499" s="67" t="s">
        <v>297</v>
      </c>
      <c r="D499" s="59" t="s">
        <v>151</v>
      </c>
      <c r="E499" s="88"/>
      <c r="F499" s="89"/>
      <c r="G499" s="89"/>
      <c r="H499" s="77" t="s">
        <v>71</v>
      </c>
      <c r="I499" s="78">
        <v>16000</v>
      </c>
      <c r="J499" s="84"/>
      <c r="K499" s="85"/>
      <c r="L499" s="89"/>
      <c r="M499" s="89"/>
    </row>
    <row r="500" s="59" customFormat="1" spans="1:19">
      <c r="A500" s="74">
        <v>499</v>
      </c>
      <c r="B500" s="66" t="s">
        <v>67</v>
      </c>
      <c r="C500" s="67" t="s">
        <v>297</v>
      </c>
      <c r="D500" s="59" t="s">
        <v>152</v>
      </c>
      <c r="E500" s="88"/>
      <c r="F500" s="89"/>
      <c r="G500" s="89"/>
      <c r="H500" s="77" t="s">
        <v>71</v>
      </c>
      <c r="I500" s="78">
        <v>16000</v>
      </c>
      <c r="J500" s="84"/>
      <c r="K500" s="85"/>
      <c r="L500" s="89"/>
      <c r="M500" s="89"/>
    </row>
    <row r="501" s="59" customFormat="1" spans="1:19">
      <c r="A501" s="74">
        <v>500</v>
      </c>
      <c r="B501" s="66" t="s">
        <v>67</v>
      </c>
      <c r="C501" s="67" t="s">
        <v>297</v>
      </c>
      <c r="D501" s="59" t="s">
        <v>153</v>
      </c>
      <c r="E501" s="88"/>
      <c r="F501" s="89"/>
      <c r="G501" s="89"/>
      <c r="H501" s="77" t="s">
        <v>71</v>
      </c>
      <c r="I501" s="78">
        <v>16000</v>
      </c>
      <c r="J501" s="84"/>
      <c r="K501" s="85"/>
      <c r="L501" s="89"/>
      <c r="M501" s="89"/>
    </row>
    <row r="502" s="59" customFormat="1" spans="1:19">
      <c r="A502" s="74">
        <v>501</v>
      </c>
      <c r="B502" s="66" t="s">
        <v>67</v>
      </c>
      <c r="C502" s="67" t="s">
        <v>297</v>
      </c>
      <c r="D502" s="59" t="s">
        <v>154</v>
      </c>
      <c r="E502" s="88"/>
      <c r="F502" s="89"/>
      <c r="G502" s="89"/>
      <c r="H502" s="77" t="s">
        <v>71</v>
      </c>
      <c r="I502" s="78">
        <v>16000</v>
      </c>
      <c r="J502" s="84"/>
      <c r="K502" s="85"/>
      <c r="L502" s="89"/>
      <c r="M502" s="89"/>
    </row>
    <row r="503" s="59" customFormat="1" spans="1:19">
      <c r="A503" s="74">
        <v>502</v>
      </c>
      <c r="B503" s="66" t="s">
        <v>67</v>
      </c>
      <c r="C503" s="67" t="s">
        <v>297</v>
      </c>
      <c r="D503" s="59" t="s">
        <v>155</v>
      </c>
      <c r="E503" s="88"/>
      <c r="F503" s="89"/>
      <c r="G503" s="89"/>
      <c r="H503" s="77" t="s">
        <v>71</v>
      </c>
      <c r="I503" s="78">
        <v>16000</v>
      </c>
      <c r="J503" s="84"/>
      <c r="K503" s="85"/>
      <c r="L503" s="89"/>
      <c r="M503" s="89"/>
    </row>
    <row r="504" s="59" customFormat="1" spans="1:19">
      <c r="A504" s="74">
        <v>503</v>
      </c>
      <c r="B504" s="66" t="s">
        <v>67</v>
      </c>
      <c r="C504" s="67" t="s">
        <v>297</v>
      </c>
      <c r="D504" s="59" t="s">
        <v>156</v>
      </c>
      <c r="E504" s="88"/>
      <c r="F504" s="89"/>
      <c r="G504" s="89"/>
      <c r="H504" s="77" t="s">
        <v>71</v>
      </c>
      <c r="I504" s="78">
        <v>16000</v>
      </c>
      <c r="J504" s="84"/>
      <c r="K504" s="85"/>
      <c r="L504" s="89"/>
      <c r="M504" s="89"/>
    </row>
    <row r="505" s="59" customFormat="1" spans="1:19">
      <c r="A505" s="74">
        <v>504</v>
      </c>
      <c r="B505" s="66" t="s">
        <v>67</v>
      </c>
      <c r="C505" s="67" t="s">
        <v>297</v>
      </c>
      <c r="D505" s="59" t="s">
        <v>157</v>
      </c>
      <c r="E505" s="88"/>
      <c r="F505" s="89"/>
      <c r="G505" s="89"/>
      <c r="H505" s="77" t="s">
        <v>71</v>
      </c>
      <c r="I505" s="78">
        <v>16000</v>
      </c>
      <c r="J505" s="84"/>
      <c r="K505" s="85"/>
      <c r="L505" s="89"/>
      <c r="M505" s="89"/>
    </row>
    <row r="506" s="59" customFormat="1" spans="1:19">
      <c r="A506" s="74">
        <v>505</v>
      </c>
      <c r="B506" s="66" t="s">
        <v>67</v>
      </c>
      <c r="C506" s="67" t="s">
        <v>297</v>
      </c>
      <c r="D506" s="59" t="s">
        <v>164</v>
      </c>
      <c r="E506" s="75" t="s">
        <v>70</v>
      </c>
      <c r="F506" s="89">
        <v>46046.4792013889</v>
      </c>
      <c r="G506" s="89">
        <v>46044.4793402778</v>
      </c>
      <c r="H506" s="77" t="s">
        <v>71</v>
      </c>
      <c r="I506" s="78">
        <v>16000</v>
      </c>
      <c r="J506" s="84" t="s">
        <v>72</v>
      </c>
      <c r="K506" s="80" t="s">
        <v>78</v>
      </c>
      <c r="L506" s="89">
        <v>46042</v>
      </c>
      <c r="M506" s="89">
        <v>46042.6215046296</v>
      </c>
      <c r="N506" s="77"/>
    </row>
    <row r="507" s="59" customFormat="1" spans="1:19">
      <c r="A507" s="74">
        <v>506</v>
      </c>
      <c r="B507" s="66" t="s">
        <v>67</v>
      </c>
      <c r="C507" s="67" t="s">
        <v>297</v>
      </c>
      <c r="D507" s="59" t="s">
        <v>165</v>
      </c>
      <c r="E507" s="75" t="s">
        <v>70</v>
      </c>
      <c r="F507" s="89">
        <v>46043.8822685185</v>
      </c>
      <c r="G507" s="89">
        <v>46042.8824189815</v>
      </c>
      <c r="H507" s="77" t="s">
        <v>76</v>
      </c>
      <c r="I507" s="82">
        <v>12000</v>
      </c>
      <c r="J507" s="84" t="s">
        <v>72</v>
      </c>
      <c r="K507" s="80" t="s">
        <v>78</v>
      </c>
      <c r="L507" s="89">
        <v>46037.5715046296</v>
      </c>
      <c r="M507" s="89">
        <v>46036.8392708333</v>
      </c>
      <c r="N507" s="77"/>
    </row>
    <row r="508" s="59" customFormat="1" spans="1:19">
      <c r="A508" s="74">
        <v>507</v>
      </c>
      <c r="B508" s="66" t="s">
        <v>67</v>
      </c>
      <c r="C508" s="67" t="s">
        <v>297</v>
      </c>
      <c r="D508" s="59" t="s">
        <v>166</v>
      </c>
      <c r="E508" s="75" t="s">
        <v>70</v>
      </c>
      <c r="F508" s="89">
        <v>46046.4792013889</v>
      </c>
      <c r="G508" s="89">
        <v>46044.4793402778</v>
      </c>
      <c r="H508" s="77" t="s">
        <v>76</v>
      </c>
      <c r="I508" s="82">
        <v>12000</v>
      </c>
      <c r="J508" s="84" t="s">
        <v>72</v>
      </c>
      <c r="K508" s="80" t="s">
        <v>78</v>
      </c>
      <c r="L508" s="89">
        <v>46042</v>
      </c>
      <c r="M508" s="89">
        <v>46042.6215856482</v>
      </c>
      <c r="N508" s="77"/>
    </row>
    <row r="509" s="59" customFormat="1" spans="1:19">
      <c r="A509" s="74">
        <v>508</v>
      </c>
      <c r="B509" s="66" t="s">
        <v>67</v>
      </c>
      <c r="C509" s="67" t="s">
        <v>297</v>
      </c>
      <c r="D509" s="59" t="s">
        <v>167</v>
      </c>
      <c r="E509" s="75" t="s">
        <v>70</v>
      </c>
      <c r="F509" s="89">
        <v>46022.4698611111</v>
      </c>
      <c r="G509" s="89">
        <v>46020.47</v>
      </c>
      <c r="H509" s="77" t="s">
        <v>76</v>
      </c>
      <c r="I509" s="82">
        <v>12000</v>
      </c>
      <c r="J509" s="84" t="s">
        <v>72</v>
      </c>
      <c r="K509" s="80" t="s">
        <v>78</v>
      </c>
      <c r="L509" s="89">
        <v>46002</v>
      </c>
      <c r="M509" s="89">
        <v>46002.6880439815</v>
      </c>
    </row>
    <row r="510" s="59" customFormat="1" ht="16.5" spans="1:19">
      <c r="A510" s="74">
        <v>509</v>
      </c>
      <c r="B510" s="66" t="s">
        <v>67</v>
      </c>
      <c r="C510" s="67" t="s">
        <v>297</v>
      </c>
      <c r="D510" s="59" t="s">
        <v>168</v>
      </c>
      <c r="E510" s="75" t="s">
        <v>70</v>
      </c>
      <c r="F510" s="89">
        <v>46003.8822222222</v>
      </c>
      <c r="G510" s="89">
        <v>46002.8823611111</v>
      </c>
      <c r="H510" s="77" t="s">
        <v>76</v>
      </c>
      <c r="I510" s="82">
        <v>12000</v>
      </c>
      <c r="J510" s="84" t="s">
        <v>72</v>
      </c>
      <c r="K510" s="80" t="s">
        <v>78</v>
      </c>
      <c r="L510" s="89">
        <v>45989.6675347222</v>
      </c>
      <c r="M510" s="89">
        <v>45989.7895833333</v>
      </c>
      <c r="N510" s="75" t="s">
        <v>70</v>
      </c>
      <c r="O510" s="89">
        <v>45992.8821180556</v>
      </c>
      <c r="P510" s="89">
        <v>45991.8819444444</v>
      </c>
      <c r="Q510" s="96" t="s">
        <v>74</v>
      </c>
      <c r="R510" s="89">
        <v>45999.8335763889</v>
      </c>
      <c r="S510" s="89">
        <v>45998.8337152778</v>
      </c>
    </row>
    <row r="511" s="59" customFormat="1" spans="1:19">
      <c r="A511" s="74">
        <v>510</v>
      </c>
      <c r="B511" s="66" t="s">
        <v>67</v>
      </c>
      <c r="C511" s="67" t="s">
        <v>297</v>
      </c>
      <c r="D511" s="59" t="s">
        <v>169</v>
      </c>
      <c r="E511" s="75" t="s">
        <v>70</v>
      </c>
      <c r="F511" s="89">
        <v>46022.4699074074</v>
      </c>
      <c r="G511" s="89">
        <v>46020.4700462963</v>
      </c>
      <c r="H511" s="77" t="s">
        <v>76</v>
      </c>
      <c r="I511" s="82">
        <v>12000</v>
      </c>
      <c r="J511" s="84" t="s">
        <v>72</v>
      </c>
      <c r="K511" s="80" t="s">
        <v>78</v>
      </c>
      <c r="L511" s="89">
        <v>46002</v>
      </c>
      <c r="M511" s="89">
        <v>46002.6914814815</v>
      </c>
    </row>
    <row r="512" s="59" customFormat="1" spans="1:19">
      <c r="A512" s="74">
        <v>511</v>
      </c>
      <c r="B512" s="66" t="s">
        <v>67</v>
      </c>
      <c r="C512" s="67" t="s">
        <v>297</v>
      </c>
      <c r="D512" s="59" t="s">
        <v>170</v>
      </c>
      <c r="E512" s="75" t="s">
        <v>70</v>
      </c>
      <c r="F512" s="89">
        <v>46022.4735185185</v>
      </c>
      <c r="G512" s="89">
        <v>46020.4736574074</v>
      </c>
      <c r="H512" s="77" t="s">
        <v>76</v>
      </c>
      <c r="I512" s="82">
        <v>12000</v>
      </c>
      <c r="J512" s="84" t="s">
        <v>72</v>
      </c>
      <c r="K512" s="80" t="s">
        <v>78</v>
      </c>
      <c r="L512" s="89">
        <v>46002</v>
      </c>
      <c r="M512" s="89">
        <v>46002.6946296296</v>
      </c>
    </row>
    <row r="513" s="59" customFormat="1" spans="1:13">
      <c r="A513" s="74">
        <v>512</v>
      </c>
      <c r="B513" s="66" t="s">
        <v>67</v>
      </c>
      <c r="C513" s="67" t="s">
        <v>297</v>
      </c>
      <c r="D513" s="59" t="s">
        <v>171</v>
      </c>
      <c r="E513" s="75" t="s">
        <v>70</v>
      </c>
      <c r="F513" s="89">
        <v>45993.8821875</v>
      </c>
      <c r="G513" s="89">
        <v>45992.8823263889</v>
      </c>
      <c r="H513" s="77" t="s">
        <v>76</v>
      </c>
      <c r="I513" s="82">
        <v>12000</v>
      </c>
      <c r="J513" s="84" t="s">
        <v>72</v>
      </c>
      <c r="K513" s="80" t="s">
        <v>78</v>
      </c>
      <c r="L513" s="89">
        <v>45989.6647106481</v>
      </c>
      <c r="M513" s="89">
        <v>45989.7895833333</v>
      </c>
    </row>
    <row r="514" s="59" customFormat="1" spans="1:13">
      <c r="A514" s="74">
        <v>513</v>
      </c>
      <c r="B514" s="66" t="s">
        <v>67</v>
      </c>
      <c r="C514" s="67" t="s">
        <v>297</v>
      </c>
      <c r="D514" s="59" t="s">
        <v>172</v>
      </c>
      <c r="E514" s="75" t="s">
        <v>70</v>
      </c>
      <c r="F514" s="89">
        <v>46022.4735185185</v>
      </c>
      <c r="G514" s="89">
        <v>46020.4736574074</v>
      </c>
      <c r="H514" s="77" t="s">
        <v>76</v>
      </c>
      <c r="I514" s="82">
        <v>12000</v>
      </c>
      <c r="J514" s="84" t="s">
        <v>72</v>
      </c>
      <c r="K514" s="80" t="s">
        <v>78</v>
      </c>
      <c r="L514" s="89">
        <v>46002</v>
      </c>
      <c r="M514" s="89">
        <v>46002.6974537037</v>
      </c>
    </row>
    <row r="515" s="59" customFormat="1" spans="1:13">
      <c r="A515" s="74">
        <v>514</v>
      </c>
      <c r="B515" s="66" t="s">
        <v>67</v>
      </c>
      <c r="C515" s="67" t="s">
        <v>297</v>
      </c>
      <c r="D515" s="59" t="s">
        <v>173</v>
      </c>
      <c r="E515" s="75" t="s">
        <v>70</v>
      </c>
      <c r="F515" s="89">
        <v>45894.8822106481</v>
      </c>
      <c r="G515" s="89">
        <v>45893.8823032407</v>
      </c>
      <c r="H515" s="77" t="s">
        <v>76</v>
      </c>
      <c r="I515" s="82">
        <v>12000</v>
      </c>
      <c r="J515" s="84" t="s">
        <v>72</v>
      </c>
      <c r="K515" s="80" t="s">
        <v>78</v>
      </c>
      <c r="L515" s="89">
        <v>45890.462025463</v>
      </c>
      <c r="M515" s="89">
        <v>45890.5418865741</v>
      </c>
    </row>
    <row r="516" s="59" customFormat="1" spans="1:13">
      <c r="A516" s="74">
        <v>515</v>
      </c>
      <c r="B516" s="66" t="s">
        <v>67</v>
      </c>
      <c r="C516" s="67" t="s">
        <v>297</v>
      </c>
      <c r="D516" s="59" t="s">
        <v>174</v>
      </c>
      <c r="E516" s="75" t="s">
        <v>70</v>
      </c>
      <c r="F516" s="89">
        <v>45894.8822106481</v>
      </c>
      <c r="G516" s="89">
        <v>45893.8823032407</v>
      </c>
      <c r="H516" s="77" t="s">
        <v>76</v>
      </c>
      <c r="I516" s="82">
        <v>12000</v>
      </c>
      <c r="J516" s="84" t="s">
        <v>72</v>
      </c>
      <c r="K516" s="80" t="s">
        <v>78</v>
      </c>
      <c r="L516" s="89">
        <v>45866.7293865741</v>
      </c>
      <c r="M516" s="89">
        <v>45866.7502199074</v>
      </c>
    </row>
    <row r="517" s="59" customFormat="1" spans="1:13">
      <c r="A517" s="74">
        <v>516</v>
      </c>
      <c r="B517" s="66" t="s">
        <v>67</v>
      </c>
      <c r="C517" s="67" t="s">
        <v>297</v>
      </c>
      <c r="D517" s="59" t="s">
        <v>175</v>
      </c>
      <c r="E517" s="75" t="s">
        <v>70</v>
      </c>
      <c r="F517" s="89">
        <v>45894.8822106481</v>
      </c>
      <c r="G517" s="89">
        <v>45893.8823032407</v>
      </c>
      <c r="H517" s="77" t="s">
        <v>76</v>
      </c>
      <c r="I517" s="82">
        <v>12000</v>
      </c>
      <c r="J517" s="84" t="s">
        <v>72</v>
      </c>
      <c r="K517" s="80" t="s">
        <v>78</v>
      </c>
      <c r="L517" s="89">
        <v>45890.462025463</v>
      </c>
      <c r="M517" s="89">
        <v>45890.5418865741</v>
      </c>
    </row>
    <row r="518" s="59" customFormat="1" spans="1:13">
      <c r="A518" s="74">
        <v>517</v>
      </c>
      <c r="B518" s="66" t="s">
        <v>67</v>
      </c>
      <c r="C518" s="67" t="s">
        <v>297</v>
      </c>
      <c r="D518" s="59" t="s">
        <v>176</v>
      </c>
      <c r="E518" s="75" t="s">
        <v>70</v>
      </c>
      <c r="F518" s="89">
        <v>45894.8822106481</v>
      </c>
      <c r="G518" s="89">
        <v>45893.8823032407</v>
      </c>
      <c r="H518" s="77" t="s">
        <v>76</v>
      </c>
      <c r="I518" s="82">
        <v>12000</v>
      </c>
      <c r="J518" s="84" t="s">
        <v>72</v>
      </c>
      <c r="K518" s="80" t="s">
        <v>78</v>
      </c>
      <c r="L518" s="89">
        <v>45890.462025463</v>
      </c>
      <c r="M518" s="89">
        <v>45890.5418865741</v>
      </c>
    </row>
    <row r="519" s="59" customFormat="1" spans="1:13">
      <c r="A519" s="74">
        <v>518</v>
      </c>
      <c r="B519" s="66" t="s">
        <v>67</v>
      </c>
      <c r="C519" s="67" t="s">
        <v>297</v>
      </c>
      <c r="D519" s="59" t="s">
        <v>177</v>
      </c>
      <c r="E519" s="75" t="s">
        <v>70</v>
      </c>
      <c r="F519" s="89">
        <v>45894.8822106481</v>
      </c>
      <c r="G519" s="89">
        <v>45893.8823032407</v>
      </c>
      <c r="H519" s="77" t="s">
        <v>76</v>
      </c>
      <c r="I519" s="82">
        <v>12000</v>
      </c>
      <c r="J519" s="84" t="s">
        <v>72</v>
      </c>
      <c r="K519" s="80" t="s">
        <v>78</v>
      </c>
      <c r="L519" s="89">
        <v>45866.7293865741</v>
      </c>
      <c r="M519" s="89">
        <v>45866.7502199074</v>
      </c>
    </row>
    <row r="520" s="59" customFormat="1" spans="1:13">
      <c r="A520" s="74">
        <v>519</v>
      </c>
      <c r="B520" s="66" t="s">
        <v>67</v>
      </c>
      <c r="C520" s="67" t="s">
        <v>297</v>
      </c>
      <c r="D520" s="59" t="s">
        <v>178</v>
      </c>
      <c r="E520" s="75" t="s">
        <v>70</v>
      </c>
      <c r="F520" s="89">
        <v>45894.8822106481</v>
      </c>
      <c r="G520" s="89">
        <v>45893.8823032407</v>
      </c>
      <c r="H520" s="77" t="s">
        <v>76</v>
      </c>
      <c r="I520" s="82">
        <v>12000</v>
      </c>
      <c r="J520" s="84" t="s">
        <v>72</v>
      </c>
      <c r="K520" s="80" t="s">
        <v>78</v>
      </c>
      <c r="L520" s="89">
        <v>45866.7293865741</v>
      </c>
      <c r="M520" s="89">
        <v>45866.7502199074</v>
      </c>
    </row>
    <row r="521" s="59" customFormat="1" spans="1:13">
      <c r="A521" s="74">
        <v>520</v>
      </c>
      <c r="B521" s="66" t="s">
        <v>67</v>
      </c>
      <c r="C521" s="67" t="s">
        <v>297</v>
      </c>
      <c r="D521" s="59" t="s">
        <v>179</v>
      </c>
      <c r="E521" s="75" t="s">
        <v>70</v>
      </c>
      <c r="F521" s="89">
        <v>45894.8822106481</v>
      </c>
      <c r="G521" s="89">
        <v>45893.8823032407</v>
      </c>
      <c r="H521" s="77" t="s">
        <v>76</v>
      </c>
      <c r="I521" s="82">
        <v>12000</v>
      </c>
      <c r="J521" s="84" t="s">
        <v>72</v>
      </c>
      <c r="K521" s="80" t="s">
        <v>78</v>
      </c>
      <c r="L521" s="89">
        <v>45890.462025463</v>
      </c>
      <c r="M521" s="89">
        <v>45890.5418865741</v>
      </c>
    </row>
    <row r="522" s="59" customFormat="1" spans="1:13">
      <c r="A522" s="74">
        <v>521</v>
      </c>
      <c r="B522" s="66" t="s">
        <v>67</v>
      </c>
      <c r="C522" s="67" t="s">
        <v>297</v>
      </c>
      <c r="D522" s="59" t="s">
        <v>180</v>
      </c>
      <c r="E522" s="75" t="s">
        <v>70</v>
      </c>
      <c r="F522" s="89">
        <v>45894.8822106481</v>
      </c>
      <c r="G522" s="89">
        <v>45893.8823032407</v>
      </c>
      <c r="H522" s="77" t="s">
        <v>76</v>
      </c>
      <c r="I522" s="82">
        <v>12000</v>
      </c>
      <c r="J522" s="84" t="s">
        <v>72</v>
      </c>
      <c r="K522" s="80" t="s">
        <v>78</v>
      </c>
      <c r="L522" s="89">
        <v>45866.7293865741</v>
      </c>
      <c r="M522" s="89">
        <v>45866.7502199074</v>
      </c>
    </row>
    <row r="523" s="59" customFormat="1" spans="1:13">
      <c r="A523" s="74">
        <v>522</v>
      </c>
      <c r="B523" s="66" t="s">
        <v>67</v>
      </c>
      <c r="C523" s="67" t="s">
        <v>297</v>
      </c>
      <c r="D523" s="59" t="s">
        <v>181</v>
      </c>
      <c r="E523" s="75" t="s">
        <v>70</v>
      </c>
      <c r="F523" s="89">
        <v>45894.8822106481</v>
      </c>
      <c r="G523" s="89">
        <v>45893.8823032407</v>
      </c>
      <c r="H523" s="77" t="s">
        <v>76</v>
      </c>
      <c r="I523" s="82">
        <v>12000</v>
      </c>
      <c r="J523" s="84" t="s">
        <v>72</v>
      </c>
      <c r="K523" s="80" t="s">
        <v>78</v>
      </c>
      <c r="L523" s="89">
        <v>45890.462025463</v>
      </c>
      <c r="M523" s="89">
        <v>45890.5418865741</v>
      </c>
    </row>
    <row r="524" s="59" customFormat="1" spans="1:13">
      <c r="A524" s="74">
        <v>523</v>
      </c>
      <c r="B524" s="66" t="s">
        <v>67</v>
      </c>
      <c r="C524" s="67" t="s">
        <v>297</v>
      </c>
      <c r="D524" s="59" t="s">
        <v>182</v>
      </c>
      <c r="E524" s="75" t="s">
        <v>70</v>
      </c>
      <c r="F524" s="89">
        <v>45894.8822106481</v>
      </c>
      <c r="G524" s="89">
        <v>45893.8823032407</v>
      </c>
      <c r="H524" s="77" t="s">
        <v>76</v>
      </c>
      <c r="I524" s="82">
        <v>12000</v>
      </c>
      <c r="J524" s="84" t="s">
        <v>72</v>
      </c>
      <c r="K524" s="80" t="s">
        <v>78</v>
      </c>
      <c r="L524" s="89">
        <v>45890.462025463</v>
      </c>
      <c r="M524" s="89">
        <v>45890.5418865741</v>
      </c>
    </row>
    <row r="525" s="59" customFormat="1" spans="1:13">
      <c r="A525" s="74">
        <v>524</v>
      </c>
      <c r="B525" s="66" t="s">
        <v>67</v>
      </c>
      <c r="C525" s="67" t="s">
        <v>297</v>
      </c>
      <c r="D525" s="59" t="s">
        <v>183</v>
      </c>
      <c r="E525" s="75" t="s">
        <v>70</v>
      </c>
      <c r="F525" s="89">
        <v>45894.8822106481</v>
      </c>
      <c r="G525" s="89">
        <v>45893.8823032407</v>
      </c>
      <c r="H525" s="77" t="s">
        <v>76</v>
      </c>
      <c r="I525" s="82">
        <v>12000</v>
      </c>
      <c r="J525" s="84" t="s">
        <v>72</v>
      </c>
      <c r="K525" s="80" t="s">
        <v>78</v>
      </c>
      <c r="L525" s="89">
        <v>45866.7293865741</v>
      </c>
      <c r="M525" s="89">
        <v>45866.7502199074</v>
      </c>
    </row>
    <row r="526" s="59" customFormat="1" spans="1:13">
      <c r="A526" s="74">
        <v>525</v>
      </c>
      <c r="B526" s="66" t="s">
        <v>67</v>
      </c>
      <c r="C526" s="67" t="s">
        <v>297</v>
      </c>
      <c r="D526" s="59" t="s">
        <v>184</v>
      </c>
      <c r="E526" s="75" t="s">
        <v>70</v>
      </c>
      <c r="F526" s="89">
        <v>45894.8822106481</v>
      </c>
      <c r="G526" s="89">
        <v>45893.8823032407</v>
      </c>
      <c r="H526" s="77" t="s">
        <v>76</v>
      </c>
      <c r="I526" s="82">
        <v>12000</v>
      </c>
      <c r="J526" s="84" t="s">
        <v>72</v>
      </c>
      <c r="K526" s="80" t="s">
        <v>78</v>
      </c>
      <c r="L526" s="89">
        <v>45890.462025463</v>
      </c>
      <c r="M526" s="89">
        <v>45890.5418865741</v>
      </c>
    </row>
    <row r="527" s="59" customFormat="1" spans="1:13">
      <c r="A527" s="74">
        <v>526</v>
      </c>
      <c r="B527" s="66" t="s">
        <v>67</v>
      </c>
      <c r="C527" s="67" t="s">
        <v>297</v>
      </c>
      <c r="D527" s="59" t="s">
        <v>185</v>
      </c>
      <c r="E527" s="75" t="s">
        <v>70</v>
      </c>
      <c r="F527" s="89">
        <v>45924.8822453704</v>
      </c>
      <c r="G527" s="89">
        <v>45923.8823726852</v>
      </c>
      <c r="H527" s="77" t="s">
        <v>71</v>
      </c>
      <c r="I527" s="78">
        <v>16000</v>
      </c>
      <c r="J527" s="84" t="s">
        <v>72</v>
      </c>
      <c r="K527" s="80" t="s">
        <v>78</v>
      </c>
      <c r="L527" s="89">
        <v>45791.6002199074</v>
      </c>
      <c r="M527" s="89">
        <v>45794.75</v>
      </c>
    </row>
    <row r="528" s="59" customFormat="1" spans="1:13">
      <c r="A528" s="74">
        <v>527</v>
      </c>
      <c r="B528" s="66" t="s">
        <v>67</v>
      </c>
      <c r="C528" s="67" t="s">
        <v>297</v>
      </c>
      <c r="D528" s="59" t="s">
        <v>186</v>
      </c>
      <c r="E528" s="75" t="s">
        <v>70</v>
      </c>
      <c r="F528" s="89">
        <v>45828.4715277778</v>
      </c>
      <c r="G528" s="89">
        <v>45826.4715277778</v>
      </c>
      <c r="H528" s="77" t="s">
        <v>76</v>
      </c>
      <c r="I528" s="82">
        <v>12000</v>
      </c>
      <c r="J528" s="84" t="s">
        <v>72</v>
      </c>
      <c r="K528" s="80" t="s">
        <v>78</v>
      </c>
      <c r="L528" s="89">
        <v>45791.6002199074</v>
      </c>
      <c r="M528" s="89">
        <v>45794.75</v>
      </c>
    </row>
    <row r="529" s="59" customFormat="1" spans="1:19">
      <c r="A529" s="74">
        <v>528</v>
      </c>
      <c r="B529" s="66" t="s">
        <v>67</v>
      </c>
      <c r="C529" s="67" t="s">
        <v>297</v>
      </c>
      <c r="D529" s="59" t="s">
        <v>187</v>
      </c>
      <c r="E529" s="75" t="s">
        <v>70</v>
      </c>
      <c r="F529" s="89">
        <v>45828.4715277778</v>
      </c>
      <c r="G529" s="89">
        <v>45826.4715277778</v>
      </c>
      <c r="H529" s="77" t="s">
        <v>76</v>
      </c>
      <c r="I529" s="82">
        <v>12000</v>
      </c>
      <c r="J529" s="84" t="s">
        <v>72</v>
      </c>
      <c r="K529" s="80" t="s">
        <v>78</v>
      </c>
      <c r="L529" s="89">
        <v>45791.6002199074</v>
      </c>
      <c r="M529" s="89">
        <v>45794.75</v>
      </c>
    </row>
    <row r="530" s="59" customFormat="1" spans="1:19">
      <c r="A530" s="74">
        <v>529</v>
      </c>
      <c r="B530" s="66" t="s">
        <v>67</v>
      </c>
      <c r="C530" s="67" t="s">
        <v>297</v>
      </c>
      <c r="D530" s="59" t="s">
        <v>188</v>
      </c>
      <c r="E530" s="75" t="s">
        <v>70</v>
      </c>
      <c r="F530" s="89">
        <v>45897.6581365741</v>
      </c>
      <c r="G530" s="89">
        <v>45895.6582175926</v>
      </c>
      <c r="H530" s="77" t="s">
        <v>76</v>
      </c>
      <c r="I530" s="82">
        <v>12000</v>
      </c>
      <c r="J530" s="84" t="s">
        <v>72</v>
      </c>
      <c r="K530" s="80" t="s">
        <v>78</v>
      </c>
      <c r="L530" s="89">
        <v>45825.6666666667</v>
      </c>
      <c r="M530" s="89">
        <v>45825.75</v>
      </c>
      <c r="N530" s="80" t="s">
        <v>300</v>
      </c>
      <c r="O530" s="97">
        <v>45860.6645833333</v>
      </c>
      <c r="P530" s="97">
        <v>45860.66875</v>
      </c>
      <c r="Q530" s="80" t="s">
        <v>78</v>
      </c>
      <c r="R530" s="89">
        <v>45890.462025463</v>
      </c>
      <c r="S530" s="89">
        <v>45890.5418865741</v>
      </c>
    </row>
    <row r="531" s="59" customFormat="1" spans="1:19">
      <c r="A531" s="74">
        <v>530</v>
      </c>
      <c r="B531" s="66" t="s">
        <v>67</v>
      </c>
      <c r="C531" s="67" t="s">
        <v>297</v>
      </c>
      <c r="D531" s="59" t="s">
        <v>189</v>
      </c>
      <c r="E531" s="75" t="s">
        <v>70</v>
      </c>
      <c r="F531" s="89">
        <v>45827.8819444444</v>
      </c>
      <c r="G531" s="89">
        <v>45826.8819444444</v>
      </c>
      <c r="H531" s="77" t="s">
        <v>76</v>
      </c>
      <c r="I531" s="82">
        <v>12000</v>
      </c>
      <c r="J531" s="84" t="s">
        <v>72</v>
      </c>
      <c r="K531" s="80" t="s">
        <v>78</v>
      </c>
      <c r="L531" s="89">
        <v>45813.5659722222</v>
      </c>
      <c r="M531" s="89">
        <v>45813.6041666667</v>
      </c>
    </row>
    <row r="532" s="59" customFormat="1" spans="1:19">
      <c r="A532" s="74">
        <v>531</v>
      </c>
      <c r="B532" s="66" t="s">
        <v>67</v>
      </c>
      <c r="C532" s="67" t="s">
        <v>297</v>
      </c>
      <c r="D532" s="59" t="s">
        <v>190</v>
      </c>
      <c r="E532" s="75" t="s">
        <v>70</v>
      </c>
      <c r="F532" s="89">
        <v>45897.6585300926</v>
      </c>
      <c r="G532" s="89">
        <v>45895.6586111111</v>
      </c>
      <c r="H532" s="77" t="s">
        <v>76</v>
      </c>
      <c r="I532" s="82">
        <v>12000</v>
      </c>
      <c r="J532" s="84" t="s">
        <v>72</v>
      </c>
      <c r="K532" s="80" t="s">
        <v>78</v>
      </c>
      <c r="L532" s="89">
        <v>45825.6666666667</v>
      </c>
      <c r="M532" s="89">
        <v>45825.75</v>
      </c>
      <c r="N532" s="80" t="s">
        <v>300</v>
      </c>
      <c r="O532" s="97">
        <v>45860.6645833333</v>
      </c>
      <c r="P532" s="97">
        <v>45860.66875</v>
      </c>
      <c r="Q532" s="80" t="s">
        <v>78</v>
      </c>
      <c r="R532" s="89">
        <v>45890.462025463</v>
      </c>
      <c r="S532" s="89">
        <v>45890.5418865741</v>
      </c>
    </row>
    <row r="533" s="59" customFormat="1" spans="1:19">
      <c r="A533" s="74">
        <v>532</v>
      </c>
      <c r="B533" s="66" t="s">
        <v>67</v>
      </c>
      <c r="C533" s="67" t="s">
        <v>297</v>
      </c>
      <c r="D533" s="59" t="s">
        <v>191</v>
      </c>
      <c r="E533" s="75" t="s">
        <v>70</v>
      </c>
      <c r="F533" s="89">
        <v>46046.5744444444</v>
      </c>
      <c r="G533" s="89">
        <v>46044.5745833333</v>
      </c>
      <c r="H533" s="77" t="s">
        <v>76</v>
      </c>
      <c r="I533" s="82">
        <v>12000</v>
      </c>
      <c r="J533" s="84" t="s">
        <v>72</v>
      </c>
      <c r="K533" s="80" t="s">
        <v>78</v>
      </c>
      <c r="L533" s="89">
        <v>46042</v>
      </c>
      <c r="M533" s="89">
        <v>46042.6248032407</v>
      </c>
      <c r="N533" s="77"/>
    </row>
    <row r="534" s="59" customFormat="1" spans="1:19">
      <c r="A534" s="74">
        <v>533</v>
      </c>
      <c r="B534" s="66" t="s">
        <v>67</v>
      </c>
      <c r="C534" s="67" t="s">
        <v>297</v>
      </c>
      <c r="D534" s="59" t="s">
        <v>192</v>
      </c>
      <c r="E534" s="75" t="s">
        <v>70</v>
      </c>
      <c r="F534" s="89">
        <v>46043.6770717593</v>
      </c>
      <c r="G534" s="89">
        <v>46041.6772222222</v>
      </c>
      <c r="H534" s="77" t="s">
        <v>76</v>
      </c>
      <c r="I534" s="82">
        <v>12000</v>
      </c>
      <c r="J534" s="84" t="s">
        <v>72</v>
      </c>
      <c r="K534" s="80" t="s">
        <v>78</v>
      </c>
      <c r="L534" s="89">
        <v>46037.5881134259</v>
      </c>
      <c r="M534" s="89">
        <v>46036.8393287037</v>
      </c>
      <c r="N534" s="77"/>
    </row>
    <row r="535" s="59" customFormat="1" spans="1:19">
      <c r="A535" s="74">
        <v>534</v>
      </c>
      <c r="B535" s="66" t="s">
        <v>67</v>
      </c>
      <c r="C535" s="67" t="s">
        <v>297</v>
      </c>
      <c r="D535" s="59" t="s">
        <v>193</v>
      </c>
      <c r="E535" s="75" t="s">
        <v>70</v>
      </c>
      <c r="F535" s="89">
        <v>46046.4827893519</v>
      </c>
      <c r="G535" s="89">
        <v>46044.4829282407</v>
      </c>
      <c r="H535" s="77" t="s">
        <v>76</v>
      </c>
      <c r="I535" s="82">
        <v>12000</v>
      </c>
      <c r="J535" s="84" t="s">
        <v>72</v>
      </c>
      <c r="K535" s="80" t="s">
        <v>78</v>
      </c>
      <c r="L535" s="89">
        <v>46042</v>
      </c>
      <c r="M535" s="89">
        <v>46042.6248611111</v>
      </c>
      <c r="N535" s="77"/>
    </row>
    <row r="536" s="59" customFormat="1" spans="1:19">
      <c r="A536" s="74">
        <v>535</v>
      </c>
      <c r="B536" s="66" t="s">
        <v>67</v>
      </c>
      <c r="C536" s="67" t="s">
        <v>297</v>
      </c>
      <c r="D536" s="59" t="s">
        <v>194</v>
      </c>
      <c r="E536" s="75" t="s">
        <v>70</v>
      </c>
      <c r="F536" s="89">
        <v>45894.8822106481</v>
      </c>
      <c r="G536" s="89">
        <v>45893.8823032407</v>
      </c>
      <c r="H536" s="77" t="s">
        <v>76</v>
      </c>
      <c r="I536" s="82">
        <v>12000</v>
      </c>
      <c r="J536" s="84" t="s">
        <v>72</v>
      </c>
      <c r="K536" s="80" t="s">
        <v>78</v>
      </c>
      <c r="L536" s="89">
        <v>45890.462025463</v>
      </c>
      <c r="M536" s="89">
        <v>45890.5418865741</v>
      </c>
    </row>
    <row r="537" s="59" customFormat="1" spans="1:19">
      <c r="A537" s="74">
        <v>536</v>
      </c>
      <c r="B537" s="66" t="s">
        <v>67</v>
      </c>
      <c r="C537" s="67" t="s">
        <v>297</v>
      </c>
      <c r="D537" s="59" t="s">
        <v>195</v>
      </c>
      <c r="E537" s="75" t="s">
        <v>70</v>
      </c>
      <c r="F537" s="89">
        <v>45894.8822106481</v>
      </c>
      <c r="G537" s="89">
        <v>45893.8823032407</v>
      </c>
      <c r="H537" s="77" t="s">
        <v>76</v>
      </c>
      <c r="I537" s="82">
        <v>12000</v>
      </c>
      <c r="J537" s="84" t="s">
        <v>72</v>
      </c>
      <c r="K537" s="80" t="s">
        <v>78</v>
      </c>
      <c r="L537" s="89">
        <v>45866.7293865741</v>
      </c>
      <c r="M537" s="89">
        <v>45866.7502199074</v>
      </c>
    </row>
    <row r="538" s="59" customFormat="1" spans="1:19">
      <c r="A538" s="74">
        <v>537</v>
      </c>
      <c r="B538" s="66" t="s">
        <v>67</v>
      </c>
      <c r="C538" s="67" t="s">
        <v>297</v>
      </c>
      <c r="D538" s="59" t="s">
        <v>196</v>
      </c>
      <c r="E538" s="75" t="s">
        <v>70</v>
      </c>
      <c r="F538" s="89">
        <v>45894.8822106481</v>
      </c>
      <c r="G538" s="89">
        <v>45893.8823032407</v>
      </c>
      <c r="H538" s="77" t="s">
        <v>76</v>
      </c>
      <c r="I538" s="82">
        <v>12000</v>
      </c>
      <c r="J538" s="84" t="s">
        <v>72</v>
      </c>
      <c r="K538" s="80" t="s">
        <v>78</v>
      </c>
      <c r="L538" s="89">
        <v>45890.462025463</v>
      </c>
      <c r="M538" s="89">
        <v>45890.5418865741</v>
      </c>
    </row>
    <row r="539" s="59" customFormat="1" spans="1:19">
      <c r="A539" s="74">
        <v>538</v>
      </c>
      <c r="B539" s="66" t="s">
        <v>67</v>
      </c>
      <c r="C539" s="67" t="s">
        <v>297</v>
      </c>
      <c r="D539" s="59" t="s">
        <v>197</v>
      </c>
      <c r="E539" s="75" t="s">
        <v>70</v>
      </c>
      <c r="F539" s="89">
        <v>45894.8822106481</v>
      </c>
      <c r="G539" s="89">
        <v>45893.8823032407</v>
      </c>
      <c r="H539" s="77" t="s">
        <v>76</v>
      </c>
      <c r="I539" s="82">
        <v>12000</v>
      </c>
      <c r="J539" s="84" t="s">
        <v>72</v>
      </c>
      <c r="K539" s="80" t="s">
        <v>78</v>
      </c>
      <c r="L539" s="89">
        <v>45890.462025463</v>
      </c>
      <c r="M539" s="89">
        <v>45890.5418865741</v>
      </c>
    </row>
    <row r="540" s="59" customFormat="1" spans="1:19">
      <c r="A540" s="74">
        <v>539</v>
      </c>
      <c r="B540" s="66" t="s">
        <v>67</v>
      </c>
      <c r="C540" s="67" t="s">
        <v>297</v>
      </c>
      <c r="D540" s="59" t="s">
        <v>198</v>
      </c>
      <c r="E540" s="75" t="s">
        <v>70</v>
      </c>
      <c r="F540" s="89">
        <v>45894.8822106481</v>
      </c>
      <c r="G540" s="89">
        <v>45893.8823032407</v>
      </c>
      <c r="H540" s="77" t="s">
        <v>76</v>
      </c>
      <c r="I540" s="82">
        <v>12000</v>
      </c>
      <c r="J540" s="84" t="s">
        <v>72</v>
      </c>
      <c r="K540" s="80" t="s">
        <v>78</v>
      </c>
      <c r="L540" s="89">
        <v>45867.4064699074</v>
      </c>
      <c r="M540" s="89">
        <v>45867.5002199074</v>
      </c>
    </row>
    <row r="541" s="59" customFormat="1" spans="1:19">
      <c r="A541" s="74">
        <v>540</v>
      </c>
      <c r="B541" s="66" t="s">
        <v>67</v>
      </c>
      <c r="C541" s="67" t="s">
        <v>297</v>
      </c>
      <c r="D541" s="59" t="s">
        <v>199</v>
      </c>
      <c r="E541" s="75" t="s">
        <v>70</v>
      </c>
      <c r="F541" s="89">
        <v>45894.8822106481</v>
      </c>
      <c r="G541" s="89">
        <v>45893.8823032407</v>
      </c>
      <c r="H541" s="77" t="s">
        <v>76</v>
      </c>
      <c r="I541" s="82">
        <v>12000</v>
      </c>
      <c r="J541" s="84" t="s">
        <v>72</v>
      </c>
      <c r="K541" s="80" t="s">
        <v>78</v>
      </c>
      <c r="L541" s="89">
        <v>45874.618275463</v>
      </c>
      <c r="M541" s="89">
        <v>45874.7259143519</v>
      </c>
    </row>
    <row r="542" s="59" customFormat="1" spans="1:19">
      <c r="A542" s="74">
        <v>541</v>
      </c>
      <c r="B542" s="66" t="s">
        <v>67</v>
      </c>
      <c r="C542" s="67" t="s">
        <v>297</v>
      </c>
      <c r="D542" s="59" t="s">
        <v>200</v>
      </c>
      <c r="E542" s="75" t="s">
        <v>70</v>
      </c>
      <c r="F542" s="89">
        <v>45894.8822106481</v>
      </c>
      <c r="G542" s="89">
        <v>45893.8823032407</v>
      </c>
      <c r="H542" s="77" t="s">
        <v>76</v>
      </c>
      <c r="I542" s="82">
        <v>12000</v>
      </c>
      <c r="J542" s="84" t="s">
        <v>72</v>
      </c>
      <c r="K542" s="80" t="s">
        <v>78</v>
      </c>
      <c r="L542" s="89">
        <v>45874.618275463</v>
      </c>
      <c r="M542" s="89">
        <v>45874.7259143519</v>
      </c>
    </row>
    <row r="543" s="59" customFormat="1" spans="1:19">
      <c r="A543" s="74">
        <v>542</v>
      </c>
      <c r="B543" s="66" t="s">
        <v>67</v>
      </c>
      <c r="C543" s="67" t="s">
        <v>297</v>
      </c>
      <c r="D543" s="59" t="s">
        <v>201</v>
      </c>
      <c r="E543" s="75" t="s">
        <v>70</v>
      </c>
      <c r="F543" s="89">
        <v>45894.8822106481</v>
      </c>
      <c r="G543" s="89">
        <v>45893.8823032407</v>
      </c>
      <c r="H543" s="77" t="s">
        <v>76</v>
      </c>
      <c r="I543" s="82">
        <v>12000</v>
      </c>
      <c r="J543" s="84" t="s">
        <v>72</v>
      </c>
      <c r="K543" s="80" t="s">
        <v>78</v>
      </c>
      <c r="L543" s="89">
        <v>45867.4064699074</v>
      </c>
      <c r="M543" s="89">
        <v>45867.5002199074</v>
      </c>
    </row>
    <row r="544" s="59" customFormat="1" spans="1:19">
      <c r="A544" s="74">
        <v>543</v>
      </c>
      <c r="B544" s="66" t="s">
        <v>67</v>
      </c>
      <c r="C544" s="67" t="s">
        <v>297</v>
      </c>
      <c r="D544" s="59" t="s">
        <v>202</v>
      </c>
      <c r="E544" s="75" t="s">
        <v>70</v>
      </c>
      <c r="F544" s="89">
        <v>45894.8822106481</v>
      </c>
      <c r="G544" s="89">
        <v>45893.8823032407</v>
      </c>
      <c r="H544" s="77" t="s">
        <v>76</v>
      </c>
      <c r="I544" s="82">
        <v>12000</v>
      </c>
      <c r="J544" s="84" t="s">
        <v>72</v>
      </c>
      <c r="K544" s="80" t="s">
        <v>78</v>
      </c>
      <c r="L544" s="89">
        <v>45874.618275463</v>
      </c>
      <c r="M544" s="89">
        <v>45874.7259143519</v>
      </c>
    </row>
    <row r="545" s="59" customFormat="1" spans="1:14">
      <c r="A545" s="74">
        <v>544</v>
      </c>
      <c r="B545" s="66" t="s">
        <v>67</v>
      </c>
      <c r="C545" s="67" t="s">
        <v>297</v>
      </c>
      <c r="D545" s="59" t="s">
        <v>203</v>
      </c>
      <c r="E545" s="75" t="s">
        <v>70</v>
      </c>
      <c r="F545" s="89">
        <v>45894.8822106481</v>
      </c>
      <c r="G545" s="89">
        <v>45893.8823032407</v>
      </c>
      <c r="H545" s="77" t="s">
        <v>76</v>
      </c>
      <c r="I545" s="82">
        <v>12000</v>
      </c>
      <c r="J545" s="84" t="s">
        <v>72</v>
      </c>
      <c r="K545" s="80" t="s">
        <v>78</v>
      </c>
      <c r="L545" s="89">
        <v>45874.618275463</v>
      </c>
      <c r="M545" s="89">
        <v>45874.7259143519</v>
      </c>
    </row>
    <row r="546" s="59" customFormat="1" spans="1:14">
      <c r="A546" s="74">
        <v>545</v>
      </c>
      <c r="B546" s="66" t="s">
        <v>67</v>
      </c>
      <c r="C546" s="67" t="s">
        <v>297</v>
      </c>
      <c r="D546" s="59" t="s">
        <v>204</v>
      </c>
      <c r="E546" s="75" t="s">
        <v>70</v>
      </c>
      <c r="F546" s="89">
        <v>45894.8822106481</v>
      </c>
      <c r="G546" s="89">
        <v>45893.8823032407</v>
      </c>
      <c r="H546" s="77" t="s">
        <v>76</v>
      </c>
      <c r="I546" s="82">
        <v>12000</v>
      </c>
      <c r="J546" s="84" t="s">
        <v>72</v>
      </c>
      <c r="K546" s="80" t="s">
        <v>78</v>
      </c>
      <c r="L546" s="89">
        <v>45867.4064699074</v>
      </c>
      <c r="M546" s="89">
        <v>45867.5002199074</v>
      </c>
    </row>
    <row r="547" s="59" customFormat="1" spans="1:14">
      <c r="A547" s="74">
        <v>546</v>
      </c>
      <c r="B547" s="66" t="s">
        <v>67</v>
      </c>
      <c r="C547" s="67" t="s">
        <v>297</v>
      </c>
      <c r="D547" s="59" t="s">
        <v>205</v>
      </c>
      <c r="E547" s="75" t="s">
        <v>70</v>
      </c>
      <c r="F547" s="89">
        <v>45894.8822106481</v>
      </c>
      <c r="G547" s="89">
        <v>45893.8823032407</v>
      </c>
      <c r="H547" s="77" t="s">
        <v>76</v>
      </c>
      <c r="I547" s="82">
        <v>12000</v>
      </c>
      <c r="J547" s="84" t="s">
        <v>72</v>
      </c>
      <c r="K547" s="80" t="s">
        <v>78</v>
      </c>
      <c r="L547" s="89">
        <v>45874.618275463</v>
      </c>
      <c r="M547" s="89">
        <v>45874.7259143519</v>
      </c>
    </row>
    <row r="548" s="59" customFormat="1" spans="1:14">
      <c r="A548" s="74">
        <v>547</v>
      </c>
      <c r="B548" s="66" t="s">
        <v>67</v>
      </c>
      <c r="C548" s="67" t="s">
        <v>297</v>
      </c>
      <c r="D548" s="59" t="s">
        <v>206</v>
      </c>
      <c r="E548" s="88"/>
      <c r="F548" s="89"/>
      <c r="G548" s="89"/>
      <c r="H548" s="77" t="s">
        <v>76</v>
      </c>
      <c r="I548" s="82">
        <v>12000</v>
      </c>
      <c r="K548" s="85"/>
      <c r="L548" s="86"/>
      <c r="M548" s="87"/>
    </row>
    <row r="549" s="59" customFormat="1" spans="1:14">
      <c r="A549" s="74">
        <v>548</v>
      </c>
      <c r="B549" s="66" t="s">
        <v>67</v>
      </c>
      <c r="C549" s="67" t="s">
        <v>297</v>
      </c>
      <c r="D549" s="59" t="s">
        <v>207</v>
      </c>
      <c r="E549" s="88"/>
      <c r="F549" s="89"/>
      <c r="G549" s="89"/>
      <c r="H549" s="77" t="s">
        <v>76</v>
      </c>
      <c r="I549" s="82">
        <v>12000</v>
      </c>
      <c r="K549" s="85"/>
      <c r="L549" s="86"/>
      <c r="M549" s="87"/>
    </row>
    <row r="550" s="59" customFormat="1" spans="1:14">
      <c r="A550" s="74">
        <v>549</v>
      </c>
      <c r="B550" s="66" t="s">
        <v>67</v>
      </c>
      <c r="C550" s="67" t="s">
        <v>297</v>
      </c>
      <c r="D550" s="59" t="s">
        <v>208</v>
      </c>
      <c r="E550" s="75" t="s">
        <v>70</v>
      </c>
      <c r="F550" s="89">
        <v>45827.8819444444</v>
      </c>
      <c r="G550" s="89">
        <v>45826.8819444444</v>
      </c>
      <c r="H550" s="77" t="s">
        <v>71</v>
      </c>
      <c r="I550" s="82">
        <v>12000</v>
      </c>
      <c r="J550" s="84" t="s">
        <v>72</v>
      </c>
      <c r="K550" s="80" t="s">
        <v>78</v>
      </c>
      <c r="L550" s="89">
        <v>45825.6666666667</v>
      </c>
      <c r="M550" s="89">
        <v>45825.75</v>
      </c>
    </row>
    <row r="551" s="59" customFormat="1" spans="1:14">
      <c r="A551" s="74">
        <v>550</v>
      </c>
      <c r="B551" s="66" t="s">
        <v>67</v>
      </c>
      <c r="C551" s="67" t="s">
        <v>297</v>
      </c>
      <c r="D551" s="59" t="s">
        <v>209</v>
      </c>
      <c r="E551" s="75" t="s">
        <v>70</v>
      </c>
      <c r="F551" s="89">
        <v>45827.8819444444</v>
      </c>
      <c r="G551" s="89">
        <v>45826.8819444444</v>
      </c>
      <c r="H551" s="77" t="s">
        <v>76</v>
      </c>
      <c r="I551" s="82">
        <v>12000</v>
      </c>
      <c r="J551" s="84" t="s">
        <v>72</v>
      </c>
      <c r="K551" s="80" t="s">
        <v>78</v>
      </c>
      <c r="L551" s="89">
        <v>45813.5659722222</v>
      </c>
      <c r="M551" s="89">
        <v>45813.6041666667</v>
      </c>
    </row>
    <row r="552" s="59" customFormat="1" spans="1:14">
      <c r="A552" s="74">
        <v>551</v>
      </c>
      <c r="B552" s="66" t="s">
        <v>67</v>
      </c>
      <c r="C552" s="67" t="s">
        <v>297</v>
      </c>
      <c r="D552" s="59" t="s">
        <v>210</v>
      </c>
      <c r="E552" s="75" t="s">
        <v>70</v>
      </c>
      <c r="F552" s="89">
        <v>45827.8819444444</v>
      </c>
      <c r="G552" s="89">
        <v>45826.8819444444</v>
      </c>
      <c r="H552" s="77" t="s">
        <v>76</v>
      </c>
      <c r="I552" s="82">
        <v>12000</v>
      </c>
      <c r="J552" s="84" t="s">
        <v>72</v>
      </c>
      <c r="K552" s="80" t="s">
        <v>78</v>
      </c>
      <c r="L552" s="89">
        <v>45825.6666666667</v>
      </c>
      <c r="M552" s="89">
        <v>45825.75</v>
      </c>
    </row>
    <row r="553" s="59" customFormat="1" spans="1:14">
      <c r="A553" s="74">
        <v>552</v>
      </c>
      <c r="B553" s="66" t="s">
        <v>67</v>
      </c>
      <c r="C553" s="67" t="s">
        <v>297</v>
      </c>
      <c r="D553" s="59" t="s">
        <v>211</v>
      </c>
      <c r="E553" s="75" t="s">
        <v>70</v>
      </c>
      <c r="F553" s="89">
        <v>46046.5774537037</v>
      </c>
      <c r="G553" s="89">
        <v>46044.5775925926</v>
      </c>
      <c r="H553" s="77" t="s">
        <v>76</v>
      </c>
      <c r="I553" s="82">
        <v>12000</v>
      </c>
      <c r="J553" s="84" t="s">
        <v>72</v>
      </c>
      <c r="K553" s="80" t="s">
        <v>78</v>
      </c>
      <c r="L553" s="89">
        <v>46042</v>
      </c>
      <c r="M553" s="89">
        <v>46042.6269097222</v>
      </c>
      <c r="N553" s="77"/>
    </row>
    <row r="554" s="59" customFormat="1" spans="1:14">
      <c r="A554" s="74">
        <v>553</v>
      </c>
      <c r="B554" s="66" t="s">
        <v>67</v>
      </c>
      <c r="C554" s="67" t="s">
        <v>297</v>
      </c>
      <c r="D554" s="59" t="s">
        <v>212</v>
      </c>
      <c r="E554" s="75" t="s">
        <v>70</v>
      </c>
      <c r="F554" s="89">
        <v>46043.8822685185</v>
      </c>
      <c r="G554" s="89">
        <v>46042.8824189815</v>
      </c>
      <c r="H554" s="77" t="s">
        <v>76</v>
      </c>
      <c r="I554" s="82">
        <v>12000</v>
      </c>
      <c r="J554" s="84" t="s">
        <v>72</v>
      </c>
      <c r="K554" s="80" t="s">
        <v>78</v>
      </c>
      <c r="L554" s="89">
        <v>46037.5705324074</v>
      </c>
      <c r="M554" s="89">
        <v>46036.8430092593</v>
      </c>
      <c r="N554" s="77"/>
    </row>
    <row r="555" s="59" customFormat="1" spans="1:14">
      <c r="A555" s="74">
        <v>554</v>
      </c>
      <c r="B555" s="66" t="s">
        <v>67</v>
      </c>
      <c r="C555" s="67" t="s">
        <v>297</v>
      </c>
      <c r="D555" s="59" t="s">
        <v>213</v>
      </c>
      <c r="E555" s="75" t="s">
        <v>70</v>
      </c>
      <c r="F555" s="89">
        <v>46046.577662037</v>
      </c>
      <c r="G555" s="89">
        <v>46044.5778009259</v>
      </c>
      <c r="H555" s="77" t="s">
        <v>76</v>
      </c>
      <c r="I555" s="82">
        <v>12000</v>
      </c>
      <c r="J555" s="84" t="s">
        <v>72</v>
      </c>
      <c r="K555" s="80" t="s">
        <v>78</v>
      </c>
      <c r="L555" s="89">
        <v>46042</v>
      </c>
      <c r="M555" s="89">
        <v>46042.6281712963</v>
      </c>
      <c r="N555" s="77"/>
    </row>
    <row r="556" s="59" customFormat="1" spans="1:14">
      <c r="A556" s="74">
        <v>555</v>
      </c>
      <c r="B556" s="66" t="s">
        <v>67</v>
      </c>
      <c r="C556" s="67" t="s">
        <v>297</v>
      </c>
      <c r="D556" s="59" t="s">
        <v>214</v>
      </c>
      <c r="E556" s="75" t="s">
        <v>70</v>
      </c>
      <c r="F556" s="89">
        <v>46046.5812962963</v>
      </c>
      <c r="G556" s="89">
        <v>46044.5814351852</v>
      </c>
      <c r="H556" s="77" t="s">
        <v>76</v>
      </c>
      <c r="I556" s="82">
        <v>12000</v>
      </c>
      <c r="J556" s="84" t="s">
        <v>72</v>
      </c>
      <c r="K556" s="80" t="s">
        <v>78</v>
      </c>
      <c r="L556" s="89">
        <v>46042</v>
      </c>
      <c r="M556" s="89">
        <v>46042.6361111111</v>
      </c>
      <c r="N556" s="77"/>
    </row>
    <row r="557" s="59" customFormat="1" spans="1:14">
      <c r="A557" s="74">
        <v>556</v>
      </c>
      <c r="B557" s="66" t="s">
        <v>67</v>
      </c>
      <c r="C557" s="67" t="s">
        <v>297</v>
      </c>
      <c r="D557" s="59" t="s">
        <v>215</v>
      </c>
      <c r="E557" s="75" t="s">
        <v>70</v>
      </c>
      <c r="F557" s="89">
        <v>46043.8822685185</v>
      </c>
      <c r="G557" s="89">
        <v>46042.8824189815</v>
      </c>
      <c r="H557" s="77" t="s">
        <v>76</v>
      </c>
      <c r="I557" s="82">
        <v>12000</v>
      </c>
      <c r="J557" s="84" t="s">
        <v>72</v>
      </c>
      <c r="K557" s="80" t="s">
        <v>78</v>
      </c>
      <c r="L557" s="89">
        <v>46037.571099537</v>
      </c>
      <c r="M557" s="89">
        <v>46036.8463194444</v>
      </c>
      <c r="N557" s="77"/>
    </row>
    <row r="558" s="59" customFormat="1" spans="1:14">
      <c r="A558" s="74">
        <v>557</v>
      </c>
      <c r="B558" s="66" t="s">
        <v>67</v>
      </c>
      <c r="C558" s="67" t="s">
        <v>297</v>
      </c>
      <c r="D558" s="59" t="s">
        <v>216</v>
      </c>
      <c r="E558" s="75" t="s">
        <v>70</v>
      </c>
      <c r="F558" s="89">
        <v>46046.5816898148</v>
      </c>
      <c r="G558" s="89">
        <v>46044.5818287037</v>
      </c>
      <c r="H558" s="77" t="s">
        <v>76</v>
      </c>
      <c r="I558" s="82">
        <v>12000</v>
      </c>
      <c r="J558" s="84" t="s">
        <v>72</v>
      </c>
      <c r="K558" s="80" t="s">
        <v>78</v>
      </c>
      <c r="L558" s="89">
        <v>46042</v>
      </c>
      <c r="M558" s="89">
        <v>46042.63625</v>
      </c>
      <c r="N558" s="77"/>
    </row>
    <row r="559" s="59" customFormat="1" spans="1:14">
      <c r="A559" s="74">
        <v>558</v>
      </c>
      <c r="B559" s="66" t="s">
        <v>67</v>
      </c>
      <c r="C559" s="67" t="s">
        <v>297</v>
      </c>
      <c r="D559" s="59" t="s">
        <v>217</v>
      </c>
      <c r="E559" s="75" t="s">
        <v>70</v>
      </c>
      <c r="F559" s="89">
        <v>45894.8822106481</v>
      </c>
      <c r="G559" s="89">
        <v>45893.8823032407</v>
      </c>
      <c r="H559" s="77" t="s">
        <v>76</v>
      </c>
      <c r="I559" s="82">
        <v>12000</v>
      </c>
      <c r="J559" s="84" t="s">
        <v>72</v>
      </c>
      <c r="K559" s="80" t="s">
        <v>78</v>
      </c>
      <c r="L559" s="89">
        <v>45874.618275463</v>
      </c>
      <c r="M559" s="89">
        <v>45874.7259143519</v>
      </c>
    </row>
    <row r="560" s="59" customFormat="1" spans="1:14">
      <c r="A560" s="74">
        <v>559</v>
      </c>
      <c r="B560" s="66" t="s">
        <v>67</v>
      </c>
      <c r="C560" s="67" t="s">
        <v>297</v>
      </c>
      <c r="D560" s="59" t="s">
        <v>218</v>
      </c>
      <c r="E560" s="75" t="s">
        <v>70</v>
      </c>
      <c r="F560" s="89">
        <v>45894.8822106481</v>
      </c>
      <c r="G560" s="89">
        <v>45893.8823032407</v>
      </c>
      <c r="H560" s="77" t="s">
        <v>76</v>
      </c>
      <c r="I560" s="82">
        <v>12000</v>
      </c>
      <c r="J560" s="84" t="s">
        <v>72</v>
      </c>
      <c r="K560" s="80" t="s">
        <v>78</v>
      </c>
      <c r="L560" s="89">
        <v>45867.4064699074</v>
      </c>
      <c r="M560" s="89">
        <v>45867.5002199074</v>
      </c>
    </row>
    <row r="561" s="59" customFormat="1" spans="1:14">
      <c r="A561" s="74">
        <v>560</v>
      </c>
      <c r="B561" s="66" t="s">
        <v>67</v>
      </c>
      <c r="C561" s="67" t="s">
        <v>297</v>
      </c>
      <c r="D561" s="59" t="s">
        <v>219</v>
      </c>
      <c r="E561" s="75" t="s">
        <v>70</v>
      </c>
      <c r="F561" s="89">
        <v>45894.8822106481</v>
      </c>
      <c r="G561" s="89">
        <v>45893.8823032407</v>
      </c>
      <c r="H561" s="77" t="s">
        <v>76</v>
      </c>
      <c r="I561" s="82">
        <v>12000</v>
      </c>
      <c r="J561" s="84" t="s">
        <v>72</v>
      </c>
      <c r="K561" s="80" t="s">
        <v>78</v>
      </c>
      <c r="L561" s="89">
        <v>45874.618275463</v>
      </c>
      <c r="M561" s="89">
        <v>45874.7259143519</v>
      </c>
    </row>
    <row r="562" s="59" customFormat="1" spans="1:14">
      <c r="A562" s="74">
        <v>561</v>
      </c>
      <c r="B562" s="66" t="s">
        <v>67</v>
      </c>
      <c r="C562" s="67" t="s">
        <v>297</v>
      </c>
      <c r="D562" s="59" t="s">
        <v>220</v>
      </c>
      <c r="E562" s="75" t="s">
        <v>70</v>
      </c>
      <c r="F562" s="89">
        <v>45894.8822106481</v>
      </c>
      <c r="G562" s="89">
        <v>45893.8823032407</v>
      </c>
      <c r="H562" s="77" t="s">
        <v>76</v>
      </c>
      <c r="I562" s="82">
        <v>12000</v>
      </c>
      <c r="J562" s="84" t="s">
        <v>72</v>
      </c>
      <c r="K562" s="80" t="s">
        <v>78</v>
      </c>
      <c r="L562" s="89">
        <v>45874.618275463</v>
      </c>
      <c r="M562" s="89">
        <v>45874.7259143519</v>
      </c>
    </row>
    <row r="563" s="59" customFormat="1" spans="1:14">
      <c r="A563" s="74">
        <v>562</v>
      </c>
      <c r="B563" s="66" t="s">
        <v>67</v>
      </c>
      <c r="C563" s="67" t="s">
        <v>297</v>
      </c>
      <c r="D563" s="59" t="s">
        <v>221</v>
      </c>
      <c r="E563" s="75" t="s">
        <v>70</v>
      </c>
      <c r="F563" s="89">
        <v>45894.8822106481</v>
      </c>
      <c r="G563" s="89">
        <v>45893.8823032407</v>
      </c>
      <c r="H563" s="77" t="s">
        <v>76</v>
      </c>
      <c r="I563" s="82">
        <v>12000</v>
      </c>
      <c r="J563" s="84" t="s">
        <v>72</v>
      </c>
      <c r="K563" s="80" t="s">
        <v>78</v>
      </c>
      <c r="L563" s="89">
        <v>45867.4064699074</v>
      </c>
      <c r="M563" s="89">
        <v>45867.5002199074</v>
      </c>
    </row>
    <row r="564" s="59" customFormat="1" spans="1:14">
      <c r="A564" s="74">
        <v>563</v>
      </c>
      <c r="B564" s="66" t="s">
        <v>67</v>
      </c>
      <c r="C564" s="67" t="s">
        <v>297</v>
      </c>
      <c r="D564" s="59" t="s">
        <v>222</v>
      </c>
      <c r="E564" s="75" t="s">
        <v>70</v>
      </c>
      <c r="F564" s="89">
        <v>45894.8822106481</v>
      </c>
      <c r="G564" s="89">
        <v>45893.8823032407</v>
      </c>
      <c r="H564" s="77" t="s">
        <v>76</v>
      </c>
      <c r="I564" s="82">
        <v>12000</v>
      </c>
      <c r="J564" s="84" t="s">
        <v>72</v>
      </c>
      <c r="K564" s="80" t="s">
        <v>78</v>
      </c>
      <c r="L564" s="89">
        <v>45867.4064699074</v>
      </c>
      <c r="M564" s="89">
        <v>45867.5002199074</v>
      </c>
    </row>
    <row r="565" s="59" customFormat="1" spans="1:14">
      <c r="A565" s="74">
        <v>564</v>
      </c>
      <c r="B565" s="66" t="s">
        <v>67</v>
      </c>
      <c r="C565" s="67" t="s">
        <v>297</v>
      </c>
      <c r="D565" s="59" t="s">
        <v>223</v>
      </c>
      <c r="E565" s="75" t="s">
        <v>70</v>
      </c>
      <c r="F565" s="89">
        <v>45894.8822106481</v>
      </c>
      <c r="G565" s="89">
        <v>45893.8823032407</v>
      </c>
      <c r="H565" s="77" t="s">
        <v>76</v>
      </c>
      <c r="I565" s="82">
        <v>12000</v>
      </c>
      <c r="J565" s="84" t="s">
        <v>72</v>
      </c>
      <c r="K565" s="80" t="s">
        <v>78</v>
      </c>
      <c r="L565" s="89">
        <v>45874.618275463</v>
      </c>
      <c r="M565" s="89">
        <v>45874.7259143519</v>
      </c>
    </row>
    <row r="566" s="59" customFormat="1" spans="1:14">
      <c r="A566" s="74">
        <v>565</v>
      </c>
      <c r="B566" s="66" t="s">
        <v>67</v>
      </c>
      <c r="C566" s="67" t="s">
        <v>297</v>
      </c>
      <c r="D566" s="59" t="s">
        <v>224</v>
      </c>
      <c r="E566" s="75" t="s">
        <v>70</v>
      </c>
      <c r="F566" s="89">
        <v>45894.8822106481</v>
      </c>
      <c r="G566" s="89">
        <v>45893.8823032407</v>
      </c>
      <c r="H566" s="77" t="s">
        <v>76</v>
      </c>
      <c r="I566" s="82">
        <v>12000</v>
      </c>
      <c r="J566" s="84" t="s">
        <v>72</v>
      </c>
      <c r="K566" s="80" t="s">
        <v>78</v>
      </c>
      <c r="L566" s="89">
        <v>45867.4064699074</v>
      </c>
      <c r="M566" s="89">
        <v>45867.5002199074</v>
      </c>
    </row>
    <row r="567" s="59" customFormat="1" spans="1:14">
      <c r="A567" s="74">
        <v>566</v>
      </c>
      <c r="B567" s="66" t="s">
        <v>67</v>
      </c>
      <c r="C567" s="67" t="s">
        <v>297</v>
      </c>
      <c r="D567" s="59" t="s">
        <v>225</v>
      </c>
      <c r="E567" s="75" t="s">
        <v>70</v>
      </c>
      <c r="F567" s="89">
        <v>45894.8822106481</v>
      </c>
      <c r="G567" s="89">
        <v>45893.8823032407</v>
      </c>
      <c r="H567" s="77" t="s">
        <v>76</v>
      </c>
      <c r="I567" s="82">
        <v>12000</v>
      </c>
      <c r="J567" s="84" t="s">
        <v>72</v>
      </c>
      <c r="K567" s="80" t="s">
        <v>78</v>
      </c>
      <c r="L567" s="89">
        <v>45874.618275463</v>
      </c>
      <c r="M567" s="89">
        <v>45874.7259143519</v>
      </c>
    </row>
    <row r="568" s="59" customFormat="1" spans="1:14">
      <c r="A568" s="74">
        <v>567</v>
      </c>
      <c r="B568" s="66" t="s">
        <v>67</v>
      </c>
      <c r="C568" s="67" t="s">
        <v>297</v>
      </c>
      <c r="D568" s="59" t="s">
        <v>226</v>
      </c>
      <c r="E568" s="88"/>
      <c r="F568" s="89"/>
      <c r="G568" s="89"/>
      <c r="H568" s="77" t="s">
        <v>76</v>
      </c>
      <c r="I568" s="82">
        <v>12000</v>
      </c>
      <c r="K568" s="85"/>
      <c r="L568" s="86"/>
      <c r="M568" s="87"/>
    </row>
    <row r="569" s="59" customFormat="1" spans="1:14">
      <c r="A569" s="74">
        <v>568</v>
      </c>
      <c r="B569" s="66" t="s">
        <v>67</v>
      </c>
      <c r="C569" s="67" t="s">
        <v>297</v>
      </c>
      <c r="D569" s="59" t="s">
        <v>227</v>
      </c>
      <c r="E569" s="88"/>
      <c r="F569" s="89"/>
      <c r="G569" s="89"/>
      <c r="H569" s="77" t="s">
        <v>76</v>
      </c>
      <c r="I569" s="82">
        <v>12000</v>
      </c>
      <c r="K569" s="85"/>
      <c r="L569" s="86"/>
      <c r="M569" s="87"/>
    </row>
    <row r="570" s="59" customFormat="1" spans="1:14">
      <c r="A570" s="74">
        <v>569</v>
      </c>
      <c r="B570" s="66" t="s">
        <v>67</v>
      </c>
      <c r="C570" s="67" t="s">
        <v>297</v>
      </c>
      <c r="D570" s="59" t="s">
        <v>228</v>
      </c>
      <c r="E570" s="88"/>
      <c r="F570" s="89"/>
      <c r="G570" s="89"/>
      <c r="H570" s="77" t="s">
        <v>76</v>
      </c>
      <c r="I570" s="82">
        <v>12000</v>
      </c>
      <c r="K570" s="85"/>
      <c r="L570" s="86"/>
      <c r="M570" s="87"/>
    </row>
    <row r="571" s="59" customFormat="1" spans="1:14">
      <c r="A571" s="74">
        <v>570</v>
      </c>
      <c r="B571" s="66" t="s">
        <v>67</v>
      </c>
      <c r="C571" s="67" t="s">
        <v>297</v>
      </c>
      <c r="D571" s="59" t="s">
        <v>229</v>
      </c>
      <c r="E571" s="75" t="s">
        <v>70</v>
      </c>
      <c r="F571" s="89">
        <v>45924.8822453704</v>
      </c>
      <c r="G571" s="89">
        <v>45923.8823726852</v>
      </c>
      <c r="H571" s="77" t="s">
        <v>71</v>
      </c>
      <c r="I571" s="78">
        <v>16000</v>
      </c>
      <c r="J571" s="84" t="s">
        <v>72</v>
      </c>
      <c r="K571" s="80" t="s">
        <v>78</v>
      </c>
      <c r="L571" s="89">
        <v>45791.6002199074</v>
      </c>
      <c r="M571" s="89">
        <v>45794.75</v>
      </c>
    </row>
    <row r="572" s="59" customFormat="1" spans="1:14">
      <c r="A572" s="74">
        <v>571</v>
      </c>
      <c r="B572" s="66" t="s">
        <v>67</v>
      </c>
      <c r="C572" s="67" t="s">
        <v>297</v>
      </c>
      <c r="D572" s="59" t="s">
        <v>230</v>
      </c>
      <c r="E572" s="75" t="s">
        <v>70</v>
      </c>
      <c r="F572" s="89">
        <v>45827.8819444444</v>
      </c>
      <c r="G572" s="89">
        <v>45826.8819444444</v>
      </c>
      <c r="H572" s="77" t="s">
        <v>76</v>
      </c>
      <c r="I572" s="82">
        <v>12000</v>
      </c>
      <c r="J572" s="84" t="s">
        <v>72</v>
      </c>
      <c r="K572" s="80" t="s">
        <v>78</v>
      </c>
      <c r="L572" s="89">
        <v>45825.6666666667</v>
      </c>
      <c r="M572" s="89">
        <v>45825.75</v>
      </c>
    </row>
    <row r="573" s="59" customFormat="1" spans="1:14">
      <c r="A573" s="74">
        <v>572</v>
      </c>
      <c r="B573" s="66" t="s">
        <v>67</v>
      </c>
      <c r="C573" s="67" t="s">
        <v>297</v>
      </c>
      <c r="D573" s="59" t="s">
        <v>231</v>
      </c>
      <c r="E573" s="75" t="s">
        <v>70</v>
      </c>
      <c r="F573" s="89">
        <v>45827.8819444444</v>
      </c>
      <c r="G573" s="89">
        <v>45826.8819444444</v>
      </c>
      <c r="H573" s="77" t="s">
        <v>76</v>
      </c>
      <c r="I573" s="82">
        <v>12000</v>
      </c>
      <c r="J573" s="84" t="s">
        <v>72</v>
      </c>
      <c r="K573" s="80" t="s">
        <v>78</v>
      </c>
      <c r="L573" s="89">
        <v>45813.5659722222</v>
      </c>
      <c r="M573" s="89">
        <v>45813.6041666667</v>
      </c>
    </row>
    <row r="574" s="59" customFormat="1" spans="1:14">
      <c r="A574" s="74">
        <v>573</v>
      </c>
      <c r="B574" s="66" t="s">
        <v>67</v>
      </c>
      <c r="C574" s="67" t="s">
        <v>297</v>
      </c>
      <c r="D574" s="59" t="s">
        <v>232</v>
      </c>
      <c r="E574" s="75" t="s">
        <v>70</v>
      </c>
      <c r="F574" s="89">
        <v>45827.8819444444</v>
      </c>
      <c r="G574" s="89">
        <v>45826.8819444444</v>
      </c>
      <c r="H574" s="77" t="s">
        <v>76</v>
      </c>
      <c r="I574" s="82">
        <v>12000</v>
      </c>
      <c r="J574" s="84" t="s">
        <v>72</v>
      </c>
      <c r="K574" s="80" t="s">
        <v>78</v>
      </c>
      <c r="L574" s="89">
        <v>45825.6666666667</v>
      </c>
      <c r="M574" s="89">
        <v>45825.75</v>
      </c>
    </row>
    <row r="575" s="59" customFormat="1" spans="1:14">
      <c r="A575" s="74">
        <v>574</v>
      </c>
      <c r="B575" s="66" t="s">
        <v>67</v>
      </c>
      <c r="C575" s="67" t="s">
        <v>297</v>
      </c>
      <c r="D575" s="59" t="s">
        <v>233</v>
      </c>
      <c r="E575" s="75" t="s">
        <v>70</v>
      </c>
      <c r="F575" s="89">
        <v>46046.4792013889</v>
      </c>
      <c r="G575" s="89">
        <v>46044.4793518518</v>
      </c>
      <c r="H575" s="77" t="s">
        <v>76</v>
      </c>
      <c r="I575" s="82">
        <v>12000</v>
      </c>
      <c r="J575" s="84" t="s">
        <v>72</v>
      </c>
      <c r="K575" s="80" t="s">
        <v>78</v>
      </c>
      <c r="L575" s="89">
        <v>46042</v>
      </c>
      <c r="M575" s="89">
        <v>46042.6393287037</v>
      </c>
      <c r="N575" s="77"/>
    </row>
    <row r="576" s="59" customFormat="1" spans="1:14">
      <c r="A576" s="74">
        <v>575</v>
      </c>
      <c r="B576" s="66" t="s">
        <v>67</v>
      </c>
      <c r="C576" s="67" t="s">
        <v>297</v>
      </c>
      <c r="D576" s="59" t="s">
        <v>234</v>
      </c>
      <c r="E576" s="75" t="s">
        <v>70</v>
      </c>
      <c r="F576" s="89">
        <v>46043.8822685185</v>
      </c>
      <c r="G576" s="89">
        <v>46042.8824189815</v>
      </c>
      <c r="H576" s="77" t="s">
        <v>76</v>
      </c>
      <c r="I576" s="82">
        <v>12000</v>
      </c>
      <c r="J576" s="84" t="s">
        <v>72</v>
      </c>
      <c r="K576" s="80" t="s">
        <v>78</v>
      </c>
      <c r="L576" s="89">
        <v>46037.5875694444</v>
      </c>
      <c r="M576" s="89">
        <v>46036.8475347222</v>
      </c>
      <c r="N576" s="77"/>
    </row>
    <row r="577" s="59" customFormat="1" spans="1:14">
      <c r="A577" s="74">
        <v>576</v>
      </c>
      <c r="B577" s="66" t="s">
        <v>67</v>
      </c>
      <c r="C577" s="67" t="s">
        <v>297</v>
      </c>
      <c r="D577" s="59" t="s">
        <v>235</v>
      </c>
      <c r="E577" s="75" t="s">
        <v>70</v>
      </c>
      <c r="F577" s="89">
        <v>46046.4859027778</v>
      </c>
      <c r="G577" s="89">
        <v>46044.4860416667</v>
      </c>
      <c r="H577" s="77" t="s">
        <v>76</v>
      </c>
      <c r="I577" s="82">
        <v>12000</v>
      </c>
      <c r="J577" s="84" t="s">
        <v>72</v>
      </c>
      <c r="K577" s="80" t="s">
        <v>78</v>
      </c>
      <c r="L577" s="89">
        <v>46042</v>
      </c>
      <c r="M577" s="89">
        <v>46042.6479398148</v>
      </c>
      <c r="N577" s="77"/>
    </row>
    <row r="578" s="59" customFormat="1" spans="1:14">
      <c r="A578" s="74">
        <v>577</v>
      </c>
      <c r="B578" s="66" t="s">
        <v>67</v>
      </c>
      <c r="C578" s="67" t="s">
        <v>297</v>
      </c>
      <c r="D578" s="59" t="s">
        <v>236</v>
      </c>
      <c r="E578" s="75" t="s">
        <v>70</v>
      </c>
      <c r="F578" s="89">
        <v>46046.4895833333</v>
      </c>
      <c r="G578" s="89">
        <v>46044.4897222222</v>
      </c>
      <c r="H578" s="77" t="s">
        <v>76</v>
      </c>
      <c r="I578" s="82">
        <v>12000</v>
      </c>
      <c r="J578" s="84" t="s">
        <v>72</v>
      </c>
      <c r="K578" s="80" t="s">
        <v>78</v>
      </c>
      <c r="L578" s="89">
        <v>46042</v>
      </c>
      <c r="M578" s="89">
        <v>46042.644849537</v>
      </c>
      <c r="N578" s="77"/>
    </row>
    <row r="579" s="59" customFormat="1" spans="1:14">
      <c r="A579" s="74">
        <v>578</v>
      </c>
      <c r="B579" s="66" t="s">
        <v>67</v>
      </c>
      <c r="C579" s="67" t="s">
        <v>297</v>
      </c>
      <c r="D579" s="59" t="s">
        <v>237</v>
      </c>
      <c r="E579" s="75" t="s">
        <v>70</v>
      </c>
      <c r="F579" s="89">
        <v>46043.8822685185</v>
      </c>
      <c r="G579" s="89">
        <v>46042.8824189815</v>
      </c>
      <c r="H579" s="77" t="s">
        <v>76</v>
      </c>
      <c r="I579" s="82">
        <v>12000</v>
      </c>
      <c r="J579" s="84" t="s">
        <v>72</v>
      </c>
      <c r="K579" s="80" t="s">
        <v>78</v>
      </c>
      <c r="L579" s="89">
        <v>46037.5719791667</v>
      </c>
      <c r="M579" s="89">
        <v>46036.8514351852</v>
      </c>
      <c r="N579" s="77"/>
    </row>
    <row r="580" s="59" customFormat="1" spans="1:14">
      <c r="A580" s="74">
        <v>579</v>
      </c>
      <c r="B580" s="66" t="s">
        <v>67</v>
      </c>
      <c r="C580" s="67" t="s">
        <v>297</v>
      </c>
      <c r="D580" s="59" t="s">
        <v>238</v>
      </c>
      <c r="E580" s="75" t="s">
        <v>70</v>
      </c>
      <c r="F580" s="89">
        <v>46046.5886805556</v>
      </c>
      <c r="G580" s="89">
        <v>46044.5888194444</v>
      </c>
      <c r="H580" s="77" t="s">
        <v>76</v>
      </c>
      <c r="I580" s="82">
        <v>12000</v>
      </c>
      <c r="J580" s="84" t="s">
        <v>72</v>
      </c>
      <c r="K580" s="80" t="s">
        <v>78</v>
      </c>
      <c r="L580" s="89">
        <v>46042</v>
      </c>
      <c r="M580" s="89">
        <v>46042.6449189815</v>
      </c>
      <c r="N580" s="77"/>
    </row>
    <row r="581" s="59" customFormat="1" spans="1:14">
      <c r="A581" s="74">
        <v>580</v>
      </c>
      <c r="B581" s="66" t="s">
        <v>67</v>
      </c>
      <c r="C581" s="67" t="s">
        <v>297</v>
      </c>
      <c r="D581" s="59" t="s">
        <v>239</v>
      </c>
      <c r="E581" s="75" t="s">
        <v>70</v>
      </c>
      <c r="F581" s="89">
        <v>46005.4470023148</v>
      </c>
      <c r="G581" s="89">
        <v>46003.4471412037</v>
      </c>
      <c r="H581" s="77" t="s">
        <v>76</v>
      </c>
      <c r="I581" s="82">
        <v>12000</v>
      </c>
      <c r="J581" s="84" t="s">
        <v>72</v>
      </c>
      <c r="K581" s="80" t="s">
        <v>78</v>
      </c>
      <c r="L581" s="89">
        <v>46002</v>
      </c>
      <c r="M581" s="89">
        <v>46002.7039930556</v>
      </c>
    </row>
    <row r="582" s="59" customFormat="1" spans="1:14">
      <c r="A582" s="74">
        <v>581</v>
      </c>
      <c r="B582" s="66" t="s">
        <v>67</v>
      </c>
      <c r="C582" s="67" t="s">
        <v>297</v>
      </c>
      <c r="D582" s="59" t="s">
        <v>240</v>
      </c>
      <c r="E582" s="75" t="s">
        <v>70</v>
      </c>
      <c r="F582" s="89">
        <v>45992.8821180556</v>
      </c>
      <c r="G582" s="89">
        <v>45991.8819444444</v>
      </c>
      <c r="H582" s="77" t="s">
        <v>76</v>
      </c>
      <c r="I582" s="82">
        <v>12000</v>
      </c>
      <c r="J582" s="84" t="s">
        <v>72</v>
      </c>
      <c r="K582" s="80" t="s">
        <v>78</v>
      </c>
      <c r="L582" s="89">
        <v>45989.6630092593</v>
      </c>
      <c r="M582" s="89">
        <v>45989.7895833333</v>
      </c>
    </row>
    <row r="583" s="59" customFormat="1" spans="1:14">
      <c r="A583" s="74">
        <v>582</v>
      </c>
      <c r="B583" s="66" t="s">
        <v>67</v>
      </c>
      <c r="C583" s="67" t="s">
        <v>297</v>
      </c>
      <c r="D583" s="59" t="s">
        <v>241</v>
      </c>
      <c r="E583" s="75" t="s">
        <v>70</v>
      </c>
      <c r="F583" s="89">
        <v>46005.458587963</v>
      </c>
      <c r="G583" s="89">
        <v>46003.4587268519</v>
      </c>
      <c r="H583" s="77" t="s">
        <v>76</v>
      </c>
      <c r="I583" s="82">
        <v>12000</v>
      </c>
      <c r="J583" s="84" t="s">
        <v>72</v>
      </c>
      <c r="K583" s="80" t="s">
        <v>78</v>
      </c>
      <c r="L583" s="89">
        <v>46002</v>
      </c>
      <c r="M583" s="89">
        <v>46002.7068634259</v>
      </c>
    </row>
    <row r="584" s="59" customFormat="1" spans="1:14">
      <c r="A584" s="74">
        <v>583</v>
      </c>
      <c r="B584" s="66" t="s">
        <v>67</v>
      </c>
      <c r="C584" s="67" t="s">
        <v>297</v>
      </c>
      <c r="D584" s="59" t="s">
        <v>242</v>
      </c>
      <c r="E584" s="75" t="s">
        <v>70</v>
      </c>
      <c r="F584" s="89">
        <v>45878.737025463</v>
      </c>
      <c r="G584" s="89">
        <v>45876.737025463</v>
      </c>
      <c r="H584" s="77" t="s">
        <v>76</v>
      </c>
      <c r="I584" s="82">
        <v>12000</v>
      </c>
      <c r="J584" s="84" t="s">
        <v>72</v>
      </c>
      <c r="K584" s="80" t="s">
        <v>78</v>
      </c>
      <c r="L584" s="89">
        <v>45875.6113310185</v>
      </c>
      <c r="M584" s="89">
        <v>45875.7641087963</v>
      </c>
    </row>
    <row r="585" s="59" customFormat="1" spans="1:14">
      <c r="A585" s="74">
        <v>584</v>
      </c>
      <c r="B585" s="66" t="s">
        <v>67</v>
      </c>
      <c r="C585" s="67" t="s">
        <v>297</v>
      </c>
      <c r="D585" s="59" t="s">
        <v>243</v>
      </c>
      <c r="E585" s="75" t="s">
        <v>70</v>
      </c>
      <c r="F585" s="89">
        <v>45878.737025463</v>
      </c>
      <c r="G585" s="89">
        <v>45876.737025463</v>
      </c>
      <c r="H585" s="77" t="s">
        <v>76</v>
      </c>
      <c r="I585" s="82">
        <v>12000</v>
      </c>
      <c r="J585" s="84" t="s">
        <v>72</v>
      </c>
      <c r="K585" s="80" t="s">
        <v>78</v>
      </c>
      <c r="L585" s="89">
        <v>45867.4064699074</v>
      </c>
      <c r="M585" s="89">
        <v>45867.5002199074</v>
      </c>
    </row>
    <row r="586" s="59" customFormat="1" spans="1:14">
      <c r="A586" s="74">
        <v>585</v>
      </c>
      <c r="B586" s="66" t="s">
        <v>67</v>
      </c>
      <c r="C586" s="67" t="s">
        <v>297</v>
      </c>
      <c r="D586" s="59" t="s">
        <v>244</v>
      </c>
      <c r="E586" s="75" t="s">
        <v>70</v>
      </c>
      <c r="F586" s="89">
        <v>45878.737025463</v>
      </c>
      <c r="G586" s="89">
        <v>45876.737025463</v>
      </c>
      <c r="H586" s="77" t="s">
        <v>76</v>
      </c>
      <c r="I586" s="82">
        <v>12000</v>
      </c>
      <c r="J586" s="84" t="s">
        <v>72</v>
      </c>
      <c r="K586" s="80" t="s">
        <v>78</v>
      </c>
      <c r="L586" s="89">
        <v>45875.6113310185</v>
      </c>
      <c r="M586" s="89">
        <v>45875.7641087963</v>
      </c>
    </row>
    <row r="587" s="59" customFormat="1" spans="1:14">
      <c r="A587" s="74">
        <v>586</v>
      </c>
      <c r="B587" s="66" t="s">
        <v>67</v>
      </c>
      <c r="C587" s="67" t="s">
        <v>297</v>
      </c>
      <c r="D587" s="59" t="s">
        <v>245</v>
      </c>
      <c r="E587" s="75" t="s">
        <v>70</v>
      </c>
      <c r="F587" s="89">
        <v>45877.6641087963</v>
      </c>
      <c r="G587" s="89">
        <v>45875.6645833333</v>
      </c>
      <c r="H587" s="77" t="s">
        <v>76</v>
      </c>
      <c r="I587" s="82">
        <v>12000</v>
      </c>
      <c r="J587" s="84" t="s">
        <v>72</v>
      </c>
      <c r="K587" s="80" t="s">
        <v>78</v>
      </c>
      <c r="L587" s="89">
        <v>45874.618275463</v>
      </c>
      <c r="M587" s="89">
        <v>45874.7259143519</v>
      </c>
    </row>
    <row r="588" s="59" customFormat="1" spans="1:14">
      <c r="A588" s="74">
        <v>587</v>
      </c>
      <c r="B588" s="66" t="s">
        <v>67</v>
      </c>
      <c r="C588" s="67" t="s">
        <v>297</v>
      </c>
      <c r="D588" s="59" t="s">
        <v>246</v>
      </c>
      <c r="E588" s="75" t="s">
        <v>70</v>
      </c>
      <c r="F588" s="89">
        <v>45877.6641087963</v>
      </c>
      <c r="G588" s="89">
        <v>45875.6645833333</v>
      </c>
      <c r="H588" s="77" t="s">
        <v>76</v>
      </c>
      <c r="I588" s="82">
        <v>12000</v>
      </c>
      <c r="J588" s="84" t="s">
        <v>72</v>
      </c>
      <c r="K588" s="80" t="s">
        <v>78</v>
      </c>
      <c r="L588" s="89">
        <v>45867.4064699074</v>
      </c>
      <c r="M588" s="89">
        <v>45867.5002199074</v>
      </c>
    </row>
    <row r="589" s="59" customFormat="1" spans="1:14">
      <c r="A589" s="74">
        <v>588</v>
      </c>
      <c r="B589" s="66" t="s">
        <v>67</v>
      </c>
      <c r="C589" s="67" t="s">
        <v>297</v>
      </c>
      <c r="D589" s="59" t="s">
        <v>247</v>
      </c>
      <c r="E589" s="75" t="s">
        <v>70</v>
      </c>
      <c r="F589" s="89">
        <v>45877.6641087963</v>
      </c>
      <c r="G589" s="89">
        <v>45875.6645833333</v>
      </c>
      <c r="H589" s="77" t="s">
        <v>76</v>
      </c>
      <c r="I589" s="82">
        <v>12000</v>
      </c>
      <c r="J589" s="84" t="s">
        <v>72</v>
      </c>
      <c r="K589" s="80" t="s">
        <v>78</v>
      </c>
      <c r="L589" s="89">
        <v>45874.618275463</v>
      </c>
      <c r="M589" s="89">
        <v>45874.7259143519</v>
      </c>
    </row>
    <row r="590" s="59" customFormat="1" spans="1:14">
      <c r="A590" s="74">
        <v>589</v>
      </c>
      <c r="B590" s="66" t="s">
        <v>67</v>
      </c>
      <c r="C590" s="67" t="s">
        <v>297</v>
      </c>
      <c r="D590" s="59" t="s">
        <v>248</v>
      </c>
      <c r="E590" s="75" t="s">
        <v>70</v>
      </c>
      <c r="F590" s="89">
        <v>45878.737025463</v>
      </c>
      <c r="G590" s="89">
        <v>45876.737025463</v>
      </c>
      <c r="H590" s="77" t="s">
        <v>76</v>
      </c>
      <c r="I590" s="82">
        <v>12000</v>
      </c>
      <c r="J590" s="84" t="s">
        <v>72</v>
      </c>
      <c r="K590" s="80" t="s">
        <v>78</v>
      </c>
      <c r="L590" s="89">
        <v>45875.6113310185</v>
      </c>
      <c r="M590" s="89">
        <v>45875.7641087963</v>
      </c>
    </row>
    <row r="591" s="59" customFormat="1" spans="1:14">
      <c r="A591" s="74">
        <v>590</v>
      </c>
      <c r="B591" s="66" t="s">
        <v>67</v>
      </c>
      <c r="C591" s="67" t="s">
        <v>297</v>
      </c>
      <c r="D591" s="59" t="s">
        <v>249</v>
      </c>
      <c r="E591" s="75" t="s">
        <v>70</v>
      </c>
      <c r="F591" s="89">
        <v>45878.737025463</v>
      </c>
      <c r="G591" s="89">
        <v>45876.737025463</v>
      </c>
      <c r="H591" s="77" t="s">
        <v>76</v>
      </c>
      <c r="I591" s="82">
        <v>12000</v>
      </c>
      <c r="J591" s="84" t="s">
        <v>72</v>
      </c>
      <c r="K591" s="80" t="s">
        <v>78</v>
      </c>
      <c r="L591" s="89">
        <v>45867.4064699074</v>
      </c>
      <c r="M591" s="89">
        <v>45867.5002199074</v>
      </c>
    </row>
    <row r="592" s="59" customFormat="1" spans="1:14">
      <c r="A592" s="74">
        <v>591</v>
      </c>
      <c r="B592" s="66" t="s">
        <v>67</v>
      </c>
      <c r="C592" s="67" t="s">
        <v>297</v>
      </c>
      <c r="D592" s="59" t="s">
        <v>250</v>
      </c>
      <c r="E592" s="75" t="s">
        <v>70</v>
      </c>
      <c r="F592" s="89">
        <v>45878.737025463</v>
      </c>
      <c r="G592" s="89">
        <v>45876.737025463</v>
      </c>
      <c r="H592" s="77" t="s">
        <v>76</v>
      </c>
      <c r="I592" s="82">
        <v>12000</v>
      </c>
      <c r="J592" s="84" t="s">
        <v>72</v>
      </c>
      <c r="K592" s="80" t="s">
        <v>78</v>
      </c>
      <c r="L592" s="89">
        <v>45875.6113310185</v>
      </c>
      <c r="M592" s="89">
        <v>45875.7641087963</v>
      </c>
    </row>
    <row r="593" s="59" customFormat="1" spans="1:14">
      <c r="A593" s="74">
        <v>592</v>
      </c>
      <c r="B593" s="66" t="s">
        <v>67</v>
      </c>
      <c r="C593" s="67" t="s">
        <v>297</v>
      </c>
      <c r="D593" s="59" t="s">
        <v>251</v>
      </c>
      <c r="E593" s="88"/>
      <c r="F593" s="89"/>
      <c r="G593" s="89"/>
      <c r="H593" s="77" t="s">
        <v>76</v>
      </c>
      <c r="I593" s="82">
        <v>12000</v>
      </c>
      <c r="J593" s="84"/>
      <c r="K593" s="85"/>
      <c r="L593" s="89"/>
      <c r="M593" s="89"/>
    </row>
    <row r="594" s="59" customFormat="1" spans="1:14">
      <c r="A594" s="74">
        <v>593</v>
      </c>
      <c r="B594" s="66" t="s">
        <v>67</v>
      </c>
      <c r="C594" s="67" t="s">
        <v>297</v>
      </c>
      <c r="D594" s="59" t="s">
        <v>252</v>
      </c>
      <c r="E594" s="75" t="s">
        <v>70</v>
      </c>
      <c r="F594" s="89">
        <v>45924.8822453704</v>
      </c>
      <c r="G594" s="89">
        <v>45923.8823726852</v>
      </c>
      <c r="H594" s="77" t="s">
        <v>71</v>
      </c>
      <c r="I594" s="78">
        <v>16000</v>
      </c>
      <c r="J594" s="84" t="s">
        <v>72</v>
      </c>
      <c r="K594" s="80" t="s">
        <v>78</v>
      </c>
      <c r="L594" s="89">
        <v>45791.6002199074</v>
      </c>
      <c r="M594" s="89">
        <v>45794.75</v>
      </c>
    </row>
    <row r="595" s="59" customFormat="1" spans="1:14">
      <c r="A595" s="74">
        <v>594</v>
      </c>
      <c r="B595" s="66" t="s">
        <v>67</v>
      </c>
      <c r="C595" s="67" t="s">
        <v>297</v>
      </c>
      <c r="D595" s="59" t="s">
        <v>253</v>
      </c>
      <c r="E595" s="75" t="s">
        <v>70</v>
      </c>
      <c r="F595" s="89">
        <v>45827.8819444444</v>
      </c>
      <c r="G595" s="89">
        <v>45826.8819444444</v>
      </c>
      <c r="H595" s="77" t="s">
        <v>76</v>
      </c>
      <c r="I595" s="82">
        <v>12000</v>
      </c>
      <c r="J595" s="84" t="s">
        <v>72</v>
      </c>
      <c r="K595" s="80" t="s">
        <v>78</v>
      </c>
      <c r="L595" s="89">
        <v>45825.6666666667</v>
      </c>
      <c r="M595" s="89">
        <v>45825.75</v>
      </c>
    </row>
    <row r="596" s="59" customFormat="1" spans="1:14">
      <c r="A596" s="74">
        <v>595</v>
      </c>
      <c r="B596" s="66" t="s">
        <v>67</v>
      </c>
      <c r="C596" s="67" t="s">
        <v>297</v>
      </c>
      <c r="D596" s="59" t="s">
        <v>254</v>
      </c>
      <c r="E596" s="75" t="s">
        <v>70</v>
      </c>
      <c r="F596" s="89">
        <v>45827.8819444444</v>
      </c>
      <c r="G596" s="89">
        <v>45826.8819444444</v>
      </c>
      <c r="H596" s="77" t="s">
        <v>76</v>
      </c>
      <c r="I596" s="82">
        <v>12000</v>
      </c>
      <c r="J596" s="84" t="s">
        <v>72</v>
      </c>
      <c r="K596" s="80" t="s">
        <v>78</v>
      </c>
      <c r="L596" s="89">
        <v>45813.5659722222</v>
      </c>
      <c r="M596" s="89">
        <v>45813.6041666667</v>
      </c>
    </row>
    <row r="597" s="59" customFormat="1" spans="1:14">
      <c r="A597" s="74">
        <v>596</v>
      </c>
      <c r="B597" s="66" t="s">
        <v>67</v>
      </c>
      <c r="C597" s="67" t="s">
        <v>297</v>
      </c>
      <c r="D597" s="59" t="s">
        <v>255</v>
      </c>
      <c r="E597" s="75" t="s">
        <v>70</v>
      </c>
      <c r="F597" s="89">
        <v>45827.8819444444</v>
      </c>
      <c r="G597" s="89">
        <v>45826.8819444444</v>
      </c>
      <c r="H597" s="77" t="s">
        <v>76</v>
      </c>
      <c r="I597" s="82">
        <v>12000</v>
      </c>
      <c r="J597" s="84" t="s">
        <v>72</v>
      </c>
      <c r="K597" s="80" t="s">
        <v>78</v>
      </c>
      <c r="L597" s="89">
        <v>45825.6666666667</v>
      </c>
      <c r="M597" s="89">
        <v>45825.75</v>
      </c>
    </row>
    <row r="598" s="59" customFormat="1" spans="1:14">
      <c r="A598" s="74">
        <v>597</v>
      </c>
      <c r="B598" s="66" t="s">
        <v>67</v>
      </c>
      <c r="C598" s="67" t="s">
        <v>297</v>
      </c>
      <c r="D598" s="59" t="s">
        <v>256</v>
      </c>
      <c r="E598" s="75" t="s">
        <v>70</v>
      </c>
      <c r="F598" s="89">
        <v>46046.489537037</v>
      </c>
      <c r="G598" s="89">
        <v>46044.4896759259</v>
      </c>
      <c r="H598" s="77" t="s">
        <v>76</v>
      </c>
      <c r="I598" s="82">
        <v>12000</v>
      </c>
      <c r="J598" s="84" t="s">
        <v>72</v>
      </c>
      <c r="K598" s="80" t="s">
        <v>78</v>
      </c>
      <c r="L598" s="89">
        <v>46042</v>
      </c>
      <c r="M598" s="89">
        <v>46042.6685185185</v>
      </c>
      <c r="N598" s="77"/>
    </row>
    <row r="599" s="59" customFormat="1" spans="1:14">
      <c r="A599" s="74">
        <v>598</v>
      </c>
      <c r="B599" s="66" t="s">
        <v>67</v>
      </c>
      <c r="C599" s="67" t="s">
        <v>297</v>
      </c>
      <c r="D599" s="59" t="s">
        <v>257</v>
      </c>
      <c r="E599" s="75" t="s">
        <v>70</v>
      </c>
      <c r="F599" s="89">
        <v>46043.8822685185</v>
      </c>
      <c r="G599" s="89">
        <v>46042.8824189815</v>
      </c>
      <c r="H599" s="77" t="s">
        <v>76</v>
      </c>
      <c r="I599" s="82">
        <v>12000</v>
      </c>
      <c r="J599" s="84" t="s">
        <v>72</v>
      </c>
      <c r="K599" s="80" t="s">
        <v>78</v>
      </c>
      <c r="L599" s="89">
        <v>46037.572349537</v>
      </c>
      <c r="M599" s="89">
        <v>46036.8543865741</v>
      </c>
      <c r="N599" s="77"/>
    </row>
    <row r="600" s="59" customFormat="1" spans="1:14">
      <c r="A600" s="74">
        <v>599</v>
      </c>
      <c r="B600" s="66" t="s">
        <v>67</v>
      </c>
      <c r="C600" s="67" t="s">
        <v>297</v>
      </c>
      <c r="D600" s="59" t="s">
        <v>258</v>
      </c>
      <c r="E600" s="75" t="s">
        <v>70</v>
      </c>
      <c r="F600" s="89">
        <v>46046.4930439815</v>
      </c>
      <c r="G600" s="89">
        <v>46044.4931828704</v>
      </c>
      <c r="H600" s="77" t="s">
        <v>76</v>
      </c>
      <c r="I600" s="82">
        <v>12000</v>
      </c>
      <c r="J600" s="84" t="s">
        <v>72</v>
      </c>
      <c r="K600" s="80" t="s">
        <v>78</v>
      </c>
      <c r="L600" s="89">
        <v>46042</v>
      </c>
      <c r="M600" s="89">
        <v>46042.6686111111</v>
      </c>
      <c r="N600" s="77"/>
    </row>
    <row r="601" s="59" customFormat="1" spans="1:14">
      <c r="A601" s="74">
        <v>600</v>
      </c>
      <c r="B601" s="66" t="s">
        <v>67</v>
      </c>
      <c r="C601" s="67" t="s">
        <v>297</v>
      </c>
      <c r="D601" s="59" t="s">
        <v>259</v>
      </c>
      <c r="E601" s="75" t="s">
        <v>70</v>
      </c>
      <c r="F601" s="89">
        <v>46005.4738657407</v>
      </c>
      <c r="G601" s="89">
        <v>46003.4740162037</v>
      </c>
      <c r="H601" s="77" t="s">
        <v>76</v>
      </c>
      <c r="I601" s="82">
        <v>12000</v>
      </c>
      <c r="J601" s="84" t="s">
        <v>72</v>
      </c>
      <c r="K601" s="80" t="s">
        <v>78</v>
      </c>
      <c r="L601" s="89">
        <v>46002</v>
      </c>
      <c r="M601" s="89">
        <v>46002.7107060185</v>
      </c>
    </row>
    <row r="602" s="59" customFormat="1" spans="1:14">
      <c r="A602" s="74">
        <v>601</v>
      </c>
      <c r="B602" s="66" t="s">
        <v>67</v>
      </c>
      <c r="C602" s="67" t="s">
        <v>297</v>
      </c>
      <c r="D602" s="59" t="s">
        <v>260</v>
      </c>
      <c r="E602" s="75" t="s">
        <v>70</v>
      </c>
      <c r="F602" s="89">
        <v>45992.8821180556</v>
      </c>
      <c r="G602" s="89">
        <v>45991.8819444444</v>
      </c>
      <c r="H602" s="77" t="s">
        <v>76</v>
      </c>
      <c r="I602" s="82">
        <v>12000</v>
      </c>
      <c r="J602" s="84" t="s">
        <v>72</v>
      </c>
      <c r="K602" s="80" t="s">
        <v>78</v>
      </c>
      <c r="L602" s="89">
        <v>45989.6623148148</v>
      </c>
      <c r="M602" s="89">
        <v>45989.7895833333</v>
      </c>
    </row>
    <row r="603" s="59" customFormat="1" spans="1:14">
      <c r="A603" s="74">
        <v>602</v>
      </c>
      <c r="B603" s="66" t="s">
        <v>67</v>
      </c>
      <c r="C603" s="67" t="s">
        <v>297</v>
      </c>
      <c r="D603" s="59" t="s">
        <v>261</v>
      </c>
      <c r="E603" s="75" t="s">
        <v>70</v>
      </c>
      <c r="F603" s="89">
        <v>46005.4657986111</v>
      </c>
      <c r="G603" s="89">
        <v>46003.4659375</v>
      </c>
      <c r="H603" s="77" t="s">
        <v>76</v>
      </c>
      <c r="I603" s="82">
        <v>12000</v>
      </c>
      <c r="J603" s="84" t="s">
        <v>72</v>
      </c>
      <c r="K603" s="80" t="s">
        <v>78</v>
      </c>
      <c r="L603" s="89">
        <v>46002</v>
      </c>
      <c r="M603" s="89">
        <v>46002.7136342593</v>
      </c>
    </row>
    <row r="604" s="59" customFormat="1" spans="1:14">
      <c r="A604" s="74">
        <v>603</v>
      </c>
      <c r="B604" s="66" t="s">
        <v>67</v>
      </c>
      <c r="C604" s="67" t="s">
        <v>297</v>
      </c>
      <c r="D604" s="59" t="s">
        <v>262</v>
      </c>
      <c r="E604" s="75" t="s">
        <v>70</v>
      </c>
      <c r="F604" s="89">
        <v>45894.8822106481</v>
      </c>
      <c r="G604" s="89">
        <v>45893.8823032407</v>
      </c>
      <c r="H604" s="77" t="s">
        <v>76</v>
      </c>
      <c r="I604" s="82">
        <v>12000</v>
      </c>
      <c r="J604" s="84" t="s">
        <v>72</v>
      </c>
      <c r="K604" s="80" t="s">
        <v>78</v>
      </c>
      <c r="L604" s="89">
        <v>45874.618275463</v>
      </c>
      <c r="M604" s="89">
        <v>45874.7259143519</v>
      </c>
    </row>
    <row r="605" s="59" customFormat="1" spans="1:14">
      <c r="A605" s="74">
        <v>604</v>
      </c>
      <c r="B605" s="66" t="s">
        <v>67</v>
      </c>
      <c r="C605" s="67" t="s">
        <v>297</v>
      </c>
      <c r="D605" s="59" t="s">
        <v>263</v>
      </c>
      <c r="E605" s="75" t="s">
        <v>70</v>
      </c>
      <c r="F605" s="89">
        <v>45894.8822106481</v>
      </c>
      <c r="G605" s="89">
        <v>45893.8823032407</v>
      </c>
      <c r="H605" s="77" t="s">
        <v>76</v>
      </c>
      <c r="I605" s="82">
        <v>12000</v>
      </c>
      <c r="J605" s="84" t="s">
        <v>72</v>
      </c>
      <c r="K605" s="80" t="s">
        <v>78</v>
      </c>
      <c r="L605" s="89">
        <v>45867.4064699074</v>
      </c>
      <c r="M605" s="89">
        <v>45867.5002199074</v>
      </c>
    </row>
    <row r="606" s="59" customFormat="1" spans="1:14">
      <c r="A606" s="74">
        <v>605</v>
      </c>
      <c r="B606" s="66" t="s">
        <v>67</v>
      </c>
      <c r="C606" s="67" t="s">
        <v>297</v>
      </c>
      <c r="D606" s="59" t="s">
        <v>264</v>
      </c>
      <c r="E606" s="75" t="s">
        <v>70</v>
      </c>
      <c r="F606" s="89">
        <v>45894.8822106481</v>
      </c>
      <c r="G606" s="89">
        <v>45893.8823032407</v>
      </c>
      <c r="H606" s="77" t="s">
        <v>76</v>
      </c>
      <c r="I606" s="82">
        <v>12000</v>
      </c>
      <c r="J606" s="84" t="s">
        <v>72</v>
      </c>
      <c r="K606" s="80" t="s">
        <v>78</v>
      </c>
      <c r="L606" s="89">
        <v>45874.618275463</v>
      </c>
      <c r="M606" s="89">
        <v>45874.7259143519</v>
      </c>
    </row>
    <row r="607" s="59" customFormat="1" spans="1:14">
      <c r="A607" s="74">
        <v>606</v>
      </c>
      <c r="B607" s="66" t="s">
        <v>67</v>
      </c>
      <c r="C607" s="67" t="s">
        <v>297</v>
      </c>
      <c r="D607" s="59" t="s">
        <v>265</v>
      </c>
      <c r="E607" s="75" t="s">
        <v>70</v>
      </c>
      <c r="F607" s="89">
        <v>45877.8821643519</v>
      </c>
      <c r="G607" s="89">
        <v>45876.8821643519</v>
      </c>
      <c r="H607" s="77" t="s">
        <v>76</v>
      </c>
      <c r="I607" s="82">
        <v>12000</v>
      </c>
      <c r="J607" s="84" t="s">
        <v>72</v>
      </c>
      <c r="K607" s="80" t="s">
        <v>78</v>
      </c>
      <c r="L607" s="89">
        <v>45874.618275463</v>
      </c>
      <c r="M607" s="89">
        <v>45874.7259143519</v>
      </c>
    </row>
    <row r="608" s="59" customFormat="1" spans="1:14">
      <c r="A608" s="74">
        <v>607</v>
      </c>
      <c r="B608" s="66" t="s">
        <v>67</v>
      </c>
      <c r="C608" s="67" t="s">
        <v>297</v>
      </c>
      <c r="D608" s="59" t="s">
        <v>266</v>
      </c>
      <c r="E608" s="75" t="s">
        <v>70</v>
      </c>
      <c r="F608" s="89">
        <v>45877.8821643519</v>
      </c>
      <c r="G608" s="89">
        <v>45876.8821643519</v>
      </c>
      <c r="H608" s="77" t="s">
        <v>76</v>
      </c>
      <c r="I608" s="82">
        <v>12000</v>
      </c>
      <c r="J608" s="84" t="s">
        <v>72</v>
      </c>
      <c r="K608" s="80" t="s">
        <v>78</v>
      </c>
      <c r="L608" s="89">
        <v>45867.4064699074</v>
      </c>
      <c r="M608" s="89">
        <v>45867.5002199074</v>
      </c>
    </row>
    <row r="609" s="59" customFormat="1" spans="1:14">
      <c r="A609" s="74">
        <v>608</v>
      </c>
      <c r="B609" s="66" t="s">
        <v>67</v>
      </c>
      <c r="C609" s="67" t="s">
        <v>297</v>
      </c>
      <c r="D609" s="59" t="s">
        <v>267</v>
      </c>
      <c r="E609" s="75" t="s">
        <v>70</v>
      </c>
      <c r="F609" s="89">
        <v>45877.8821643519</v>
      </c>
      <c r="G609" s="89">
        <v>45876.8821643519</v>
      </c>
      <c r="H609" s="77" t="s">
        <v>76</v>
      </c>
      <c r="I609" s="82">
        <v>12000</v>
      </c>
      <c r="J609" s="84" t="s">
        <v>72</v>
      </c>
      <c r="K609" s="80" t="s">
        <v>78</v>
      </c>
      <c r="L609" s="89">
        <v>45867.4064699074</v>
      </c>
      <c r="M609" s="89">
        <v>45867.5002199074</v>
      </c>
    </row>
    <row r="610" s="59" customFormat="1" spans="1:14">
      <c r="A610" s="74">
        <v>609</v>
      </c>
      <c r="B610" s="66" t="s">
        <v>67</v>
      </c>
      <c r="C610" s="67" t="s">
        <v>297</v>
      </c>
      <c r="D610" s="59" t="s">
        <v>268</v>
      </c>
      <c r="E610" s="75" t="s">
        <v>70</v>
      </c>
      <c r="F610" s="89">
        <v>45877.8821643519</v>
      </c>
      <c r="G610" s="89">
        <v>45876.8821643519</v>
      </c>
      <c r="H610" s="77" t="s">
        <v>76</v>
      </c>
      <c r="I610" s="82">
        <v>12000</v>
      </c>
      <c r="J610" s="84" t="s">
        <v>72</v>
      </c>
      <c r="K610" s="80" t="s">
        <v>78</v>
      </c>
      <c r="L610" s="89">
        <v>45874.618275463</v>
      </c>
      <c r="M610" s="89">
        <v>45874.7259143519</v>
      </c>
    </row>
    <row r="611" s="59" customFormat="1" spans="1:14">
      <c r="A611" s="74">
        <v>610</v>
      </c>
      <c r="B611" s="66" t="s">
        <v>67</v>
      </c>
      <c r="C611" s="67" t="s">
        <v>297</v>
      </c>
      <c r="D611" s="59" t="s">
        <v>269</v>
      </c>
      <c r="E611" s="75" t="s">
        <v>70</v>
      </c>
      <c r="F611" s="89">
        <v>45877.8821643519</v>
      </c>
      <c r="G611" s="89">
        <v>45876.8821643519</v>
      </c>
      <c r="H611" s="77" t="s">
        <v>76</v>
      </c>
      <c r="I611" s="82">
        <v>12000</v>
      </c>
      <c r="J611" s="84" t="s">
        <v>72</v>
      </c>
      <c r="K611" s="80" t="s">
        <v>78</v>
      </c>
      <c r="L611" s="89">
        <v>45867.4064699074</v>
      </c>
      <c r="M611" s="89">
        <v>45867.5002199074</v>
      </c>
    </row>
    <row r="612" s="59" customFormat="1" spans="1:14">
      <c r="A612" s="74">
        <v>611</v>
      </c>
      <c r="B612" s="66" t="s">
        <v>67</v>
      </c>
      <c r="C612" s="67" t="s">
        <v>297</v>
      </c>
      <c r="D612" s="59" t="s">
        <v>270</v>
      </c>
      <c r="E612" s="75" t="s">
        <v>70</v>
      </c>
      <c r="F612" s="89">
        <v>45877.8821643519</v>
      </c>
      <c r="G612" s="89">
        <v>45876.8821643519</v>
      </c>
      <c r="H612" s="77" t="s">
        <v>76</v>
      </c>
      <c r="I612" s="82">
        <v>12000</v>
      </c>
      <c r="J612" s="84" t="s">
        <v>72</v>
      </c>
      <c r="K612" s="80" t="s">
        <v>78</v>
      </c>
      <c r="L612" s="89">
        <v>45874.618275463</v>
      </c>
      <c r="M612" s="89">
        <v>45874.7259143519</v>
      </c>
    </row>
    <row r="613" s="59" customFormat="1" spans="1:14">
      <c r="A613" s="74">
        <v>612</v>
      </c>
      <c r="B613" s="66" t="s">
        <v>67</v>
      </c>
      <c r="C613" s="67" t="s">
        <v>297</v>
      </c>
      <c r="D613" s="59" t="s">
        <v>271</v>
      </c>
      <c r="E613" s="88"/>
      <c r="F613" s="89"/>
      <c r="G613" s="89"/>
      <c r="H613" s="77" t="s">
        <v>76</v>
      </c>
      <c r="I613" s="82">
        <v>12000</v>
      </c>
      <c r="J613" s="84"/>
      <c r="K613" s="85"/>
      <c r="L613" s="89"/>
      <c r="M613" s="89"/>
    </row>
    <row r="614" s="59" customFormat="1" spans="1:14">
      <c r="A614" s="74">
        <v>613</v>
      </c>
      <c r="B614" s="66" t="s">
        <v>67</v>
      </c>
      <c r="C614" s="67" t="s">
        <v>297</v>
      </c>
      <c r="D614" s="59" t="s">
        <v>272</v>
      </c>
      <c r="E614" s="88"/>
      <c r="F614" s="89"/>
      <c r="G614" s="89"/>
      <c r="H614" s="77" t="s">
        <v>76</v>
      </c>
      <c r="I614" s="82">
        <v>12000</v>
      </c>
      <c r="J614" s="84"/>
      <c r="K614" s="85"/>
      <c r="L614" s="89"/>
      <c r="M614" s="89"/>
    </row>
    <row r="615" s="59" customFormat="1" spans="1:14">
      <c r="A615" s="74">
        <v>614</v>
      </c>
      <c r="B615" s="66" t="s">
        <v>67</v>
      </c>
      <c r="C615" s="67" t="s">
        <v>297</v>
      </c>
      <c r="D615" s="59" t="s">
        <v>273</v>
      </c>
      <c r="E615" s="75" t="s">
        <v>70</v>
      </c>
      <c r="F615" s="89">
        <v>45924.8822453704</v>
      </c>
      <c r="G615" s="89">
        <v>45923.8823726852</v>
      </c>
      <c r="H615" s="77" t="s">
        <v>71</v>
      </c>
      <c r="I615" s="78">
        <v>16000</v>
      </c>
      <c r="J615" s="84" t="s">
        <v>72</v>
      </c>
      <c r="K615" s="80" t="s">
        <v>78</v>
      </c>
      <c r="L615" s="89">
        <v>45791.6002199074</v>
      </c>
      <c r="M615" s="89">
        <v>45794.75</v>
      </c>
    </row>
    <row r="616" s="59" customFormat="1" spans="1:14">
      <c r="A616" s="74">
        <v>615</v>
      </c>
      <c r="B616" s="66" t="s">
        <v>67</v>
      </c>
      <c r="C616" s="67" t="s">
        <v>297</v>
      </c>
      <c r="D616" s="59" t="s">
        <v>274</v>
      </c>
      <c r="E616" s="75" t="s">
        <v>70</v>
      </c>
      <c r="F616" s="89">
        <v>45827.8819444444</v>
      </c>
      <c r="G616" s="89">
        <v>45826.8819444444</v>
      </c>
      <c r="H616" s="77" t="s">
        <v>76</v>
      </c>
      <c r="I616" s="82">
        <v>12000</v>
      </c>
      <c r="J616" s="84" t="s">
        <v>72</v>
      </c>
      <c r="K616" s="80" t="s">
        <v>78</v>
      </c>
      <c r="L616" s="89">
        <v>45825.6666666667</v>
      </c>
      <c r="M616" s="89">
        <v>45825.75</v>
      </c>
    </row>
    <row r="617" s="59" customFormat="1" spans="1:14">
      <c r="A617" s="74">
        <v>616</v>
      </c>
      <c r="B617" s="66" t="s">
        <v>67</v>
      </c>
      <c r="C617" s="67" t="s">
        <v>297</v>
      </c>
      <c r="D617" s="59" t="s">
        <v>275</v>
      </c>
      <c r="E617" s="75" t="s">
        <v>70</v>
      </c>
      <c r="F617" s="89">
        <v>45827.8819444444</v>
      </c>
      <c r="G617" s="89">
        <v>45826.8819444444</v>
      </c>
      <c r="H617" s="77" t="s">
        <v>76</v>
      </c>
      <c r="I617" s="82">
        <v>12000</v>
      </c>
      <c r="J617" s="84" t="s">
        <v>72</v>
      </c>
      <c r="K617" s="80" t="s">
        <v>78</v>
      </c>
      <c r="L617" s="89">
        <v>45813.5659722222</v>
      </c>
      <c r="M617" s="89">
        <v>45813.6041666667</v>
      </c>
    </row>
    <row r="618" s="59" customFormat="1" spans="1:14">
      <c r="A618" s="74">
        <v>617</v>
      </c>
      <c r="B618" s="66" t="s">
        <v>67</v>
      </c>
      <c r="C618" s="67" t="s">
        <v>297</v>
      </c>
      <c r="D618" s="59" t="s">
        <v>276</v>
      </c>
      <c r="E618" s="75" t="s">
        <v>70</v>
      </c>
      <c r="F618" s="89">
        <v>45827.8819444444</v>
      </c>
      <c r="G618" s="89">
        <v>45826.8819444444</v>
      </c>
      <c r="H618" s="77" t="s">
        <v>76</v>
      </c>
      <c r="I618" s="82">
        <v>12000</v>
      </c>
      <c r="J618" s="84" t="s">
        <v>72</v>
      </c>
      <c r="K618" s="80" t="s">
        <v>78</v>
      </c>
      <c r="L618" s="89">
        <v>45825.6666666667</v>
      </c>
      <c r="M618" s="89">
        <v>45825.75</v>
      </c>
    </row>
    <row r="619" s="59" customFormat="1" spans="1:14">
      <c r="A619" s="74">
        <v>618</v>
      </c>
      <c r="B619" s="66" t="s">
        <v>67</v>
      </c>
      <c r="C619" s="67" t="s">
        <v>297</v>
      </c>
      <c r="D619" s="59" t="s">
        <v>277</v>
      </c>
      <c r="E619" s="75" t="s">
        <v>70</v>
      </c>
      <c r="F619" s="89">
        <v>46046.4930671296</v>
      </c>
      <c r="G619" s="89">
        <v>46044.4932175926</v>
      </c>
      <c r="H619" s="77" t="s">
        <v>76</v>
      </c>
      <c r="I619" s="82">
        <v>12000</v>
      </c>
      <c r="J619" s="84" t="s">
        <v>72</v>
      </c>
      <c r="K619" s="80" t="s">
        <v>78</v>
      </c>
      <c r="L619" s="89">
        <v>46042</v>
      </c>
      <c r="M619" s="89">
        <v>46042.6686574074</v>
      </c>
      <c r="N619" s="77"/>
    </row>
    <row r="620" s="59" customFormat="1" spans="1:14">
      <c r="A620" s="74">
        <v>619</v>
      </c>
      <c r="B620" s="66" t="s">
        <v>67</v>
      </c>
      <c r="C620" s="67" t="s">
        <v>297</v>
      </c>
      <c r="D620" s="59" t="s">
        <v>278</v>
      </c>
      <c r="E620" s="75" t="s">
        <v>70</v>
      </c>
      <c r="F620" s="89">
        <v>46043.8822685185</v>
      </c>
      <c r="G620" s="89">
        <v>46042.8824189815</v>
      </c>
      <c r="H620" s="77" t="s">
        <v>76</v>
      </c>
      <c r="I620" s="82">
        <v>12000</v>
      </c>
      <c r="J620" s="84" t="s">
        <v>72</v>
      </c>
      <c r="K620" s="80" t="s">
        <v>78</v>
      </c>
      <c r="L620" s="89">
        <v>46037.5910185185</v>
      </c>
      <c r="M620" s="89">
        <v>46036.8584837963</v>
      </c>
      <c r="N620" s="77"/>
    </row>
    <row r="621" s="59" customFormat="1" spans="1:14">
      <c r="A621" s="74">
        <v>620</v>
      </c>
      <c r="B621" s="66" t="s">
        <v>67</v>
      </c>
      <c r="C621" s="67" t="s">
        <v>297</v>
      </c>
      <c r="D621" s="59" t="s">
        <v>279</v>
      </c>
      <c r="E621" s="75" t="s">
        <v>70</v>
      </c>
      <c r="F621" s="89">
        <v>46046.7175810185</v>
      </c>
      <c r="G621" s="89">
        <v>46044.7177199074</v>
      </c>
      <c r="H621" s="77" t="s">
        <v>76</v>
      </c>
      <c r="I621" s="82">
        <v>12000</v>
      </c>
      <c r="J621" s="84" t="s">
        <v>72</v>
      </c>
      <c r="K621" s="80" t="s">
        <v>78</v>
      </c>
      <c r="L621" s="89">
        <v>46042</v>
      </c>
      <c r="M621" s="89">
        <v>46042.6687152778</v>
      </c>
      <c r="N621" s="77"/>
    </row>
    <row r="622" s="59" customFormat="1" spans="1:14">
      <c r="A622" s="74">
        <v>621</v>
      </c>
      <c r="B622" s="66" t="s">
        <v>67</v>
      </c>
      <c r="C622" s="67" t="s">
        <v>297</v>
      </c>
      <c r="D622" s="59" t="s">
        <v>280</v>
      </c>
      <c r="E622" s="75" t="s">
        <v>70</v>
      </c>
      <c r="F622" s="89">
        <v>46046.7175810185</v>
      </c>
      <c r="G622" s="89">
        <v>46044.7177199074</v>
      </c>
      <c r="H622" s="77" t="s">
        <v>76</v>
      </c>
      <c r="I622" s="82">
        <v>12000</v>
      </c>
      <c r="J622" s="84" t="s">
        <v>72</v>
      </c>
      <c r="K622" s="80" t="s">
        <v>78</v>
      </c>
      <c r="L622" s="89">
        <v>46042</v>
      </c>
      <c r="M622" s="89">
        <v>46042.6687615741</v>
      </c>
      <c r="N622" s="77"/>
    </row>
    <row r="623" s="59" customFormat="1" spans="1:14">
      <c r="A623" s="74">
        <v>622</v>
      </c>
      <c r="B623" s="66" t="s">
        <v>67</v>
      </c>
      <c r="C623" s="67" t="s">
        <v>297</v>
      </c>
      <c r="D623" s="59" t="s">
        <v>281</v>
      </c>
      <c r="E623" s="75" t="s">
        <v>70</v>
      </c>
      <c r="F623" s="89">
        <v>46043.8822685185</v>
      </c>
      <c r="G623" s="89">
        <v>46042.8824189815</v>
      </c>
      <c r="H623" s="77" t="s">
        <v>76</v>
      </c>
      <c r="I623" s="82">
        <v>12000</v>
      </c>
      <c r="J623" s="84" t="s">
        <v>72</v>
      </c>
      <c r="K623" s="80" t="s">
        <v>78</v>
      </c>
      <c r="L623" s="89">
        <v>46037.5745486111</v>
      </c>
      <c r="M623" s="89">
        <v>46036.8615856481</v>
      </c>
      <c r="N623" s="77"/>
    </row>
    <row r="624" s="59" customFormat="1" spans="1:14">
      <c r="A624" s="74">
        <v>623</v>
      </c>
      <c r="B624" s="66" t="s">
        <v>67</v>
      </c>
      <c r="C624" s="67" t="s">
        <v>297</v>
      </c>
      <c r="D624" s="59" t="s">
        <v>282</v>
      </c>
      <c r="E624" s="75" t="s">
        <v>70</v>
      </c>
      <c r="F624" s="89">
        <v>46046.7281712963</v>
      </c>
      <c r="G624" s="89">
        <v>46044.7283101852</v>
      </c>
      <c r="H624" s="77" t="s">
        <v>76</v>
      </c>
      <c r="I624" s="82">
        <v>12000</v>
      </c>
      <c r="J624" s="84" t="s">
        <v>72</v>
      </c>
      <c r="K624" s="80" t="s">
        <v>78</v>
      </c>
      <c r="L624" s="89">
        <v>46042</v>
      </c>
      <c r="M624" s="89">
        <v>46042.6688194444</v>
      </c>
      <c r="N624" s="77"/>
    </row>
    <row r="625" s="59" customFormat="1" spans="1:16">
      <c r="A625" s="74">
        <v>624</v>
      </c>
      <c r="B625" s="66" t="s">
        <v>67</v>
      </c>
      <c r="C625" s="67" t="s">
        <v>297</v>
      </c>
      <c r="D625" s="59" t="s">
        <v>283</v>
      </c>
      <c r="E625" s="75" t="s">
        <v>70</v>
      </c>
      <c r="F625" s="89">
        <v>46005.4787731481</v>
      </c>
      <c r="G625" s="89">
        <v>46003.478912037</v>
      </c>
      <c r="H625" s="77" t="s">
        <v>76</v>
      </c>
      <c r="I625" s="82">
        <v>12000</v>
      </c>
      <c r="J625" s="84" t="s">
        <v>72</v>
      </c>
      <c r="K625" s="80" t="s">
        <v>78</v>
      </c>
      <c r="L625" s="89">
        <v>46002</v>
      </c>
      <c r="M625" s="89">
        <v>46002.7165509259</v>
      </c>
    </row>
    <row r="626" s="59" customFormat="1" spans="1:16">
      <c r="A626" s="74">
        <v>625</v>
      </c>
      <c r="B626" s="66" t="s">
        <v>67</v>
      </c>
      <c r="C626" s="67" t="s">
        <v>297</v>
      </c>
      <c r="D626" s="59" t="s">
        <v>284</v>
      </c>
      <c r="E626" s="75" t="s">
        <v>70</v>
      </c>
      <c r="F626" s="89">
        <v>45992.8821180556</v>
      </c>
      <c r="G626" s="89">
        <v>45991.8819444444</v>
      </c>
      <c r="H626" s="77" t="s">
        <v>76</v>
      </c>
      <c r="I626" s="82">
        <v>12000</v>
      </c>
      <c r="J626" s="84" t="s">
        <v>72</v>
      </c>
      <c r="K626" s="80" t="s">
        <v>78</v>
      </c>
      <c r="L626" s="89">
        <v>45989.6637037037</v>
      </c>
      <c r="M626" s="89">
        <v>45989.7895833333</v>
      </c>
    </row>
    <row r="627" s="59" customFormat="1" spans="1:16">
      <c r="A627" s="74">
        <v>626</v>
      </c>
      <c r="B627" s="66" t="s">
        <v>67</v>
      </c>
      <c r="C627" s="67" t="s">
        <v>297</v>
      </c>
      <c r="D627" s="59" t="s">
        <v>285</v>
      </c>
      <c r="E627" s="75" t="s">
        <v>70</v>
      </c>
      <c r="F627" s="89">
        <v>46005.4842708333</v>
      </c>
      <c r="G627" s="89">
        <v>46003.4844097222</v>
      </c>
      <c r="H627" s="77" t="s">
        <v>76</v>
      </c>
      <c r="I627" s="82">
        <v>12000</v>
      </c>
      <c r="J627" s="84" t="s">
        <v>72</v>
      </c>
      <c r="K627" s="80" t="s">
        <v>78</v>
      </c>
      <c r="L627" s="89">
        <v>46002</v>
      </c>
      <c r="M627" s="89">
        <v>46002.7212152778</v>
      </c>
    </row>
    <row r="628" s="59" customFormat="1" spans="1:16">
      <c r="A628" s="74">
        <v>627</v>
      </c>
      <c r="B628" s="66" t="s">
        <v>67</v>
      </c>
      <c r="C628" s="67" t="s">
        <v>297</v>
      </c>
      <c r="D628" s="59" t="s">
        <v>286</v>
      </c>
      <c r="E628" s="75" t="s">
        <v>70</v>
      </c>
      <c r="F628" s="89">
        <v>45877.8821643519</v>
      </c>
      <c r="G628" s="89">
        <v>45876.8821643519</v>
      </c>
      <c r="H628" s="77" t="s">
        <v>76</v>
      </c>
      <c r="I628" s="82">
        <v>12000</v>
      </c>
      <c r="J628" s="84" t="s">
        <v>72</v>
      </c>
      <c r="K628" s="80" t="s">
        <v>78</v>
      </c>
      <c r="L628" s="89">
        <v>45874.618275463</v>
      </c>
      <c r="M628" s="89">
        <v>45874.7259143519</v>
      </c>
    </row>
    <row r="629" s="59" customFormat="1" spans="1:16">
      <c r="A629" s="74">
        <v>628</v>
      </c>
      <c r="B629" s="66" t="s">
        <v>67</v>
      </c>
      <c r="C629" s="67" t="s">
        <v>297</v>
      </c>
      <c r="D629" s="59" t="s">
        <v>287</v>
      </c>
      <c r="E629" s="75" t="s">
        <v>70</v>
      </c>
      <c r="F629" s="89">
        <v>45877.8821643519</v>
      </c>
      <c r="G629" s="89">
        <v>45876.8821643519</v>
      </c>
      <c r="H629" s="77" t="s">
        <v>76</v>
      </c>
      <c r="I629" s="82">
        <v>12000</v>
      </c>
      <c r="J629" s="84" t="s">
        <v>72</v>
      </c>
      <c r="K629" s="80" t="s">
        <v>78</v>
      </c>
      <c r="L629" s="89">
        <v>45867.4064699074</v>
      </c>
      <c r="M629" s="89">
        <v>45867.5002199074</v>
      </c>
    </row>
    <row r="630" s="59" customFormat="1" spans="1:16">
      <c r="A630" s="74">
        <v>629</v>
      </c>
      <c r="B630" s="66" t="s">
        <v>67</v>
      </c>
      <c r="C630" s="67" t="s">
        <v>297</v>
      </c>
      <c r="D630" s="59" t="s">
        <v>288</v>
      </c>
      <c r="E630" s="75" t="s">
        <v>70</v>
      </c>
      <c r="F630" s="89">
        <v>45877.8821643519</v>
      </c>
      <c r="G630" s="89">
        <v>45876.8821643519</v>
      </c>
      <c r="H630" s="77" t="s">
        <v>76</v>
      </c>
      <c r="I630" s="82">
        <v>12000</v>
      </c>
      <c r="J630" s="84" t="s">
        <v>72</v>
      </c>
      <c r="K630" s="80" t="s">
        <v>78</v>
      </c>
      <c r="L630" s="89">
        <v>45874.618275463</v>
      </c>
      <c r="M630" s="89">
        <v>45874.7259143519</v>
      </c>
    </row>
    <row r="631" s="59" customFormat="1" spans="1:16">
      <c r="A631" s="74">
        <v>630</v>
      </c>
      <c r="B631" s="66" t="s">
        <v>67</v>
      </c>
      <c r="C631" s="67" t="s">
        <v>297</v>
      </c>
      <c r="D631" s="59" t="s">
        <v>289</v>
      </c>
      <c r="E631" s="75" t="s">
        <v>70</v>
      </c>
      <c r="F631" s="89">
        <v>45877.8821643519</v>
      </c>
      <c r="G631" s="89">
        <v>45876.8821643519</v>
      </c>
      <c r="H631" s="77" t="s">
        <v>76</v>
      </c>
      <c r="I631" s="82">
        <v>12000</v>
      </c>
      <c r="J631" s="84" t="s">
        <v>72</v>
      </c>
      <c r="K631" s="80" t="s">
        <v>78</v>
      </c>
      <c r="L631" s="89">
        <v>45874.618275463</v>
      </c>
      <c r="M631" s="89">
        <v>45874.7259143519</v>
      </c>
    </row>
    <row r="632" s="59" customFormat="1" spans="1:16">
      <c r="A632" s="74">
        <v>631</v>
      </c>
      <c r="B632" s="66" t="s">
        <v>67</v>
      </c>
      <c r="C632" s="67" t="s">
        <v>297</v>
      </c>
      <c r="D632" s="59" t="s">
        <v>290</v>
      </c>
      <c r="E632" s="75" t="s">
        <v>70</v>
      </c>
      <c r="F632" s="89">
        <v>45877.8821643519</v>
      </c>
      <c r="G632" s="89">
        <v>45876.8821643519</v>
      </c>
      <c r="H632" s="77" t="s">
        <v>76</v>
      </c>
      <c r="I632" s="82">
        <v>12000</v>
      </c>
      <c r="J632" s="84" t="s">
        <v>72</v>
      </c>
      <c r="K632" s="80" t="s">
        <v>78</v>
      </c>
      <c r="L632" s="89">
        <v>45867.4064699074</v>
      </c>
      <c r="M632" s="89">
        <v>45867.5002199074</v>
      </c>
    </row>
    <row r="633" s="59" customFormat="1" spans="1:16">
      <c r="A633" s="74">
        <v>632</v>
      </c>
      <c r="B633" s="66" t="s">
        <v>67</v>
      </c>
      <c r="C633" s="67" t="s">
        <v>297</v>
      </c>
      <c r="D633" s="59" t="s">
        <v>291</v>
      </c>
      <c r="E633" s="75" t="s">
        <v>70</v>
      </c>
      <c r="F633" s="89">
        <v>45877.8821643519</v>
      </c>
      <c r="G633" s="89">
        <v>45876.8821643519</v>
      </c>
      <c r="H633" s="77" t="s">
        <v>76</v>
      </c>
      <c r="I633" s="82">
        <v>12000</v>
      </c>
      <c r="J633" s="84" t="s">
        <v>72</v>
      </c>
      <c r="K633" s="80" t="s">
        <v>78</v>
      </c>
      <c r="L633" s="89">
        <v>45874.618275463</v>
      </c>
      <c r="M633" s="89">
        <v>45874.7259143519</v>
      </c>
    </row>
    <row r="634" s="59" customFormat="1" spans="1:16">
      <c r="A634" s="74">
        <v>633</v>
      </c>
      <c r="B634" s="66" t="s">
        <v>67</v>
      </c>
      <c r="C634" s="67" t="s">
        <v>297</v>
      </c>
      <c r="D634" s="59" t="s">
        <v>292</v>
      </c>
      <c r="E634" s="75" t="s">
        <v>70</v>
      </c>
      <c r="F634" s="89">
        <v>45877.8821643519</v>
      </c>
      <c r="G634" s="89">
        <v>45876.8821643519</v>
      </c>
      <c r="H634" s="77" t="s">
        <v>76</v>
      </c>
      <c r="I634" s="82">
        <v>12000</v>
      </c>
      <c r="J634" s="84" t="s">
        <v>72</v>
      </c>
      <c r="K634" s="80" t="s">
        <v>78</v>
      </c>
      <c r="L634" s="89">
        <v>45874.618275463</v>
      </c>
      <c r="M634" s="89">
        <v>45874.7259143519</v>
      </c>
    </row>
    <row r="635" s="59" customFormat="1" spans="1:16">
      <c r="A635" s="74">
        <v>634</v>
      </c>
      <c r="B635" s="66" t="s">
        <v>67</v>
      </c>
      <c r="C635" s="67" t="s">
        <v>297</v>
      </c>
      <c r="D635" s="59" t="s">
        <v>293</v>
      </c>
      <c r="E635" s="75" t="s">
        <v>70</v>
      </c>
      <c r="F635" s="89">
        <v>45877.8821643519</v>
      </c>
      <c r="G635" s="89">
        <v>45876.8821643519</v>
      </c>
      <c r="H635" s="77" t="s">
        <v>76</v>
      </c>
      <c r="I635" s="82">
        <v>12000</v>
      </c>
      <c r="J635" s="84" t="s">
        <v>72</v>
      </c>
      <c r="K635" s="80" t="s">
        <v>78</v>
      </c>
      <c r="L635" s="89">
        <v>45867.4064699074</v>
      </c>
      <c r="M635" s="89">
        <v>45867.5002199074</v>
      </c>
    </row>
    <row r="636" s="59" customFormat="1" spans="1:16">
      <c r="A636" s="74">
        <v>635</v>
      </c>
      <c r="B636" s="66" t="s">
        <v>67</v>
      </c>
      <c r="C636" s="67" t="s">
        <v>297</v>
      </c>
      <c r="D636" s="59" t="s">
        <v>294</v>
      </c>
      <c r="E636" s="75" t="s">
        <v>70</v>
      </c>
      <c r="F636" s="89">
        <v>45877.8821643519</v>
      </c>
      <c r="G636" s="89">
        <v>45876.8821643519</v>
      </c>
      <c r="H636" s="77" t="s">
        <v>76</v>
      </c>
      <c r="I636" s="82">
        <v>12000</v>
      </c>
      <c r="J636" s="84" t="s">
        <v>72</v>
      </c>
      <c r="K636" s="80" t="s">
        <v>78</v>
      </c>
      <c r="L636" s="89">
        <v>45874.618275463</v>
      </c>
      <c r="M636" s="89">
        <v>45874.7259143519</v>
      </c>
    </row>
    <row r="637" s="59" customFormat="1" spans="1:16">
      <c r="A637" s="74">
        <v>636</v>
      </c>
      <c r="B637" s="66" t="s">
        <v>67</v>
      </c>
      <c r="C637" s="67" t="s">
        <v>297</v>
      </c>
      <c r="D637" s="59" t="s">
        <v>295</v>
      </c>
      <c r="E637" s="88"/>
      <c r="F637" s="89"/>
      <c r="G637" s="89"/>
      <c r="H637" s="77" t="s">
        <v>76</v>
      </c>
      <c r="I637" s="82">
        <v>12000</v>
      </c>
      <c r="K637" s="85"/>
      <c r="L637" s="86"/>
      <c r="M637" s="87"/>
    </row>
    <row r="638" s="59" customFormat="1" spans="1:16">
      <c r="A638" s="74">
        <v>637</v>
      </c>
      <c r="B638" s="66" t="s">
        <v>67</v>
      </c>
      <c r="C638" s="67" t="s">
        <v>301</v>
      </c>
      <c r="D638" s="67" t="s">
        <v>69</v>
      </c>
      <c r="E638" s="75" t="s">
        <v>70</v>
      </c>
      <c r="F638" s="89">
        <v>46199.8822916667</v>
      </c>
      <c r="G638" s="89">
        <v>46198.8825</v>
      </c>
      <c r="H638" s="77" t="s">
        <v>71</v>
      </c>
      <c r="I638" s="78">
        <v>16000</v>
      </c>
      <c r="J638" s="84" t="s">
        <v>72</v>
      </c>
      <c r="K638" s="80" t="s">
        <v>73</v>
      </c>
      <c r="L638" s="89">
        <v>46185.7607638889</v>
      </c>
      <c r="M638" s="89">
        <v>46191.6646759259</v>
      </c>
      <c r="N638" s="81" t="s">
        <v>74</v>
      </c>
      <c r="O638" s="89">
        <v>46193.9167824074</v>
      </c>
      <c r="P638" s="89">
        <v>46192.9170023148</v>
      </c>
    </row>
    <row r="639" s="59" customFormat="1" spans="1:16">
      <c r="A639" s="74">
        <v>638</v>
      </c>
      <c r="B639" s="66" t="s">
        <v>67</v>
      </c>
      <c r="C639" s="67" t="s">
        <v>301</v>
      </c>
      <c r="D639" s="67" t="s">
        <v>75</v>
      </c>
      <c r="E639" s="80" t="s">
        <v>73</v>
      </c>
      <c r="F639" s="76">
        <v>46259.4504398148</v>
      </c>
      <c r="G639" s="76">
        <v>46261.4752546296</v>
      </c>
      <c r="H639" s="77" t="s">
        <v>71</v>
      </c>
      <c r="I639" s="78">
        <v>16000</v>
      </c>
      <c r="J639" s="84" t="s">
        <v>72</v>
      </c>
      <c r="K639" s="85"/>
      <c r="L639" s="86"/>
      <c r="M639" s="87"/>
    </row>
    <row r="640" s="59" customFormat="1" spans="1:16">
      <c r="A640" s="74">
        <v>639</v>
      </c>
      <c r="B640" s="66" t="s">
        <v>67</v>
      </c>
      <c r="C640" s="67" t="s">
        <v>301</v>
      </c>
      <c r="D640" s="67" t="s">
        <v>77</v>
      </c>
      <c r="E640" s="88"/>
      <c r="H640" s="77" t="s">
        <v>71</v>
      </c>
      <c r="I640" s="78">
        <v>16000</v>
      </c>
      <c r="K640" s="85"/>
      <c r="L640" s="86"/>
      <c r="M640" s="87"/>
    </row>
    <row r="641" s="59" customFormat="1" spans="1:16">
      <c r="A641" s="74">
        <v>640</v>
      </c>
      <c r="B641" s="66" t="s">
        <v>67</v>
      </c>
      <c r="C641" s="67" t="s">
        <v>301</v>
      </c>
      <c r="D641" s="67" t="s">
        <v>79</v>
      </c>
      <c r="E641" s="88"/>
      <c r="H641" s="77" t="s">
        <v>71</v>
      </c>
      <c r="I641" s="78">
        <v>16000</v>
      </c>
      <c r="K641" s="85"/>
      <c r="L641" s="86"/>
      <c r="M641" s="87"/>
    </row>
    <row r="642" s="59" customFormat="1" spans="1:16">
      <c r="A642" s="74">
        <v>641</v>
      </c>
      <c r="B642" s="66" t="s">
        <v>67</v>
      </c>
      <c r="C642" s="67" t="s">
        <v>301</v>
      </c>
      <c r="D642" s="67" t="s">
        <v>80</v>
      </c>
      <c r="E642" s="88"/>
      <c r="H642" s="77" t="s">
        <v>71</v>
      </c>
      <c r="I642" s="78">
        <v>16000</v>
      </c>
      <c r="K642" s="85"/>
      <c r="L642" s="86"/>
      <c r="M642" s="87"/>
    </row>
    <row r="643" s="59" customFormat="1" spans="1:16">
      <c r="A643" s="74">
        <v>642</v>
      </c>
      <c r="B643" s="66" t="s">
        <v>67</v>
      </c>
      <c r="C643" s="67" t="s">
        <v>301</v>
      </c>
      <c r="D643" s="67" t="s">
        <v>81</v>
      </c>
      <c r="E643" s="88"/>
      <c r="F643" s="89"/>
      <c r="G643" s="89"/>
      <c r="H643" s="77" t="s">
        <v>71</v>
      </c>
      <c r="I643" s="78">
        <v>16000</v>
      </c>
      <c r="J643" s="84"/>
      <c r="K643" s="85"/>
      <c r="L643" s="89"/>
      <c r="M643" s="89"/>
    </row>
    <row r="644" s="59" customFormat="1" spans="1:16">
      <c r="A644" s="74">
        <v>643</v>
      </c>
      <c r="B644" s="66" t="s">
        <v>67</v>
      </c>
      <c r="C644" s="67" t="s">
        <v>301</v>
      </c>
      <c r="D644" s="67" t="s">
        <v>82</v>
      </c>
      <c r="E644" s="88"/>
      <c r="F644" s="89"/>
      <c r="G644" s="89"/>
      <c r="H644" s="77" t="s">
        <v>71</v>
      </c>
      <c r="I644" s="78">
        <v>16000</v>
      </c>
      <c r="J644" s="84"/>
      <c r="K644" s="85"/>
      <c r="L644" s="89"/>
      <c r="M644" s="89"/>
    </row>
    <row r="645" s="59" customFormat="1" spans="1:16">
      <c r="A645" s="74">
        <v>644</v>
      </c>
      <c r="B645" s="66" t="s">
        <v>67</v>
      </c>
      <c r="C645" s="67" t="s">
        <v>301</v>
      </c>
      <c r="D645" s="67" t="s">
        <v>83</v>
      </c>
      <c r="E645" s="88"/>
      <c r="F645" s="89"/>
      <c r="G645" s="89"/>
      <c r="H645" s="77" t="s">
        <v>71</v>
      </c>
      <c r="I645" s="78">
        <v>16000</v>
      </c>
      <c r="J645" s="84"/>
      <c r="K645" s="85"/>
      <c r="L645" s="89"/>
      <c r="M645" s="89"/>
    </row>
    <row r="646" s="59" customFormat="1" spans="1:16">
      <c r="A646" s="74">
        <v>645</v>
      </c>
      <c r="B646" s="66" t="s">
        <v>67</v>
      </c>
      <c r="C646" s="67" t="s">
        <v>301</v>
      </c>
      <c r="D646" s="67" t="s">
        <v>84</v>
      </c>
      <c r="E646" s="88"/>
      <c r="F646" s="89"/>
      <c r="G646" s="89"/>
      <c r="H646" s="77" t="s">
        <v>71</v>
      </c>
      <c r="I646" s="78">
        <v>16000</v>
      </c>
      <c r="J646" s="84"/>
      <c r="K646" s="85"/>
      <c r="L646" s="89"/>
      <c r="M646" s="89"/>
    </row>
    <row r="647" s="59" customFormat="1" spans="1:16">
      <c r="A647" s="74">
        <v>646</v>
      </c>
      <c r="B647" s="66" t="s">
        <v>67</v>
      </c>
      <c r="C647" s="67" t="s">
        <v>301</v>
      </c>
      <c r="D647" s="67" t="s">
        <v>85</v>
      </c>
      <c r="E647" s="88"/>
      <c r="H647" s="77" t="s">
        <v>71</v>
      </c>
      <c r="I647" s="78">
        <v>16000</v>
      </c>
      <c r="K647" s="85"/>
      <c r="L647" s="86"/>
      <c r="M647" s="87"/>
    </row>
    <row r="648" s="59" customFormat="1" spans="1:16">
      <c r="A648" s="74">
        <v>647</v>
      </c>
      <c r="B648" s="66" t="s">
        <v>67</v>
      </c>
      <c r="C648" s="67" t="s">
        <v>301</v>
      </c>
      <c r="D648" s="67" t="s">
        <v>86</v>
      </c>
      <c r="E648" s="88"/>
      <c r="F648" s="89"/>
      <c r="G648" s="89"/>
      <c r="H648" s="77" t="s">
        <v>71</v>
      </c>
      <c r="I648" s="78">
        <v>16000</v>
      </c>
      <c r="J648" s="84"/>
      <c r="K648" s="85"/>
      <c r="L648" s="89"/>
      <c r="M648" s="89"/>
    </row>
    <row r="649" s="59" customFormat="1" spans="1:16">
      <c r="A649" s="74">
        <v>648</v>
      </c>
      <c r="B649" s="66" t="s">
        <v>67</v>
      </c>
      <c r="C649" s="67" t="s">
        <v>301</v>
      </c>
      <c r="D649" s="67" t="s">
        <v>87</v>
      </c>
      <c r="E649" s="88"/>
      <c r="F649" s="89"/>
      <c r="G649" s="89"/>
      <c r="H649" s="77" t="s">
        <v>71</v>
      </c>
      <c r="I649" s="78">
        <v>16000</v>
      </c>
      <c r="J649" s="84"/>
      <c r="K649" s="85"/>
      <c r="L649" s="89"/>
      <c r="M649" s="89"/>
    </row>
    <row r="650" s="59" customFormat="1" spans="1:16">
      <c r="A650" s="74">
        <v>649</v>
      </c>
      <c r="B650" s="66" t="s">
        <v>67</v>
      </c>
      <c r="C650" s="67" t="s">
        <v>301</v>
      </c>
      <c r="D650" s="67" t="s">
        <v>88</v>
      </c>
      <c r="E650" s="88"/>
      <c r="F650" s="89"/>
      <c r="G650" s="89"/>
      <c r="H650" s="77" t="s">
        <v>71</v>
      </c>
      <c r="I650" s="78">
        <v>16000</v>
      </c>
      <c r="J650" s="84"/>
      <c r="K650" s="85"/>
      <c r="L650" s="89"/>
      <c r="M650" s="89"/>
    </row>
    <row r="651" s="59" customFormat="1" spans="1:16">
      <c r="A651" s="74">
        <v>650</v>
      </c>
      <c r="B651" s="66" t="s">
        <v>67</v>
      </c>
      <c r="C651" s="67" t="s">
        <v>301</v>
      </c>
      <c r="D651" s="67" t="s">
        <v>89</v>
      </c>
      <c r="E651" s="80" t="s">
        <v>73</v>
      </c>
      <c r="F651" s="89">
        <v>45791.6002199074</v>
      </c>
      <c r="G651" s="89">
        <v>45794.75</v>
      </c>
      <c r="H651" s="77" t="s">
        <v>71</v>
      </c>
      <c r="I651" s="78">
        <v>16000</v>
      </c>
      <c r="J651" s="84" t="s">
        <v>72</v>
      </c>
      <c r="K651" s="85"/>
      <c r="L651" s="89"/>
      <c r="M651" s="89"/>
    </row>
    <row r="652" s="59" customFormat="1" spans="1:16">
      <c r="A652" s="74">
        <v>651</v>
      </c>
      <c r="B652" s="66" t="s">
        <v>67</v>
      </c>
      <c r="C652" s="67" t="s">
        <v>301</v>
      </c>
      <c r="D652" s="67" t="s">
        <v>90</v>
      </c>
      <c r="E652" s="80" t="s">
        <v>73</v>
      </c>
      <c r="F652" s="89">
        <v>45791.6002199074</v>
      </c>
      <c r="G652" s="89">
        <v>45794.75</v>
      </c>
      <c r="H652" s="77" t="s">
        <v>71</v>
      </c>
      <c r="I652" s="78">
        <v>16000</v>
      </c>
      <c r="J652" s="84" t="s">
        <v>72</v>
      </c>
      <c r="K652" s="85"/>
      <c r="L652" s="86"/>
      <c r="M652" s="87"/>
    </row>
    <row r="653" s="59" customFormat="1" spans="1:16">
      <c r="A653" s="74">
        <v>652</v>
      </c>
      <c r="B653" s="66" t="s">
        <v>67</v>
      </c>
      <c r="C653" s="67" t="s">
        <v>301</v>
      </c>
      <c r="D653" s="67" t="s">
        <v>97</v>
      </c>
      <c r="E653" s="75" t="s">
        <v>70</v>
      </c>
      <c r="F653" s="89">
        <v>46199.8822916667</v>
      </c>
      <c r="G653" s="89">
        <v>46198.8825</v>
      </c>
      <c r="H653" s="77" t="s">
        <v>71</v>
      </c>
      <c r="I653" s="78">
        <v>16000</v>
      </c>
      <c r="J653" s="84" t="s">
        <v>72</v>
      </c>
      <c r="K653" s="80" t="s">
        <v>73</v>
      </c>
      <c r="L653" s="89">
        <v>46185.7607638889</v>
      </c>
      <c r="M653" s="89">
        <v>46191.6647800926</v>
      </c>
      <c r="N653" s="81" t="s">
        <v>74</v>
      </c>
      <c r="O653" s="89">
        <v>46193.9167824074</v>
      </c>
      <c r="P653" s="89">
        <v>46192.9170023148</v>
      </c>
    </row>
    <row r="654" s="59" customFormat="1" spans="1:16">
      <c r="A654" s="74">
        <v>653</v>
      </c>
      <c r="B654" s="66" t="s">
        <v>67</v>
      </c>
      <c r="C654" s="67" t="s">
        <v>301</v>
      </c>
      <c r="D654" s="67" t="s">
        <v>98</v>
      </c>
      <c r="E654" s="80" t="s">
        <v>73</v>
      </c>
      <c r="F654" s="76">
        <v>46259.4504398148</v>
      </c>
      <c r="G654" s="76">
        <v>46261.4759953704</v>
      </c>
      <c r="H654" s="77" t="s">
        <v>71</v>
      </c>
      <c r="I654" s="78">
        <v>16000</v>
      </c>
      <c r="J654" s="84" t="s">
        <v>72</v>
      </c>
      <c r="K654" s="85"/>
      <c r="L654" s="86"/>
      <c r="M654" s="87"/>
    </row>
    <row r="655" s="59" customFormat="1" spans="1:16">
      <c r="A655" s="74">
        <v>654</v>
      </c>
      <c r="B655" s="66" t="s">
        <v>67</v>
      </c>
      <c r="C655" s="67" t="s">
        <v>301</v>
      </c>
      <c r="D655" s="67" t="s">
        <v>99</v>
      </c>
      <c r="E655" s="88"/>
      <c r="H655" s="77" t="s">
        <v>71</v>
      </c>
      <c r="I655" s="78">
        <v>16000</v>
      </c>
      <c r="K655" s="85"/>
      <c r="L655" s="86"/>
      <c r="M655" s="87"/>
    </row>
    <row r="656" s="59" customFormat="1" spans="1:16">
      <c r="A656" s="74">
        <v>655</v>
      </c>
      <c r="B656" s="66" t="s">
        <v>67</v>
      </c>
      <c r="C656" s="67" t="s">
        <v>301</v>
      </c>
      <c r="D656" s="67" t="s">
        <v>100</v>
      </c>
      <c r="E656" s="88"/>
      <c r="H656" s="77" t="s">
        <v>71</v>
      </c>
      <c r="I656" s="78">
        <v>16000</v>
      </c>
      <c r="K656" s="85"/>
      <c r="L656" s="86"/>
      <c r="M656" s="87"/>
    </row>
    <row r="657" s="59" customFormat="1" spans="1:16">
      <c r="A657" s="74">
        <v>656</v>
      </c>
      <c r="B657" s="66" t="s">
        <v>67</v>
      </c>
      <c r="C657" s="67" t="s">
        <v>301</v>
      </c>
      <c r="D657" s="67" t="s">
        <v>101</v>
      </c>
      <c r="E657" s="88"/>
      <c r="H657" s="77" t="s">
        <v>71</v>
      </c>
      <c r="I657" s="78">
        <v>16000</v>
      </c>
      <c r="K657" s="85"/>
      <c r="L657" s="86"/>
      <c r="M657" s="87"/>
    </row>
    <row r="658" s="59" customFormat="1" spans="1:16">
      <c r="A658" s="74">
        <v>657</v>
      </c>
      <c r="B658" s="66" t="s">
        <v>67</v>
      </c>
      <c r="C658" s="67" t="s">
        <v>301</v>
      </c>
      <c r="D658" s="67" t="s">
        <v>102</v>
      </c>
      <c r="E658" s="88"/>
      <c r="H658" s="77" t="s">
        <v>71</v>
      </c>
      <c r="I658" s="78">
        <v>16000</v>
      </c>
      <c r="K658" s="85"/>
      <c r="L658" s="86"/>
      <c r="M658" s="87"/>
    </row>
    <row r="659" s="59" customFormat="1" spans="1:16">
      <c r="A659" s="74">
        <v>658</v>
      </c>
      <c r="B659" s="66" t="s">
        <v>67</v>
      </c>
      <c r="C659" s="67" t="s">
        <v>301</v>
      </c>
      <c r="D659" s="67" t="s">
        <v>103</v>
      </c>
      <c r="E659" s="88"/>
      <c r="F659" s="89"/>
      <c r="G659" s="89"/>
      <c r="H659" s="77" t="s">
        <v>71</v>
      </c>
      <c r="I659" s="78">
        <v>16000</v>
      </c>
      <c r="J659" s="84"/>
      <c r="K659" s="85"/>
      <c r="L659" s="89"/>
      <c r="M659" s="89"/>
    </row>
    <row r="660" s="59" customFormat="1" spans="1:16">
      <c r="A660" s="74">
        <v>659</v>
      </c>
      <c r="B660" s="66" t="s">
        <v>67</v>
      </c>
      <c r="C660" s="67" t="s">
        <v>301</v>
      </c>
      <c r="D660" s="67" t="s">
        <v>104</v>
      </c>
      <c r="E660" s="88"/>
      <c r="F660" s="89"/>
      <c r="G660" s="89"/>
      <c r="H660" s="77" t="s">
        <v>71</v>
      </c>
      <c r="I660" s="78">
        <v>16000</v>
      </c>
      <c r="J660" s="84"/>
      <c r="K660" s="85"/>
      <c r="L660" s="89"/>
      <c r="M660" s="89"/>
    </row>
    <row r="661" s="59" customFormat="1" spans="1:16">
      <c r="A661" s="74">
        <v>660</v>
      </c>
      <c r="B661" s="66" t="s">
        <v>67</v>
      </c>
      <c r="C661" s="67" t="s">
        <v>301</v>
      </c>
      <c r="D661" s="67" t="s">
        <v>105</v>
      </c>
      <c r="E661" s="88"/>
      <c r="F661" s="89"/>
      <c r="G661" s="89"/>
      <c r="H661" s="77" t="s">
        <v>71</v>
      </c>
      <c r="I661" s="78">
        <v>16000</v>
      </c>
      <c r="J661" s="84"/>
      <c r="K661" s="85"/>
      <c r="L661" s="89"/>
      <c r="M661" s="89"/>
    </row>
    <row r="662" s="59" customFormat="1" spans="1:16">
      <c r="A662" s="74">
        <v>661</v>
      </c>
      <c r="B662" s="66" t="s">
        <v>67</v>
      </c>
      <c r="C662" s="67" t="s">
        <v>301</v>
      </c>
      <c r="D662" s="67" t="s">
        <v>106</v>
      </c>
      <c r="E662" s="88"/>
      <c r="F662" s="89"/>
      <c r="G662" s="89"/>
      <c r="H662" s="77" t="s">
        <v>71</v>
      </c>
      <c r="I662" s="78">
        <v>16000</v>
      </c>
      <c r="J662" s="84"/>
      <c r="K662" s="85"/>
      <c r="L662" s="89"/>
      <c r="M662" s="89"/>
    </row>
    <row r="663" s="59" customFormat="1" spans="1:16">
      <c r="A663" s="74">
        <v>662</v>
      </c>
      <c r="B663" s="66" t="s">
        <v>67</v>
      </c>
      <c r="C663" s="67" t="s">
        <v>301</v>
      </c>
      <c r="D663" s="67" t="s">
        <v>107</v>
      </c>
      <c r="E663" s="88"/>
      <c r="F663" s="89"/>
      <c r="G663" s="89"/>
      <c r="H663" s="77" t="s">
        <v>71</v>
      </c>
      <c r="I663" s="78">
        <v>16000</v>
      </c>
      <c r="J663" s="84"/>
      <c r="K663" s="85"/>
      <c r="L663" s="89"/>
      <c r="M663" s="89"/>
    </row>
    <row r="664" s="59" customFormat="1" spans="1:16">
      <c r="A664" s="74">
        <v>663</v>
      </c>
      <c r="B664" s="66" t="s">
        <v>67</v>
      </c>
      <c r="C664" s="67" t="s">
        <v>301</v>
      </c>
      <c r="D664" s="67" t="s">
        <v>108</v>
      </c>
      <c r="E664" s="88"/>
      <c r="F664" s="89"/>
      <c r="G664" s="89"/>
      <c r="H664" s="77" t="s">
        <v>71</v>
      </c>
      <c r="I664" s="78">
        <v>16000</v>
      </c>
      <c r="J664" s="84"/>
      <c r="K664" s="85"/>
      <c r="L664" s="89"/>
      <c r="M664" s="89"/>
    </row>
    <row r="665" s="59" customFormat="1" spans="1:16">
      <c r="A665" s="74">
        <v>664</v>
      </c>
      <c r="B665" s="66" t="s">
        <v>67</v>
      </c>
      <c r="C665" s="67" t="s">
        <v>301</v>
      </c>
      <c r="D665" s="67" t="s">
        <v>109</v>
      </c>
      <c r="E665" s="88"/>
      <c r="F665" s="89"/>
      <c r="G665" s="89"/>
      <c r="H665" s="77" t="s">
        <v>71</v>
      </c>
      <c r="I665" s="78">
        <v>16000</v>
      </c>
      <c r="J665" s="84"/>
      <c r="K665" s="85"/>
      <c r="L665" s="89"/>
      <c r="M665" s="89"/>
    </row>
    <row r="666" s="59" customFormat="1" spans="1:16">
      <c r="A666" s="74">
        <v>665</v>
      </c>
      <c r="B666" s="66" t="s">
        <v>67</v>
      </c>
      <c r="C666" s="67" t="s">
        <v>301</v>
      </c>
      <c r="D666" s="67" t="s">
        <v>110</v>
      </c>
      <c r="E666" s="88"/>
      <c r="F666" s="89"/>
      <c r="G666" s="89"/>
      <c r="H666" s="77" t="s">
        <v>71</v>
      </c>
      <c r="I666" s="78">
        <v>16000</v>
      </c>
      <c r="J666" s="84"/>
      <c r="K666" s="85"/>
      <c r="L666" s="89"/>
      <c r="M666" s="89"/>
    </row>
    <row r="667" s="59" customFormat="1" spans="1:16">
      <c r="A667" s="74">
        <v>666</v>
      </c>
      <c r="B667" s="66" t="s">
        <v>67</v>
      </c>
      <c r="C667" s="67" t="s">
        <v>301</v>
      </c>
      <c r="D667" s="67" t="s">
        <v>111</v>
      </c>
      <c r="E667" s="80" t="s">
        <v>73</v>
      </c>
      <c r="F667" s="89">
        <v>45791.6002199074</v>
      </c>
      <c r="G667" s="89">
        <v>45794.75</v>
      </c>
      <c r="H667" s="77" t="s">
        <v>71</v>
      </c>
      <c r="I667" s="78">
        <v>16000</v>
      </c>
      <c r="J667" s="84" t="s">
        <v>72</v>
      </c>
      <c r="K667" s="85"/>
      <c r="L667" s="89"/>
      <c r="M667" s="89"/>
    </row>
    <row r="668" s="59" customFormat="1" spans="1:16">
      <c r="A668" s="74">
        <v>667</v>
      </c>
      <c r="B668" s="66" t="s">
        <v>67</v>
      </c>
      <c r="C668" s="67" t="s">
        <v>301</v>
      </c>
      <c r="D668" s="67" t="s">
        <v>112</v>
      </c>
      <c r="E668" s="80" t="s">
        <v>73</v>
      </c>
      <c r="F668" s="89">
        <v>45791.6002199074</v>
      </c>
      <c r="G668" s="89">
        <v>45794.75</v>
      </c>
      <c r="H668" s="77" t="s">
        <v>71</v>
      </c>
      <c r="I668" s="78">
        <v>16000</v>
      </c>
      <c r="J668" s="84" t="s">
        <v>72</v>
      </c>
      <c r="K668" s="85"/>
      <c r="L668" s="86"/>
      <c r="M668" s="87"/>
    </row>
    <row r="669" s="59" customFormat="1" spans="1:16">
      <c r="A669" s="74">
        <v>668</v>
      </c>
      <c r="B669" s="66" t="s">
        <v>67</v>
      </c>
      <c r="C669" s="67" t="s">
        <v>301</v>
      </c>
      <c r="D669" s="67" t="s">
        <v>113</v>
      </c>
      <c r="E669" s="80" t="s">
        <v>73</v>
      </c>
      <c r="F669" s="89">
        <v>45791.6002199074</v>
      </c>
      <c r="G669" s="89">
        <v>45794.75</v>
      </c>
      <c r="H669" s="77" t="s">
        <v>71</v>
      </c>
      <c r="I669" s="78">
        <v>16000</v>
      </c>
      <c r="J669" s="84" t="s">
        <v>72</v>
      </c>
      <c r="K669" s="85"/>
      <c r="L669" s="86"/>
      <c r="M669" s="87"/>
    </row>
    <row r="670" s="59" customFormat="1" spans="1:16">
      <c r="A670" s="74">
        <v>669</v>
      </c>
      <c r="B670" s="66" t="s">
        <v>67</v>
      </c>
      <c r="C670" s="67" t="s">
        <v>301</v>
      </c>
      <c r="D670" s="59" t="s">
        <v>120</v>
      </c>
      <c r="E670" s="75" t="s">
        <v>70</v>
      </c>
      <c r="F670" s="89">
        <v>46199.8822916667</v>
      </c>
      <c r="G670" s="89">
        <v>46198.8825</v>
      </c>
      <c r="H670" s="77" t="s">
        <v>71</v>
      </c>
      <c r="I670" s="78">
        <v>16000</v>
      </c>
      <c r="J670" s="84" t="s">
        <v>72</v>
      </c>
      <c r="K670" s="80" t="s">
        <v>73</v>
      </c>
      <c r="L670" s="89">
        <v>46185.7607638889</v>
      </c>
      <c r="M670" s="89">
        <v>46191.664849537</v>
      </c>
      <c r="N670" s="81" t="s">
        <v>74</v>
      </c>
      <c r="O670" s="89">
        <v>46193.9167824074</v>
      </c>
      <c r="P670" s="89">
        <v>46192.9170023148</v>
      </c>
    </row>
    <row r="671" s="59" customFormat="1" spans="1:16">
      <c r="A671" s="74">
        <v>670</v>
      </c>
      <c r="B671" s="66" t="s">
        <v>67</v>
      </c>
      <c r="C671" s="67" t="s">
        <v>301</v>
      </c>
      <c r="D671" s="59" t="s">
        <v>121</v>
      </c>
      <c r="E671" s="80" t="s">
        <v>73</v>
      </c>
      <c r="F671" s="76">
        <v>46259.4509837963</v>
      </c>
      <c r="G671" s="76">
        <v>46261.4751273148</v>
      </c>
      <c r="H671" s="77" t="s">
        <v>71</v>
      </c>
      <c r="I671" s="78">
        <v>16000</v>
      </c>
      <c r="J671" s="84" t="s">
        <v>72</v>
      </c>
      <c r="K671" s="85"/>
      <c r="L671" s="86"/>
      <c r="M671" s="87"/>
    </row>
    <row r="672" s="59" customFormat="1" spans="1:16">
      <c r="A672" s="74">
        <v>671</v>
      </c>
      <c r="B672" s="66" t="s">
        <v>67</v>
      </c>
      <c r="C672" s="67" t="s">
        <v>301</v>
      </c>
      <c r="D672" s="59" t="s">
        <v>122</v>
      </c>
      <c r="E672" s="88"/>
      <c r="H672" s="77" t="s">
        <v>71</v>
      </c>
      <c r="I672" s="78">
        <v>16000</v>
      </c>
      <c r="K672" s="85"/>
      <c r="L672" s="86"/>
      <c r="M672" s="87"/>
    </row>
    <row r="673" s="59" customFormat="1" spans="1:16">
      <c r="A673" s="74">
        <v>672</v>
      </c>
      <c r="B673" s="66" t="s">
        <v>67</v>
      </c>
      <c r="C673" s="67" t="s">
        <v>301</v>
      </c>
      <c r="D673" s="59" t="s">
        <v>123</v>
      </c>
      <c r="E673" s="88"/>
      <c r="H673" s="77" t="s">
        <v>71</v>
      </c>
      <c r="I673" s="78">
        <v>16000</v>
      </c>
      <c r="K673" s="85"/>
      <c r="L673" s="86"/>
      <c r="M673" s="87"/>
    </row>
    <row r="674" s="59" customFormat="1" spans="1:16">
      <c r="A674" s="74">
        <v>673</v>
      </c>
      <c r="B674" s="66" t="s">
        <v>67</v>
      </c>
      <c r="C674" s="67" t="s">
        <v>301</v>
      </c>
      <c r="D674" s="59" t="s">
        <v>124</v>
      </c>
      <c r="E674" s="88"/>
      <c r="H674" s="77" t="s">
        <v>71</v>
      </c>
      <c r="I674" s="78">
        <v>16000</v>
      </c>
      <c r="K674" s="85"/>
      <c r="L674" s="86"/>
      <c r="M674" s="87"/>
    </row>
    <row r="675" s="59" customFormat="1" spans="1:16">
      <c r="A675" s="74">
        <v>674</v>
      </c>
      <c r="B675" s="66" t="s">
        <v>67</v>
      </c>
      <c r="C675" s="67" t="s">
        <v>301</v>
      </c>
      <c r="D675" s="59" t="s">
        <v>125</v>
      </c>
      <c r="E675" s="88"/>
      <c r="H675" s="77" t="s">
        <v>71</v>
      </c>
      <c r="I675" s="78">
        <v>16000</v>
      </c>
      <c r="K675" s="85"/>
      <c r="L675" s="86"/>
      <c r="M675" s="87"/>
    </row>
    <row r="676" s="59" customFormat="1" spans="1:16">
      <c r="A676" s="74">
        <v>675</v>
      </c>
      <c r="B676" s="66" t="s">
        <v>67</v>
      </c>
      <c r="C676" s="67" t="s">
        <v>301</v>
      </c>
      <c r="D676" s="59" t="s">
        <v>126</v>
      </c>
      <c r="E676" s="88"/>
      <c r="H676" s="77" t="s">
        <v>71</v>
      </c>
      <c r="I676" s="78">
        <v>16000</v>
      </c>
      <c r="K676" s="85"/>
      <c r="L676" s="86"/>
      <c r="M676" s="87"/>
    </row>
    <row r="677" s="59" customFormat="1" spans="1:16">
      <c r="A677" s="74">
        <v>676</v>
      </c>
      <c r="B677" s="66" t="s">
        <v>67</v>
      </c>
      <c r="C677" s="67" t="s">
        <v>301</v>
      </c>
      <c r="D677" s="59" t="s">
        <v>127</v>
      </c>
      <c r="E677" s="88"/>
      <c r="H677" s="77" t="s">
        <v>71</v>
      </c>
      <c r="I677" s="78">
        <v>16000</v>
      </c>
      <c r="K677" s="85"/>
      <c r="L677" s="86"/>
      <c r="M677" s="87"/>
    </row>
    <row r="678" s="59" customFormat="1" spans="1:16">
      <c r="A678" s="74">
        <v>677</v>
      </c>
      <c r="B678" s="66" t="s">
        <v>67</v>
      </c>
      <c r="C678" s="67" t="s">
        <v>301</v>
      </c>
      <c r="D678" s="59" t="s">
        <v>128</v>
      </c>
      <c r="E678" s="88"/>
      <c r="H678" s="77" t="s">
        <v>71</v>
      </c>
      <c r="I678" s="78">
        <v>16000</v>
      </c>
      <c r="K678" s="85"/>
      <c r="L678" s="86"/>
      <c r="M678" s="87"/>
    </row>
    <row r="679" s="59" customFormat="1" spans="1:16">
      <c r="A679" s="74">
        <v>678</v>
      </c>
      <c r="B679" s="66" t="s">
        <v>67</v>
      </c>
      <c r="C679" s="67" t="s">
        <v>301</v>
      </c>
      <c r="D679" s="59" t="s">
        <v>129</v>
      </c>
      <c r="E679" s="88"/>
      <c r="F679" s="89"/>
      <c r="G679" s="89"/>
      <c r="H679" s="77" t="s">
        <v>71</v>
      </c>
      <c r="I679" s="78">
        <v>16000</v>
      </c>
      <c r="J679" s="84"/>
      <c r="K679" s="85"/>
      <c r="L679" s="89"/>
      <c r="M679" s="89"/>
    </row>
    <row r="680" s="59" customFormat="1" spans="1:16">
      <c r="A680" s="74">
        <v>679</v>
      </c>
      <c r="B680" s="66" t="s">
        <v>67</v>
      </c>
      <c r="C680" s="67" t="s">
        <v>301</v>
      </c>
      <c r="D680" s="59" t="s">
        <v>130</v>
      </c>
      <c r="E680" s="88"/>
      <c r="F680" s="89"/>
      <c r="G680" s="89"/>
      <c r="H680" s="77" t="s">
        <v>71</v>
      </c>
      <c r="I680" s="78">
        <v>16000</v>
      </c>
      <c r="J680" s="84"/>
      <c r="K680" s="85"/>
      <c r="L680" s="89"/>
      <c r="M680" s="89"/>
    </row>
    <row r="681" s="59" customFormat="1" spans="1:16">
      <c r="A681" s="74">
        <v>680</v>
      </c>
      <c r="B681" s="66" t="s">
        <v>67</v>
      </c>
      <c r="C681" s="67" t="s">
        <v>301</v>
      </c>
      <c r="D681" s="59" t="s">
        <v>131</v>
      </c>
      <c r="E681" s="88"/>
      <c r="F681" s="89"/>
      <c r="G681" s="89"/>
      <c r="H681" s="77" t="s">
        <v>71</v>
      </c>
      <c r="I681" s="78">
        <v>16000</v>
      </c>
      <c r="J681" s="84"/>
      <c r="K681" s="85"/>
      <c r="L681" s="89"/>
      <c r="M681" s="89"/>
    </row>
    <row r="682" s="59" customFormat="1" spans="1:16">
      <c r="A682" s="74">
        <v>681</v>
      </c>
      <c r="B682" s="66" t="s">
        <v>67</v>
      </c>
      <c r="C682" s="67" t="s">
        <v>301</v>
      </c>
      <c r="D682" s="59" t="s">
        <v>132</v>
      </c>
      <c r="E682" s="88"/>
      <c r="F682" s="89"/>
      <c r="G682" s="89"/>
      <c r="H682" s="77" t="s">
        <v>71</v>
      </c>
      <c r="I682" s="78">
        <v>16000</v>
      </c>
      <c r="J682" s="84"/>
      <c r="K682" s="85"/>
      <c r="L682" s="89"/>
      <c r="M682" s="89"/>
    </row>
    <row r="683" s="59" customFormat="1" spans="1:16">
      <c r="A683" s="74">
        <v>682</v>
      </c>
      <c r="B683" s="66" t="s">
        <v>67</v>
      </c>
      <c r="C683" s="67" t="s">
        <v>301</v>
      </c>
      <c r="D683" s="59" t="s">
        <v>133</v>
      </c>
      <c r="E683" s="88"/>
      <c r="F683" s="89"/>
      <c r="G683" s="89"/>
      <c r="H683" s="77" t="s">
        <v>71</v>
      </c>
      <c r="I683" s="78">
        <v>16000</v>
      </c>
      <c r="J683" s="84"/>
      <c r="K683" s="85"/>
      <c r="L683" s="89"/>
      <c r="M683" s="89"/>
    </row>
    <row r="684" s="59" customFormat="1" spans="1:16">
      <c r="A684" s="74">
        <v>683</v>
      </c>
      <c r="B684" s="66" t="s">
        <v>67</v>
      </c>
      <c r="C684" s="67" t="s">
        <v>301</v>
      </c>
      <c r="D684" s="59" t="s">
        <v>134</v>
      </c>
      <c r="E684" s="88"/>
      <c r="F684" s="89"/>
      <c r="G684" s="89"/>
      <c r="H684" s="77" t="s">
        <v>71</v>
      </c>
      <c r="I684" s="78">
        <v>16000</v>
      </c>
      <c r="J684" s="84"/>
      <c r="K684" s="85"/>
      <c r="L684" s="89"/>
      <c r="M684" s="89"/>
    </row>
    <row r="685" s="59" customFormat="1" spans="1:16">
      <c r="A685" s="74">
        <v>684</v>
      </c>
      <c r="B685" s="66" t="s">
        <v>67</v>
      </c>
      <c r="C685" s="67" t="s">
        <v>301</v>
      </c>
      <c r="D685" s="59" t="s">
        <v>141</v>
      </c>
      <c r="E685" s="75" t="s">
        <v>70</v>
      </c>
      <c r="F685" s="89">
        <v>46199.8822916667</v>
      </c>
      <c r="G685" s="89">
        <v>46198.8825</v>
      </c>
      <c r="H685" s="77" t="s">
        <v>71</v>
      </c>
      <c r="I685" s="78">
        <v>16000</v>
      </c>
      <c r="J685" s="84" t="s">
        <v>72</v>
      </c>
      <c r="K685" s="80" t="s">
        <v>73</v>
      </c>
      <c r="L685" s="89">
        <v>46185.7607638889</v>
      </c>
      <c r="M685" s="89">
        <v>46191.6676736111</v>
      </c>
      <c r="N685" s="81" t="s">
        <v>74</v>
      </c>
      <c r="O685" s="89">
        <v>46193.9167824074</v>
      </c>
      <c r="P685" s="89">
        <v>46192.9170023148</v>
      </c>
    </row>
    <row r="686" s="59" customFormat="1" spans="1:16">
      <c r="A686" s="74">
        <v>685</v>
      </c>
      <c r="B686" s="66" t="s">
        <v>67</v>
      </c>
      <c r="C686" s="67" t="s">
        <v>301</v>
      </c>
      <c r="D686" s="59" t="s">
        <v>142</v>
      </c>
      <c r="E686" s="88"/>
      <c r="H686" s="77" t="s">
        <v>71</v>
      </c>
      <c r="I686" s="78">
        <v>16000</v>
      </c>
      <c r="K686" s="85"/>
      <c r="L686" s="86"/>
      <c r="M686" s="87"/>
    </row>
    <row r="687" s="59" customFormat="1" spans="1:16">
      <c r="A687" s="74">
        <v>686</v>
      </c>
      <c r="B687" s="66" t="s">
        <v>67</v>
      </c>
      <c r="C687" s="67" t="s">
        <v>301</v>
      </c>
      <c r="D687" s="59" t="s">
        <v>143</v>
      </c>
      <c r="E687" s="88"/>
      <c r="H687" s="77" t="s">
        <v>71</v>
      </c>
      <c r="I687" s="78">
        <v>16000</v>
      </c>
      <c r="K687" s="85"/>
      <c r="L687" s="86"/>
      <c r="M687" s="87"/>
    </row>
    <row r="688" s="59" customFormat="1" spans="1:16">
      <c r="A688" s="74">
        <v>687</v>
      </c>
      <c r="B688" s="66" t="s">
        <v>67</v>
      </c>
      <c r="C688" s="67" t="s">
        <v>301</v>
      </c>
      <c r="D688" s="59" t="s">
        <v>144</v>
      </c>
      <c r="E688" s="88"/>
      <c r="H688" s="77" t="s">
        <v>71</v>
      </c>
      <c r="I688" s="78">
        <v>16000</v>
      </c>
      <c r="K688" s="85"/>
      <c r="L688" s="86"/>
      <c r="M688" s="87"/>
    </row>
    <row r="689" s="59" customFormat="1" spans="1:13">
      <c r="A689" s="74">
        <v>688</v>
      </c>
      <c r="B689" s="66" t="s">
        <v>67</v>
      </c>
      <c r="C689" s="67" t="s">
        <v>301</v>
      </c>
      <c r="D689" s="59" t="s">
        <v>145</v>
      </c>
      <c r="E689" s="88"/>
      <c r="H689" s="77" t="s">
        <v>71</v>
      </c>
      <c r="I689" s="78">
        <v>16000</v>
      </c>
      <c r="K689" s="85"/>
      <c r="L689" s="86"/>
      <c r="M689" s="87"/>
    </row>
    <row r="690" s="59" customFormat="1" spans="1:13">
      <c r="A690" s="74">
        <v>689</v>
      </c>
      <c r="B690" s="66" t="s">
        <v>67</v>
      </c>
      <c r="C690" s="67" t="s">
        <v>301</v>
      </c>
      <c r="D690" s="59" t="s">
        <v>146</v>
      </c>
      <c r="E690" s="88"/>
      <c r="H690" s="77" t="s">
        <v>71</v>
      </c>
      <c r="I690" s="78">
        <v>16000</v>
      </c>
      <c r="K690" s="85"/>
      <c r="L690" s="86"/>
      <c r="M690" s="87"/>
    </row>
    <row r="691" s="59" customFormat="1" spans="1:13">
      <c r="A691" s="74">
        <v>690</v>
      </c>
      <c r="B691" s="66" t="s">
        <v>67</v>
      </c>
      <c r="C691" s="67" t="s">
        <v>301</v>
      </c>
      <c r="D691" s="59" t="s">
        <v>147</v>
      </c>
      <c r="E691" s="88"/>
      <c r="H691" s="77" t="s">
        <v>71</v>
      </c>
      <c r="I691" s="78">
        <v>16000</v>
      </c>
      <c r="K691" s="85"/>
      <c r="L691" s="86"/>
      <c r="M691" s="87"/>
    </row>
    <row r="692" s="59" customFormat="1" spans="1:13">
      <c r="A692" s="74">
        <v>691</v>
      </c>
      <c r="B692" s="66" t="s">
        <v>67</v>
      </c>
      <c r="C692" s="67" t="s">
        <v>301</v>
      </c>
      <c r="D692" s="59" t="s">
        <v>148</v>
      </c>
      <c r="E692" s="88"/>
      <c r="H692" s="77" t="s">
        <v>71</v>
      </c>
      <c r="I692" s="78">
        <v>16000</v>
      </c>
      <c r="K692" s="85"/>
      <c r="L692" s="86"/>
      <c r="M692" s="87"/>
    </row>
    <row r="693" s="59" customFormat="1" spans="1:13">
      <c r="A693" s="74">
        <v>692</v>
      </c>
      <c r="B693" s="66" t="s">
        <v>67</v>
      </c>
      <c r="C693" s="67" t="s">
        <v>301</v>
      </c>
      <c r="D693" s="59" t="s">
        <v>149</v>
      </c>
      <c r="E693" s="88"/>
      <c r="F693" s="89"/>
      <c r="G693" s="89"/>
      <c r="H693" s="77" t="s">
        <v>71</v>
      </c>
      <c r="I693" s="78">
        <v>16000</v>
      </c>
      <c r="J693" s="84"/>
      <c r="K693" s="85"/>
      <c r="L693" s="89"/>
      <c r="M693" s="89"/>
    </row>
    <row r="694" s="59" customFormat="1" spans="1:13">
      <c r="A694" s="74">
        <v>693</v>
      </c>
      <c r="B694" s="66" t="s">
        <v>67</v>
      </c>
      <c r="C694" s="67" t="s">
        <v>301</v>
      </c>
      <c r="D694" s="59" t="s">
        <v>150</v>
      </c>
      <c r="E694" s="88"/>
      <c r="F694" s="89"/>
      <c r="G694" s="89"/>
      <c r="H694" s="77" t="s">
        <v>71</v>
      </c>
      <c r="I694" s="78">
        <v>16000</v>
      </c>
      <c r="J694" s="84"/>
      <c r="K694" s="85"/>
      <c r="L694" s="89"/>
      <c r="M694" s="89"/>
    </row>
    <row r="695" s="59" customFormat="1" spans="1:13">
      <c r="A695" s="74">
        <v>694</v>
      </c>
      <c r="B695" s="66" t="s">
        <v>67</v>
      </c>
      <c r="C695" s="67" t="s">
        <v>301</v>
      </c>
      <c r="D695" s="59" t="s">
        <v>151</v>
      </c>
      <c r="E695" s="88"/>
      <c r="F695" s="89"/>
      <c r="G695" s="89"/>
      <c r="H695" s="77" t="s">
        <v>71</v>
      </c>
      <c r="I695" s="78">
        <v>16000</v>
      </c>
      <c r="J695" s="84"/>
      <c r="K695" s="85"/>
      <c r="L695" s="89"/>
      <c r="M695" s="89"/>
    </row>
    <row r="696" s="59" customFormat="1" spans="1:13">
      <c r="A696" s="74">
        <v>695</v>
      </c>
      <c r="B696" s="66" t="s">
        <v>67</v>
      </c>
      <c r="C696" s="67" t="s">
        <v>301</v>
      </c>
      <c r="D696" s="59" t="s">
        <v>152</v>
      </c>
      <c r="E696" s="88"/>
      <c r="F696" s="89"/>
      <c r="G696" s="89"/>
      <c r="H696" s="77" t="s">
        <v>71</v>
      </c>
      <c r="I696" s="78">
        <v>16000</v>
      </c>
      <c r="J696" s="84"/>
      <c r="K696" s="85"/>
      <c r="L696" s="89"/>
      <c r="M696" s="89"/>
    </row>
    <row r="697" s="59" customFormat="1" spans="1:13">
      <c r="A697" s="74">
        <v>696</v>
      </c>
      <c r="B697" s="66" t="s">
        <v>67</v>
      </c>
      <c r="C697" s="67" t="s">
        <v>301</v>
      </c>
      <c r="D697" s="59" t="s">
        <v>153</v>
      </c>
      <c r="E697" s="88"/>
      <c r="F697" s="89"/>
      <c r="G697" s="89"/>
      <c r="H697" s="77" t="s">
        <v>71</v>
      </c>
      <c r="I697" s="78">
        <v>16000</v>
      </c>
      <c r="J697" s="84"/>
      <c r="K697" s="85"/>
      <c r="L697" s="89"/>
      <c r="M697" s="89"/>
    </row>
    <row r="698" s="59" customFormat="1" spans="1:13">
      <c r="A698" s="74">
        <v>697</v>
      </c>
      <c r="B698" s="66" t="s">
        <v>67</v>
      </c>
      <c r="C698" s="67" t="s">
        <v>301</v>
      </c>
      <c r="D698" s="59" t="s">
        <v>154</v>
      </c>
      <c r="E698" s="88"/>
      <c r="F698" s="89"/>
      <c r="G698" s="89"/>
      <c r="H698" s="77" t="s">
        <v>71</v>
      </c>
      <c r="I698" s="78">
        <v>16000</v>
      </c>
      <c r="J698" s="84"/>
      <c r="K698" s="85"/>
      <c r="L698" s="89"/>
      <c r="M698" s="89"/>
    </row>
    <row r="699" s="59" customFormat="1" spans="1:13">
      <c r="A699" s="74">
        <v>698</v>
      </c>
      <c r="B699" s="66" t="s">
        <v>67</v>
      </c>
      <c r="C699" s="67" t="s">
        <v>301</v>
      </c>
      <c r="D699" s="59" t="s">
        <v>155</v>
      </c>
      <c r="E699" s="88"/>
      <c r="F699" s="89"/>
      <c r="G699" s="89"/>
      <c r="H699" s="77" t="s">
        <v>71</v>
      </c>
      <c r="I699" s="78">
        <v>16000</v>
      </c>
      <c r="J699" s="84"/>
      <c r="K699" s="85"/>
      <c r="L699" s="89"/>
      <c r="M699" s="89"/>
    </row>
    <row r="700" s="59" customFormat="1" spans="1:13">
      <c r="A700" s="74">
        <v>699</v>
      </c>
      <c r="B700" s="66" t="s">
        <v>67</v>
      </c>
      <c r="C700" s="67" t="s">
        <v>301</v>
      </c>
      <c r="D700" s="59" t="s">
        <v>156</v>
      </c>
      <c r="E700" s="88"/>
      <c r="F700" s="89"/>
      <c r="G700" s="89"/>
      <c r="H700" s="77" t="s">
        <v>71</v>
      </c>
      <c r="I700" s="78">
        <v>16000</v>
      </c>
      <c r="J700" s="84"/>
      <c r="K700" s="85"/>
      <c r="L700" s="89"/>
      <c r="M700" s="89"/>
    </row>
    <row r="701" s="59" customFormat="1" spans="1:13">
      <c r="A701" s="74">
        <v>700</v>
      </c>
      <c r="B701" s="66" t="s">
        <v>67</v>
      </c>
      <c r="C701" s="67" t="s">
        <v>301</v>
      </c>
      <c r="D701" s="59" t="s">
        <v>157</v>
      </c>
      <c r="E701" s="88"/>
      <c r="H701" s="77" t="s">
        <v>71</v>
      </c>
      <c r="I701" s="78">
        <v>16000</v>
      </c>
      <c r="K701" s="85"/>
      <c r="L701" s="86"/>
      <c r="M701" s="87"/>
    </row>
    <row r="702" s="59" customFormat="1" spans="1:13">
      <c r="A702" s="74">
        <v>701</v>
      </c>
      <c r="B702" s="66" t="s">
        <v>67</v>
      </c>
      <c r="C702" s="67" t="s">
        <v>301</v>
      </c>
      <c r="D702" s="59" t="s">
        <v>164</v>
      </c>
      <c r="E702" s="88"/>
      <c r="H702" s="77" t="s">
        <v>71</v>
      </c>
      <c r="I702" s="78">
        <v>16000</v>
      </c>
      <c r="K702" s="85"/>
      <c r="L702" s="86"/>
      <c r="M702" s="87"/>
    </row>
    <row r="703" s="59" customFormat="1" spans="1:13">
      <c r="A703" s="74">
        <v>702</v>
      </c>
      <c r="B703" s="66" t="s">
        <v>67</v>
      </c>
      <c r="C703" s="67" t="s">
        <v>301</v>
      </c>
      <c r="D703" s="59" t="s">
        <v>165</v>
      </c>
      <c r="E703" s="88"/>
      <c r="H703" s="77" t="s">
        <v>76</v>
      </c>
      <c r="I703" s="82">
        <v>12000</v>
      </c>
      <c r="K703" s="85"/>
      <c r="L703" s="86"/>
      <c r="M703" s="87"/>
    </row>
    <row r="704" s="59" customFormat="1" spans="1:13">
      <c r="A704" s="74">
        <v>703</v>
      </c>
      <c r="B704" s="66" t="s">
        <v>67</v>
      </c>
      <c r="C704" s="67" t="s">
        <v>301</v>
      </c>
      <c r="D704" s="59" t="s">
        <v>166</v>
      </c>
      <c r="E704" s="88"/>
      <c r="H704" s="77" t="s">
        <v>76</v>
      </c>
      <c r="I704" s="82">
        <v>12000</v>
      </c>
      <c r="K704" s="85"/>
      <c r="L704" s="86"/>
      <c r="M704" s="87"/>
    </row>
    <row r="705" s="59" customFormat="1" spans="1:13">
      <c r="A705" s="74">
        <v>704</v>
      </c>
      <c r="B705" s="66" t="s">
        <v>67</v>
      </c>
      <c r="C705" s="67" t="s">
        <v>301</v>
      </c>
      <c r="D705" s="59" t="s">
        <v>167</v>
      </c>
      <c r="E705" s="88"/>
      <c r="H705" s="77" t="s">
        <v>76</v>
      </c>
      <c r="I705" s="82">
        <v>12000</v>
      </c>
      <c r="K705" s="85"/>
      <c r="L705" s="86"/>
      <c r="M705" s="87"/>
    </row>
    <row r="706" s="59" customFormat="1" spans="1:13">
      <c r="A706" s="74">
        <v>705</v>
      </c>
      <c r="B706" s="66" t="s">
        <v>67</v>
      </c>
      <c r="C706" s="67" t="s">
        <v>301</v>
      </c>
      <c r="D706" s="59" t="s">
        <v>168</v>
      </c>
      <c r="E706" s="88"/>
      <c r="H706" s="77" t="s">
        <v>76</v>
      </c>
      <c r="I706" s="82">
        <v>12000</v>
      </c>
      <c r="K706" s="85"/>
      <c r="L706" s="86"/>
      <c r="M706" s="87"/>
    </row>
    <row r="707" s="59" customFormat="1" spans="1:13">
      <c r="A707" s="74">
        <v>706</v>
      </c>
      <c r="B707" s="66" t="s">
        <v>67</v>
      </c>
      <c r="C707" s="67" t="s">
        <v>301</v>
      </c>
      <c r="D707" s="59" t="s">
        <v>169</v>
      </c>
      <c r="E707" s="88"/>
      <c r="H707" s="77" t="s">
        <v>76</v>
      </c>
      <c r="I707" s="82">
        <v>12000</v>
      </c>
      <c r="K707" s="85"/>
      <c r="L707" s="86"/>
      <c r="M707" s="87"/>
    </row>
    <row r="708" s="59" customFormat="1" spans="1:13">
      <c r="A708" s="74">
        <v>707</v>
      </c>
      <c r="B708" s="66" t="s">
        <v>67</v>
      </c>
      <c r="C708" s="67" t="s">
        <v>301</v>
      </c>
      <c r="D708" s="59" t="s">
        <v>170</v>
      </c>
      <c r="E708" s="88"/>
      <c r="H708" s="77" t="s">
        <v>76</v>
      </c>
      <c r="I708" s="82">
        <v>12000</v>
      </c>
      <c r="K708" s="85"/>
      <c r="L708" s="86"/>
      <c r="M708" s="87"/>
    </row>
    <row r="709" s="59" customFormat="1" spans="1:13">
      <c r="A709" s="74">
        <v>708</v>
      </c>
      <c r="B709" s="66" t="s">
        <v>67</v>
      </c>
      <c r="C709" s="67" t="s">
        <v>301</v>
      </c>
      <c r="D709" s="59" t="s">
        <v>171</v>
      </c>
      <c r="E709" s="88"/>
      <c r="H709" s="77" t="s">
        <v>76</v>
      </c>
      <c r="I709" s="82">
        <v>12000</v>
      </c>
      <c r="K709" s="85"/>
      <c r="L709" s="86"/>
      <c r="M709" s="87"/>
    </row>
    <row r="710" s="59" customFormat="1" spans="1:13">
      <c r="A710" s="74">
        <v>709</v>
      </c>
      <c r="B710" s="66" t="s">
        <v>67</v>
      </c>
      <c r="C710" s="67" t="s">
        <v>301</v>
      </c>
      <c r="D710" s="59" t="s">
        <v>172</v>
      </c>
      <c r="E710" s="88"/>
      <c r="H710" s="77" t="s">
        <v>76</v>
      </c>
      <c r="I710" s="82">
        <v>12000</v>
      </c>
      <c r="K710" s="85"/>
      <c r="L710" s="86"/>
      <c r="M710" s="87"/>
    </row>
    <row r="711" s="59" customFormat="1" spans="1:13">
      <c r="A711" s="74">
        <v>710</v>
      </c>
      <c r="B711" s="66" t="s">
        <v>67</v>
      </c>
      <c r="C711" s="67" t="s">
        <v>301</v>
      </c>
      <c r="D711" s="59" t="s">
        <v>173</v>
      </c>
      <c r="E711" s="88"/>
      <c r="F711" s="89"/>
      <c r="G711" s="89"/>
      <c r="H711" s="77" t="s">
        <v>76</v>
      </c>
      <c r="I711" s="82">
        <v>12000</v>
      </c>
      <c r="J711" s="84"/>
      <c r="K711" s="85"/>
      <c r="L711" s="89"/>
      <c r="M711" s="89"/>
    </row>
    <row r="712" s="59" customFormat="1" spans="1:13">
      <c r="A712" s="74">
        <v>711</v>
      </c>
      <c r="B712" s="66" t="s">
        <v>67</v>
      </c>
      <c r="C712" s="67" t="s">
        <v>301</v>
      </c>
      <c r="D712" s="59" t="s">
        <v>174</v>
      </c>
      <c r="E712" s="88"/>
      <c r="F712" s="89"/>
      <c r="G712" s="89"/>
      <c r="H712" s="77" t="s">
        <v>76</v>
      </c>
      <c r="I712" s="82">
        <v>12000</v>
      </c>
      <c r="J712" s="84"/>
      <c r="K712" s="85"/>
      <c r="L712" s="89"/>
      <c r="M712" s="89"/>
    </row>
    <row r="713" s="59" customFormat="1" spans="1:13">
      <c r="A713" s="74">
        <v>712</v>
      </c>
      <c r="B713" s="66" t="s">
        <v>67</v>
      </c>
      <c r="C713" s="67" t="s">
        <v>301</v>
      </c>
      <c r="D713" s="59" t="s">
        <v>175</v>
      </c>
      <c r="E713" s="88"/>
      <c r="F713" s="89"/>
      <c r="G713" s="89"/>
      <c r="H713" s="77" t="s">
        <v>76</v>
      </c>
      <c r="I713" s="82">
        <v>12000</v>
      </c>
      <c r="J713" s="84"/>
      <c r="K713" s="85"/>
      <c r="L713" s="89"/>
      <c r="M713" s="89"/>
    </row>
    <row r="714" s="59" customFormat="1" spans="1:13">
      <c r="A714" s="74">
        <v>713</v>
      </c>
      <c r="B714" s="66" t="s">
        <v>67</v>
      </c>
      <c r="C714" s="67" t="s">
        <v>301</v>
      </c>
      <c r="D714" s="59" t="s">
        <v>176</v>
      </c>
      <c r="E714" s="88"/>
      <c r="F714" s="89"/>
      <c r="G714" s="89"/>
      <c r="H714" s="77" t="s">
        <v>76</v>
      </c>
      <c r="I714" s="82">
        <v>12000</v>
      </c>
      <c r="J714" s="84"/>
      <c r="K714" s="85"/>
      <c r="L714" s="89"/>
      <c r="M714" s="89"/>
    </row>
    <row r="715" s="59" customFormat="1" spans="1:13">
      <c r="A715" s="74">
        <v>714</v>
      </c>
      <c r="B715" s="66" t="s">
        <v>67</v>
      </c>
      <c r="C715" s="67" t="s">
        <v>301</v>
      </c>
      <c r="D715" s="59" t="s">
        <v>177</v>
      </c>
      <c r="E715" s="88"/>
      <c r="F715" s="89"/>
      <c r="G715" s="89"/>
      <c r="H715" s="77" t="s">
        <v>76</v>
      </c>
      <c r="I715" s="82">
        <v>12000</v>
      </c>
      <c r="J715" s="84"/>
      <c r="K715" s="85"/>
      <c r="L715" s="89"/>
      <c r="M715" s="89"/>
    </row>
    <row r="716" s="59" customFormat="1" spans="1:13">
      <c r="A716" s="74">
        <v>715</v>
      </c>
      <c r="B716" s="66" t="s">
        <v>67</v>
      </c>
      <c r="C716" s="67" t="s">
        <v>301</v>
      </c>
      <c r="D716" s="59" t="s">
        <v>178</v>
      </c>
      <c r="E716" s="88"/>
      <c r="F716" s="89"/>
      <c r="G716" s="89"/>
      <c r="H716" s="77" t="s">
        <v>76</v>
      </c>
      <c r="I716" s="82">
        <v>12000</v>
      </c>
      <c r="J716" s="84"/>
      <c r="K716" s="85"/>
      <c r="L716" s="89"/>
      <c r="M716" s="89"/>
    </row>
    <row r="717" s="59" customFormat="1" spans="1:13">
      <c r="A717" s="74">
        <v>716</v>
      </c>
      <c r="B717" s="66" t="s">
        <v>67</v>
      </c>
      <c r="C717" s="67" t="s">
        <v>301</v>
      </c>
      <c r="D717" s="59" t="s">
        <v>179</v>
      </c>
      <c r="E717" s="88"/>
      <c r="F717" s="89"/>
      <c r="G717" s="89"/>
      <c r="H717" s="77" t="s">
        <v>76</v>
      </c>
      <c r="I717" s="82">
        <v>12000</v>
      </c>
      <c r="J717" s="84"/>
      <c r="K717" s="85"/>
      <c r="L717" s="89"/>
      <c r="M717" s="89"/>
    </row>
    <row r="718" s="59" customFormat="1" spans="1:13">
      <c r="A718" s="74">
        <v>717</v>
      </c>
      <c r="B718" s="66" t="s">
        <v>67</v>
      </c>
      <c r="C718" s="67" t="s">
        <v>301</v>
      </c>
      <c r="D718" s="59" t="s">
        <v>180</v>
      </c>
      <c r="E718" s="88"/>
      <c r="F718" s="89"/>
      <c r="G718" s="89"/>
      <c r="H718" s="77" t="s">
        <v>76</v>
      </c>
      <c r="I718" s="82">
        <v>12000</v>
      </c>
      <c r="J718" s="84"/>
      <c r="K718" s="85"/>
      <c r="L718" s="89"/>
      <c r="M718" s="89"/>
    </row>
    <row r="719" s="59" customFormat="1" spans="1:13">
      <c r="A719" s="74">
        <v>718</v>
      </c>
      <c r="B719" s="66" t="s">
        <v>67</v>
      </c>
      <c r="C719" s="67" t="s">
        <v>301</v>
      </c>
      <c r="D719" s="59" t="s">
        <v>181</v>
      </c>
      <c r="E719" s="88"/>
      <c r="F719" s="89"/>
      <c r="G719" s="89"/>
      <c r="H719" s="77" t="s">
        <v>76</v>
      </c>
      <c r="I719" s="82">
        <v>12000</v>
      </c>
      <c r="J719" s="84"/>
      <c r="K719" s="85"/>
      <c r="L719" s="89"/>
      <c r="M719" s="89"/>
    </row>
    <row r="720" s="59" customFormat="1" spans="1:13">
      <c r="A720" s="74">
        <v>719</v>
      </c>
      <c r="B720" s="66" t="s">
        <v>67</v>
      </c>
      <c r="C720" s="67" t="s">
        <v>301</v>
      </c>
      <c r="D720" s="59" t="s">
        <v>182</v>
      </c>
      <c r="E720" s="88"/>
      <c r="H720" s="77" t="s">
        <v>76</v>
      </c>
      <c r="I720" s="82">
        <v>12000</v>
      </c>
      <c r="K720" s="85"/>
      <c r="L720" s="86"/>
      <c r="M720" s="87"/>
    </row>
    <row r="721" s="59" customFormat="1" spans="1:13">
      <c r="A721" s="74">
        <v>720</v>
      </c>
      <c r="B721" s="66" t="s">
        <v>67</v>
      </c>
      <c r="C721" s="67" t="s">
        <v>301</v>
      </c>
      <c r="D721" s="59" t="s">
        <v>183</v>
      </c>
      <c r="E721" s="88"/>
      <c r="H721" s="77" t="s">
        <v>76</v>
      </c>
      <c r="I721" s="82">
        <v>12000</v>
      </c>
      <c r="K721" s="85"/>
      <c r="L721" s="86"/>
      <c r="M721" s="87"/>
    </row>
    <row r="722" s="59" customFormat="1" spans="1:13">
      <c r="A722" s="74">
        <v>721</v>
      </c>
      <c r="B722" s="66" t="s">
        <v>67</v>
      </c>
      <c r="C722" s="67" t="s">
        <v>301</v>
      </c>
      <c r="D722" s="59" t="s">
        <v>184</v>
      </c>
      <c r="E722" s="88"/>
      <c r="H722" s="77" t="s">
        <v>76</v>
      </c>
      <c r="I722" s="82">
        <v>12000</v>
      </c>
      <c r="K722" s="85"/>
      <c r="L722" s="86"/>
      <c r="M722" s="87"/>
    </row>
    <row r="723" s="59" customFormat="1" spans="1:13">
      <c r="A723" s="74">
        <v>722</v>
      </c>
      <c r="B723" s="66" t="s">
        <v>67</v>
      </c>
      <c r="C723" s="67" t="s">
        <v>301</v>
      </c>
      <c r="D723" s="59" t="s">
        <v>185</v>
      </c>
      <c r="E723" s="88"/>
      <c r="H723" s="77" t="s">
        <v>71</v>
      </c>
      <c r="I723" s="78">
        <v>16000</v>
      </c>
      <c r="K723" s="85"/>
      <c r="L723" s="86"/>
      <c r="M723" s="87"/>
    </row>
    <row r="724" s="59" customFormat="1" spans="1:13">
      <c r="A724" s="74">
        <v>723</v>
      </c>
      <c r="B724" s="66" t="s">
        <v>67</v>
      </c>
      <c r="C724" s="67" t="s">
        <v>301</v>
      </c>
      <c r="D724" s="59" t="s">
        <v>186</v>
      </c>
      <c r="E724" s="88"/>
      <c r="H724" s="77" t="s">
        <v>76</v>
      </c>
      <c r="I724" s="82">
        <v>12000</v>
      </c>
      <c r="K724" s="85"/>
      <c r="L724" s="86"/>
      <c r="M724" s="87"/>
    </row>
    <row r="725" s="59" customFormat="1" spans="1:13">
      <c r="A725" s="74">
        <v>724</v>
      </c>
      <c r="B725" s="66" t="s">
        <v>67</v>
      </c>
      <c r="C725" s="67" t="s">
        <v>301</v>
      </c>
      <c r="D725" s="59" t="s">
        <v>187</v>
      </c>
      <c r="E725" s="88"/>
      <c r="H725" s="77" t="s">
        <v>76</v>
      </c>
      <c r="I725" s="82">
        <v>12000</v>
      </c>
      <c r="K725" s="85"/>
      <c r="L725" s="86"/>
      <c r="M725" s="87"/>
    </row>
    <row r="726" s="59" customFormat="1" spans="1:13">
      <c r="A726" s="74">
        <v>725</v>
      </c>
      <c r="B726" s="66" t="s">
        <v>67</v>
      </c>
      <c r="C726" s="67" t="s">
        <v>301</v>
      </c>
      <c r="D726" s="59" t="s">
        <v>188</v>
      </c>
      <c r="E726" s="88"/>
      <c r="H726" s="77" t="s">
        <v>76</v>
      </c>
      <c r="I726" s="82">
        <v>12000</v>
      </c>
      <c r="K726" s="85"/>
      <c r="L726" s="86"/>
      <c r="M726" s="87"/>
    </row>
    <row r="727" s="59" customFormat="1" spans="1:13">
      <c r="A727" s="74">
        <v>726</v>
      </c>
      <c r="B727" s="66" t="s">
        <v>67</v>
      </c>
      <c r="C727" s="67" t="s">
        <v>301</v>
      </c>
      <c r="D727" s="59" t="s">
        <v>189</v>
      </c>
      <c r="E727" s="88"/>
      <c r="F727" s="89"/>
      <c r="G727" s="89"/>
      <c r="H727" s="77" t="s">
        <v>76</v>
      </c>
      <c r="I727" s="82">
        <v>12000</v>
      </c>
      <c r="J727" s="84"/>
      <c r="K727" s="85"/>
      <c r="L727" s="89"/>
      <c r="M727" s="89"/>
    </row>
    <row r="728" s="59" customFormat="1" spans="1:13">
      <c r="A728" s="74">
        <v>727</v>
      </c>
      <c r="B728" s="66" t="s">
        <v>67</v>
      </c>
      <c r="C728" s="67" t="s">
        <v>301</v>
      </c>
      <c r="D728" s="59" t="s">
        <v>190</v>
      </c>
      <c r="E728" s="88"/>
      <c r="F728" s="89"/>
      <c r="G728" s="89"/>
      <c r="H728" s="77" t="s">
        <v>76</v>
      </c>
      <c r="I728" s="82">
        <v>12000</v>
      </c>
      <c r="J728" s="84"/>
      <c r="K728" s="85"/>
      <c r="L728" s="89"/>
      <c r="M728" s="89"/>
    </row>
    <row r="729" s="59" customFormat="1" spans="1:13">
      <c r="A729" s="74">
        <v>728</v>
      </c>
      <c r="B729" s="66" t="s">
        <v>67</v>
      </c>
      <c r="C729" s="67" t="s">
        <v>301</v>
      </c>
      <c r="D729" s="59" t="s">
        <v>191</v>
      </c>
      <c r="E729" s="88"/>
      <c r="F729" s="89"/>
      <c r="G729" s="89"/>
      <c r="H729" s="77" t="s">
        <v>76</v>
      </c>
      <c r="I729" s="82">
        <v>12000</v>
      </c>
      <c r="J729" s="84"/>
      <c r="K729" s="85"/>
      <c r="L729" s="89"/>
      <c r="M729" s="89"/>
    </row>
    <row r="730" s="59" customFormat="1" spans="1:13">
      <c r="A730" s="74">
        <v>729</v>
      </c>
      <c r="B730" s="66" t="s">
        <v>67</v>
      </c>
      <c r="C730" s="67" t="s">
        <v>301</v>
      </c>
      <c r="D730" s="59" t="s">
        <v>192</v>
      </c>
      <c r="E730" s="88"/>
      <c r="F730" s="89"/>
      <c r="G730" s="89"/>
      <c r="H730" s="77" t="s">
        <v>76</v>
      </c>
      <c r="I730" s="82">
        <v>12000</v>
      </c>
      <c r="J730" s="84"/>
      <c r="K730" s="85"/>
      <c r="L730" s="89"/>
      <c r="M730" s="89"/>
    </row>
    <row r="731" s="59" customFormat="1" spans="1:13">
      <c r="A731" s="74">
        <v>730</v>
      </c>
      <c r="B731" s="66" t="s">
        <v>67</v>
      </c>
      <c r="C731" s="67" t="s">
        <v>301</v>
      </c>
      <c r="D731" s="59" t="s">
        <v>193</v>
      </c>
      <c r="E731" s="88"/>
      <c r="F731" s="89"/>
      <c r="G731" s="89"/>
      <c r="H731" s="77" t="s">
        <v>76</v>
      </c>
      <c r="I731" s="82">
        <v>12000</v>
      </c>
      <c r="J731" s="84"/>
      <c r="K731" s="85"/>
      <c r="L731" s="89"/>
      <c r="M731" s="89"/>
    </row>
    <row r="732" s="59" customFormat="1" spans="1:13">
      <c r="A732" s="74">
        <v>731</v>
      </c>
      <c r="B732" s="66" t="s">
        <v>67</v>
      </c>
      <c r="C732" s="67" t="s">
        <v>301</v>
      </c>
      <c r="D732" s="59" t="s">
        <v>194</v>
      </c>
      <c r="E732" s="88"/>
      <c r="F732" s="89"/>
      <c r="G732" s="89"/>
      <c r="H732" s="77" t="s">
        <v>76</v>
      </c>
      <c r="I732" s="82">
        <v>12000</v>
      </c>
      <c r="J732" s="84"/>
      <c r="K732" s="85"/>
      <c r="L732" s="89"/>
      <c r="M732" s="89"/>
    </row>
    <row r="733" s="59" customFormat="1" spans="1:13">
      <c r="A733" s="74">
        <v>732</v>
      </c>
      <c r="B733" s="66" t="s">
        <v>67</v>
      </c>
      <c r="C733" s="67" t="s">
        <v>301</v>
      </c>
      <c r="D733" s="59" t="s">
        <v>195</v>
      </c>
      <c r="E733" s="88"/>
      <c r="F733" s="89"/>
      <c r="G733" s="89"/>
      <c r="H733" s="77" t="s">
        <v>76</v>
      </c>
      <c r="I733" s="82">
        <v>12000</v>
      </c>
      <c r="J733" s="84"/>
      <c r="K733" s="85"/>
      <c r="L733" s="89"/>
      <c r="M733" s="89"/>
    </row>
    <row r="734" s="59" customFormat="1" spans="1:13">
      <c r="A734" s="74">
        <v>733</v>
      </c>
      <c r="B734" s="66" t="s">
        <v>67</v>
      </c>
      <c r="C734" s="67" t="s">
        <v>301</v>
      </c>
      <c r="D734" s="59" t="s">
        <v>196</v>
      </c>
      <c r="E734" s="88"/>
      <c r="F734" s="89"/>
      <c r="G734" s="89"/>
      <c r="H734" s="77" t="s">
        <v>76</v>
      </c>
      <c r="I734" s="82">
        <v>12000</v>
      </c>
      <c r="J734" s="84"/>
      <c r="K734" s="85"/>
      <c r="L734" s="89"/>
      <c r="M734" s="89"/>
    </row>
    <row r="735" s="59" customFormat="1" spans="1:13">
      <c r="A735" s="74">
        <v>734</v>
      </c>
      <c r="B735" s="66" t="s">
        <v>67</v>
      </c>
      <c r="C735" s="67" t="s">
        <v>301</v>
      </c>
      <c r="D735" s="59" t="s">
        <v>197</v>
      </c>
      <c r="E735" s="88"/>
      <c r="F735" s="89"/>
      <c r="G735" s="89"/>
      <c r="H735" s="77" t="s">
        <v>76</v>
      </c>
      <c r="I735" s="82">
        <v>12000</v>
      </c>
      <c r="J735" s="84"/>
      <c r="K735" s="85"/>
      <c r="L735" s="89"/>
      <c r="M735" s="89"/>
    </row>
    <row r="736" s="59" customFormat="1" spans="1:13">
      <c r="A736" s="74">
        <v>735</v>
      </c>
      <c r="B736" s="66" t="s">
        <v>67</v>
      </c>
      <c r="C736" s="67" t="s">
        <v>301</v>
      </c>
      <c r="D736" s="59" t="s">
        <v>198</v>
      </c>
      <c r="E736" s="88"/>
      <c r="H736" s="77" t="s">
        <v>76</v>
      </c>
      <c r="I736" s="82">
        <v>12000</v>
      </c>
      <c r="K736" s="85"/>
      <c r="L736" s="86"/>
      <c r="M736" s="87"/>
    </row>
    <row r="737" s="59" customFormat="1" spans="1:13">
      <c r="A737" s="74">
        <v>736</v>
      </c>
      <c r="B737" s="66" t="s">
        <v>67</v>
      </c>
      <c r="C737" s="67" t="s">
        <v>301</v>
      </c>
      <c r="D737" s="59" t="s">
        <v>199</v>
      </c>
      <c r="E737" s="88"/>
      <c r="H737" s="77" t="s">
        <v>76</v>
      </c>
      <c r="I737" s="82">
        <v>12000</v>
      </c>
      <c r="K737" s="85"/>
      <c r="L737" s="86"/>
      <c r="M737" s="87"/>
    </row>
    <row r="738" s="59" customFormat="1" spans="1:13">
      <c r="A738" s="74">
        <v>737</v>
      </c>
      <c r="B738" s="66" t="s">
        <v>67</v>
      </c>
      <c r="C738" s="67" t="s">
        <v>301</v>
      </c>
      <c r="D738" s="59" t="s">
        <v>200</v>
      </c>
      <c r="E738" s="88"/>
      <c r="H738" s="77" t="s">
        <v>76</v>
      </c>
      <c r="I738" s="82">
        <v>12000</v>
      </c>
      <c r="K738" s="85"/>
      <c r="L738" s="86"/>
      <c r="M738" s="87"/>
    </row>
    <row r="739" s="59" customFormat="1" spans="1:13">
      <c r="A739" s="74">
        <v>738</v>
      </c>
      <c r="B739" s="66" t="s">
        <v>67</v>
      </c>
      <c r="C739" s="67" t="s">
        <v>301</v>
      </c>
      <c r="D739" s="59" t="s">
        <v>201</v>
      </c>
      <c r="E739" s="88"/>
      <c r="H739" s="77" t="s">
        <v>76</v>
      </c>
      <c r="I739" s="82">
        <v>12000</v>
      </c>
      <c r="K739" s="85"/>
      <c r="L739" s="86"/>
      <c r="M739" s="87"/>
    </row>
    <row r="740" s="59" customFormat="1" spans="1:13">
      <c r="A740" s="74">
        <v>739</v>
      </c>
      <c r="B740" s="66" t="s">
        <v>67</v>
      </c>
      <c r="C740" s="67" t="s">
        <v>301</v>
      </c>
      <c r="D740" s="59" t="s">
        <v>202</v>
      </c>
      <c r="E740" s="88"/>
      <c r="H740" s="77" t="s">
        <v>76</v>
      </c>
      <c r="I740" s="82">
        <v>12000</v>
      </c>
      <c r="K740" s="85"/>
      <c r="L740" s="86"/>
      <c r="M740" s="87"/>
    </row>
    <row r="741" s="59" customFormat="1" spans="1:13">
      <c r="A741" s="74">
        <v>740</v>
      </c>
      <c r="B741" s="66" t="s">
        <v>67</v>
      </c>
      <c r="C741" s="67" t="s">
        <v>301</v>
      </c>
      <c r="D741" s="59" t="s">
        <v>203</v>
      </c>
      <c r="E741" s="88"/>
      <c r="H741" s="77" t="s">
        <v>76</v>
      </c>
      <c r="I741" s="82">
        <v>12000</v>
      </c>
      <c r="K741" s="85"/>
      <c r="L741" s="86"/>
      <c r="M741" s="87"/>
    </row>
    <row r="742" s="59" customFormat="1" spans="1:13">
      <c r="A742" s="74">
        <v>741</v>
      </c>
      <c r="B742" s="66" t="s">
        <v>67</v>
      </c>
      <c r="C742" s="67" t="s">
        <v>301</v>
      </c>
      <c r="D742" s="59" t="s">
        <v>204</v>
      </c>
      <c r="E742" s="88"/>
      <c r="H742" s="77" t="s">
        <v>76</v>
      </c>
      <c r="I742" s="82">
        <v>12000</v>
      </c>
      <c r="K742" s="85"/>
      <c r="L742" s="86"/>
      <c r="M742" s="87"/>
    </row>
    <row r="743" s="59" customFormat="1" spans="1:13">
      <c r="A743" s="74">
        <v>742</v>
      </c>
      <c r="B743" s="66" t="s">
        <v>67</v>
      </c>
      <c r="C743" s="67" t="s">
        <v>301</v>
      </c>
      <c r="D743" s="59" t="s">
        <v>205</v>
      </c>
      <c r="E743" s="88"/>
      <c r="H743" s="77" t="s">
        <v>76</v>
      </c>
      <c r="I743" s="82">
        <v>12000</v>
      </c>
      <c r="K743" s="85"/>
      <c r="L743" s="86"/>
      <c r="M743" s="87"/>
    </row>
    <row r="744" s="59" customFormat="1" spans="1:13">
      <c r="A744" s="74">
        <v>743</v>
      </c>
      <c r="B744" s="66" t="s">
        <v>67</v>
      </c>
      <c r="C744" s="67" t="s">
        <v>301</v>
      </c>
      <c r="D744" s="59" t="s">
        <v>206</v>
      </c>
      <c r="E744" s="88"/>
      <c r="H744" s="77" t="s">
        <v>76</v>
      </c>
      <c r="I744" s="82">
        <v>12000</v>
      </c>
      <c r="K744" s="85"/>
      <c r="L744" s="86"/>
      <c r="M744" s="87"/>
    </row>
    <row r="745" s="59" customFormat="1" spans="1:13">
      <c r="A745" s="74">
        <v>744</v>
      </c>
      <c r="B745" s="66" t="s">
        <v>67</v>
      </c>
      <c r="C745" s="67" t="s">
        <v>301</v>
      </c>
      <c r="D745" s="59" t="s">
        <v>207</v>
      </c>
      <c r="E745" s="88"/>
      <c r="F745" s="89"/>
      <c r="G745" s="89"/>
      <c r="H745" s="77" t="s">
        <v>76</v>
      </c>
      <c r="I745" s="82">
        <v>12000</v>
      </c>
      <c r="J745" s="84"/>
      <c r="K745" s="85"/>
      <c r="L745" s="89"/>
      <c r="M745" s="89"/>
    </row>
    <row r="746" s="59" customFormat="1" spans="1:13">
      <c r="A746" s="74">
        <v>745</v>
      </c>
      <c r="B746" s="66" t="s">
        <v>67</v>
      </c>
      <c r="C746" s="67" t="s">
        <v>301</v>
      </c>
      <c r="D746" s="59" t="s">
        <v>208</v>
      </c>
      <c r="E746" s="88"/>
      <c r="F746" s="89"/>
      <c r="G746" s="89"/>
      <c r="H746" s="77" t="s">
        <v>71</v>
      </c>
      <c r="I746" s="78">
        <v>16000</v>
      </c>
      <c r="J746" s="84"/>
      <c r="K746" s="85"/>
      <c r="L746" s="89"/>
      <c r="M746" s="89"/>
    </row>
    <row r="747" s="59" customFormat="1" spans="1:13">
      <c r="A747" s="74">
        <v>746</v>
      </c>
      <c r="B747" s="66" t="s">
        <v>67</v>
      </c>
      <c r="C747" s="67" t="s">
        <v>301</v>
      </c>
      <c r="D747" s="59" t="s">
        <v>209</v>
      </c>
      <c r="E747" s="88"/>
      <c r="F747" s="89"/>
      <c r="G747" s="89"/>
      <c r="H747" s="77" t="s">
        <v>76</v>
      </c>
      <c r="I747" s="82">
        <v>12000</v>
      </c>
      <c r="J747" s="84"/>
      <c r="K747" s="85"/>
      <c r="L747" s="89"/>
      <c r="M747" s="89"/>
    </row>
    <row r="748" s="59" customFormat="1" spans="1:13">
      <c r="A748" s="74">
        <v>747</v>
      </c>
      <c r="B748" s="66" t="s">
        <v>67</v>
      </c>
      <c r="C748" s="67" t="s">
        <v>301</v>
      </c>
      <c r="D748" s="59" t="s">
        <v>210</v>
      </c>
      <c r="E748" s="88"/>
      <c r="F748" s="89"/>
      <c r="G748" s="89"/>
      <c r="H748" s="77" t="s">
        <v>76</v>
      </c>
      <c r="I748" s="82">
        <v>12000</v>
      </c>
      <c r="J748" s="84"/>
      <c r="K748" s="85"/>
      <c r="L748" s="89"/>
      <c r="M748" s="89"/>
    </row>
    <row r="749" s="59" customFormat="1" spans="1:13">
      <c r="A749" s="74">
        <v>748</v>
      </c>
      <c r="B749" s="66" t="s">
        <v>67</v>
      </c>
      <c r="C749" s="67" t="s">
        <v>301</v>
      </c>
      <c r="D749" s="59" t="s">
        <v>211</v>
      </c>
      <c r="E749" s="88"/>
      <c r="F749" s="89"/>
      <c r="G749" s="89"/>
      <c r="H749" s="77" t="s">
        <v>76</v>
      </c>
      <c r="I749" s="82">
        <v>12000</v>
      </c>
      <c r="J749" s="84"/>
      <c r="K749" s="85"/>
      <c r="L749" s="89"/>
      <c r="M749" s="89"/>
    </row>
    <row r="750" s="59" customFormat="1" spans="1:13">
      <c r="A750" s="74">
        <v>749</v>
      </c>
      <c r="B750" s="66" t="s">
        <v>67</v>
      </c>
      <c r="C750" s="67" t="s">
        <v>301</v>
      </c>
      <c r="D750" s="59" t="s">
        <v>212</v>
      </c>
      <c r="E750" s="88"/>
      <c r="F750" s="89"/>
      <c r="G750" s="89"/>
      <c r="H750" s="77" t="s">
        <v>76</v>
      </c>
      <c r="I750" s="82">
        <v>12000</v>
      </c>
      <c r="J750" s="84"/>
      <c r="K750" s="85"/>
      <c r="L750" s="89"/>
      <c r="M750" s="89"/>
    </row>
    <row r="751" s="59" customFormat="1" spans="1:13">
      <c r="A751" s="74">
        <v>750</v>
      </c>
      <c r="B751" s="66" t="s">
        <v>67</v>
      </c>
      <c r="C751" s="67" t="s">
        <v>301</v>
      </c>
      <c r="D751" s="59" t="s">
        <v>213</v>
      </c>
      <c r="E751" s="88"/>
      <c r="F751" s="89"/>
      <c r="G751" s="89"/>
      <c r="H751" s="77" t="s">
        <v>76</v>
      </c>
      <c r="I751" s="82">
        <v>12000</v>
      </c>
      <c r="J751" s="84"/>
      <c r="K751" s="85"/>
      <c r="L751" s="89"/>
      <c r="M751" s="89"/>
    </row>
    <row r="752" s="59" customFormat="1" spans="1:13">
      <c r="A752" s="74">
        <v>751</v>
      </c>
      <c r="B752" s="66" t="s">
        <v>67</v>
      </c>
      <c r="C752" s="67" t="s">
        <v>301</v>
      </c>
      <c r="D752" s="59" t="s">
        <v>214</v>
      </c>
      <c r="E752" s="88"/>
      <c r="F752" s="89"/>
      <c r="G752" s="89"/>
      <c r="H752" s="77" t="s">
        <v>76</v>
      </c>
      <c r="I752" s="82">
        <v>12000</v>
      </c>
      <c r="J752" s="84"/>
      <c r="K752" s="85"/>
      <c r="L752" s="89"/>
      <c r="M752" s="89"/>
    </row>
    <row r="753" s="59" customFormat="1" spans="1:13">
      <c r="A753" s="74">
        <v>752</v>
      </c>
      <c r="B753" s="66" t="s">
        <v>67</v>
      </c>
      <c r="C753" s="67" t="s">
        <v>301</v>
      </c>
      <c r="D753" s="59" t="s">
        <v>215</v>
      </c>
      <c r="E753" s="88"/>
      <c r="F753" s="89"/>
      <c r="G753" s="89"/>
      <c r="H753" s="77" t="s">
        <v>76</v>
      </c>
      <c r="I753" s="82">
        <v>12000</v>
      </c>
      <c r="J753" s="84"/>
      <c r="K753" s="85"/>
      <c r="L753" s="89"/>
      <c r="M753" s="89"/>
    </row>
    <row r="754" s="59" customFormat="1" spans="1:13">
      <c r="A754" s="74">
        <v>753</v>
      </c>
      <c r="B754" s="66" t="s">
        <v>67</v>
      </c>
      <c r="C754" s="67" t="s">
        <v>301</v>
      </c>
      <c r="D754" s="59" t="s">
        <v>216</v>
      </c>
      <c r="E754" s="88"/>
      <c r="H754" s="77" t="s">
        <v>76</v>
      </c>
      <c r="I754" s="82">
        <v>12000</v>
      </c>
      <c r="K754" s="85"/>
      <c r="L754" s="86"/>
      <c r="M754" s="87"/>
    </row>
    <row r="755" s="59" customFormat="1" spans="1:13">
      <c r="A755" s="74">
        <v>754</v>
      </c>
      <c r="B755" s="66" t="s">
        <v>67</v>
      </c>
      <c r="C755" s="67" t="s">
        <v>301</v>
      </c>
      <c r="D755" s="59" t="s">
        <v>217</v>
      </c>
      <c r="E755" s="88"/>
      <c r="H755" s="77" t="s">
        <v>76</v>
      </c>
      <c r="I755" s="82">
        <v>12000</v>
      </c>
      <c r="K755" s="85"/>
      <c r="L755" s="86"/>
      <c r="M755" s="87"/>
    </row>
    <row r="756" s="59" customFormat="1" spans="1:13">
      <c r="A756" s="74">
        <v>755</v>
      </c>
      <c r="B756" s="66" t="s">
        <v>67</v>
      </c>
      <c r="C756" s="67" t="s">
        <v>301</v>
      </c>
      <c r="D756" s="59" t="s">
        <v>218</v>
      </c>
      <c r="E756" s="88"/>
      <c r="H756" s="77" t="s">
        <v>76</v>
      </c>
      <c r="I756" s="82">
        <v>12000</v>
      </c>
      <c r="K756" s="85"/>
      <c r="L756" s="86"/>
      <c r="M756" s="87"/>
    </row>
    <row r="757" s="59" customFormat="1" spans="1:13">
      <c r="A757" s="74">
        <v>756</v>
      </c>
      <c r="B757" s="66" t="s">
        <v>67</v>
      </c>
      <c r="C757" s="67" t="s">
        <v>301</v>
      </c>
      <c r="D757" s="59" t="s">
        <v>219</v>
      </c>
      <c r="E757" s="88"/>
      <c r="H757" s="77" t="s">
        <v>76</v>
      </c>
      <c r="I757" s="82">
        <v>12000</v>
      </c>
      <c r="K757" s="85"/>
      <c r="L757" s="86"/>
      <c r="M757" s="87"/>
    </row>
    <row r="758" s="59" customFormat="1" spans="1:13">
      <c r="A758" s="74">
        <v>757</v>
      </c>
      <c r="B758" s="66" t="s">
        <v>67</v>
      </c>
      <c r="C758" s="67" t="s">
        <v>301</v>
      </c>
      <c r="D758" s="59" t="s">
        <v>220</v>
      </c>
      <c r="E758" s="88"/>
      <c r="H758" s="77" t="s">
        <v>76</v>
      </c>
      <c r="I758" s="82">
        <v>12000</v>
      </c>
      <c r="K758" s="85"/>
      <c r="L758" s="86"/>
      <c r="M758" s="87"/>
    </row>
    <row r="759" s="59" customFormat="1" spans="1:13">
      <c r="A759" s="74">
        <v>758</v>
      </c>
      <c r="B759" s="66" t="s">
        <v>67</v>
      </c>
      <c r="C759" s="67" t="s">
        <v>301</v>
      </c>
      <c r="D759" s="59" t="s">
        <v>221</v>
      </c>
      <c r="E759" s="88"/>
      <c r="H759" s="77" t="s">
        <v>76</v>
      </c>
      <c r="I759" s="82">
        <v>12000</v>
      </c>
      <c r="K759" s="85"/>
      <c r="L759" s="86"/>
      <c r="M759" s="87"/>
    </row>
    <row r="760" s="59" customFormat="1" spans="1:13">
      <c r="A760" s="74">
        <v>759</v>
      </c>
      <c r="B760" s="66" t="s">
        <v>67</v>
      </c>
      <c r="C760" s="67" t="s">
        <v>301</v>
      </c>
      <c r="D760" s="59" t="s">
        <v>222</v>
      </c>
      <c r="E760" s="88"/>
      <c r="H760" s="77" t="s">
        <v>76</v>
      </c>
      <c r="I760" s="82">
        <v>12000</v>
      </c>
      <c r="K760" s="85"/>
      <c r="L760" s="86"/>
      <c r="M760" s="87"/>
    </row>
    <row r="761" s="59" customFormat="1" spans="1:13">
      <c r="A761" s="74">
        <v>760</v>
      </c>
      <c r="B761" s="66" t="s">
        <v>67</v>
      </c>
      <c r="C761" s="67" t="s">
        <v>301</v>
      </c>
      <c r="D761" s="59" t="s">
        <v>223</v>
      </c>
      <c r="E761" s="88"/>
      <c r="F761" s="89"/>
      <c r="G761" s="89"/>
      <c r="H761" s="77" t="s">
        <v>76</v>
      </c>
      <c r="I761" s="82">
        <v>12000</v>
      </c>
      <c r="J761" s="84"/>
      <c r="K761" s="85"/>
      <c r="L761" s="89"/>
      <c r="M761" s="89"/>
    </row>
    <row r="762" s="59" customFormat="1" spans="1:13">
      <c r="A762" s="74">
        <v>761</v>
      </c>
      <c r="B762" s="66" t="s">
        <v>67</v>
      </c>
      <c r="C762" s="67" t="s">
        <v>301</v>
      </c>
      <c r="D762" s="59" t="s">
        <v>224</v>
      </c>
      <c r="E762" s="88"/>
      <c r="F762" s="89"/>
      <c r="G762" s="89"/>
      <c r="H762" s="77" t="s">
        <v>76</v>
      </c>
      <c r="I762" s="82">
        <v>12000</v>
      </c>
      <c r="J762" s="84"/>
      <c r="K762" s="85"/>
      <c r="L762" s="89"/>
      <c r="M762" s="89"/>
    </row>
    <row r="763" s="59" customFormat="1" spans="1:13">
      <c r="A763" s="74">
        <v>762</v>
      </c>
      <c r="B763" s="66" t="s">
        <v>67</v>
      </c>
      <c r="C763" s="67" t="s">
        <v>301</v>
      </c>
      <c r="D763" s="59" t="s">
        <v>225</v>
      </c>
      <c r="E763" s="88"/>
      <c r="F763" s="89"/>
      <c r="G763" s="89"/>
      <c r="H763" s="77" t="s">
        <v>76</v>
      </c>
      <c r="I763" s="82">
        <v>12000</v>
      </c>
      <c r="J763" s="84"/>
      <c r="K763" s="85"/>
      <c r="L763" s="89"/>
      <c r="M763" s="89"/>
    </row>
    <row r="764" s="59" customFormat="1" spans="1:13">
      <c r="A764" s="74">
        <v>763</v>
      </c>
      <c r="B764" s="66" t="s">
        <v>67</v>
      </c>
      <c r="C764" s="67" t="s">
        <v>301</v>
      </c>
      <c r="D764" s="59" t="s">
        <v>226</v>
      </c>
      <c r="E764" s="88"/>
      <c r="F764" s="89"/>
      <c r="G764" s="89"/>
      <c r="H764" s="77" t="s">
        <v>76</v>
      </c>
      <c r="I764" s="82">
        <v>12000</v>
      </c>
      <c r="J764" s="84"/>
      <c r="K764" s="85"/>
      <c r="L764" s="89"/>
      <c r="M764" s="89"/>
    </row>
    <row r="765" s="59" customFormat="1" spans="1:13">
      <c r="A765" s="74">
        <v>764</v>
      </c>
      <c r="B765" s="66" t="s">
        <v>67</v>
      </c>
      <c r="C765" s="67" t="s">
        <v>301</v>
      </c>
      <c r="D765" s="59" t="s">
        <v>227</v>
      </c>
      <c r="E765" s="88"/>
      <c r="F765" s="89"/>
      <c r="G765" s="89"/>
      <c r="H765" s="77" t="s">
        <v>76</v>
      </c>
      <c r="I765" s="82">
        <v>12000</v>
      </c>
      <c r="J765" s="84"/>
      <c r="K765" s="85"/>
      <c r="L765" s="89"/>
      <c r="M765" s="89"/>
    </row>
    <row r="766" s="59" customFormat="1" spans="1:13">
      <c r="A766" s="74">
        <v>765</v>
      </c>
      <c r="B766" s="66" t="s">
        <v>67</v>
      </c>
      <c r="C766" s="67" t="s">
        <v>301</v>
      </c>
      <c r="D766" s="59" t="s">
        <v>228</v>
      </c>
      <c r="E766" s="88"/>
      <c r="F766" s="89"/>
      <c r="G766" s="89"/>
      <c r="H766" s="77" t="s">
        <v>76</v>
      </c>
      <c r="I766" s="82">
        <v>12000</v>
      </c>
      <c r="J766" s="84"/>
      <c r="K766" s="85"/>
      <c r="L766" s="89"/>
      <c r="M766" s="89"/>
    </row>
    <row r="767" s="59" customFormat="1" spans="1:13">
      <c r="A767" s="74">
        <v>766</v>
      </c>
      <c r="B767" s="66" t="s">
        <v>67</v>
      </c>
      <c r="C767" s="67" t="s">
        <v>301</v>
      </c>
      <c r="D767" s="59" t="s">
        <v>229</v>
      </c>
      <c r="E767" s="88"/>
      <c r="F767" s="89"/>
      <c r="G767" s="89"/>
      <c r="H767" s="77" t="s">
        <v>71</v>
      </c>
      <c r="I767" s="78">
        <v>16000</v>
      </c>
      <c r="J767" s="84"/>
      <c r="K767" s="85"/>
      <c r="L767" s="89"/>
      <c r="M767" s="89"/>
    </row>
    <row r="768" s="59" customFormat="1" spans="1:13">
      <c r="A768" s="74">
        <v>767</v>
      </c>
      <c r="B768" s="66" t="s">
        <v>67</v>
      </c>
      <c r="C768" s="67" t="s">
        <v>301</v>
      </c>
      <c r="D768" s="59" t="s">
        <v>230</v>
      </c>
      <c r="E768" s="88"/>
      <c r="F768" s="89"/>
      <c r="G768" s="89"/>
      <c r="H768" s="77" t="s">
        <v>76</v>
      </c>
      <c r="I768" s="82">
        <v>12000</v>
      </c>
      <c r="J768" s="84"/>
      <c r="K768" s="85"/>
      <c r="L768" s="89"/>
      <c r="M768" s="89"/>
    </row>
    <row r="769" s="59" customFormat="1" spans="1:13">
      <c r="A769" s="74">
        <v>768</v>
      </c>
      <c r="B769" s="66" t="s">
        <v>67</v>
      </c>
      <c r="C769" s="67" t="s">
        <v>301</v>
      </c>
      <c r="D769" s="59" t="s">
        <v>231</v>
      </c>
      <c r="E769" s="88"/>
      <c r="F769" s="89"/>
      <c r="G769" s="89"/>
      <c r="H769" s="77" t="s">
        <v>76</v>
      </c>
      <c r="I769" s="82">
        <v>12000</v>
      </c>
      <c r="J769" s="84"/>
      <c r="K769" s="85"/>
      <c r="L769" s="89"/>
      <c r="M769" s="89"/>
    </row>
    <row r="770" s="59" customFormat="1" spans="1:13">
      <c r="A770" s="74">
        <v>769</v>
      </c>
      <c r="B770" s="66" t="s">
        <v>67</v>
      </c>
      <c r="C770" s="67" t="s">
        <v>301</v>
      </c>
      <c r="D770" s="59" t="s">
        <v>232</v>
      </c>
      <c r="E770" s="88"/>
      <c r="H770" s="77" t="s">
        <v>76</v>
      </c>
      <c r="I770" s="82">
        <v>12000</v>
      </c>
      <c r="K770" s="85"/>
      <c r="L770" s="86"/>
      <c r="M770" s="87"/>
    </row>
    <row r="771" s="59" customFormat="1" spans="1:13">
      <c r="A771" s="74">
        <v>770</v>
      </c>
      <c r="B771" s="66" t="s">
        <v>67</v>
      </c>
      <c r="C771" s="67" t="s">
        <v>301</v>
      </c>
      <c r="D771" s="59" t="s">
        <v>233</v>
      </c>
      <c r="E771" s="88"/>
      <c r="H771" s="77" t="s">
        <v>76</v>
      </c>
      <c r="I771" s="82">
        <v>12000</v>
      </c>
      <c r="K771" s="85"/>
      <c r="L771" s="86"/>
      <c r="M771" s="87"/>
    </row>
    <row r="772" s="59" customFormat="1" spans="1:13">
      <c r="A772" s="74">
        <v>771</v>
      </c>
      <c r="B772" s="66" t="s">
        <v>67</v>
      </c>
      <c r="C772" s="67" t="s">
        <v>301</v>
      </c>
      <c r="D772" s="59" t="s">
        <v>234</v>
      </c>
      <c r="E772" s="88"/>
      <c r="H772" s="77" t="s">
        <v>76</v>
      </c>
      <c r="I772" s="82">
        <v>12000</v>
      </c>
      <c r="K772" s="85"/>
      <c r="L772" s="86"/>
      <c r="M772" s="87"/>
    </row>
    <row r="773" s="59" customFormat="1" spans="1:13">
      <c r="A773" s="74">
        <v>772</v>
      </c>
      <c r="B773" s="66" t="s">
        <v>67</v>
      </c>
      <c r="C773" s="67" t="s">
        <v>301</v>
      </c>
      <c r="D773" s="59" t="s">
        <v>235</v>
      </c>
      <c r="E773" s="88"/>
      <c r="H773" s="77" t="s">
        <v>76</v>
      </c>
      <c r="I773" s="82">
        <v>12000</v>
      </c>
      <c r="K773" s="85"/>
      <c r="L773" s="86"/>
      <c r="M773" s="87"/>
    </row>
    <row r="774" s="59" customFormat="1" spans="1:13">
      <c r="A774" s="74">
        <v>773</v>
      </c>
      <c r="B774" s="66" t="s">
        <v>67</v>
      </c>
      <c r="C774" s="67" t="s">
        <v>301</v>
      </c>
      <c r="D774" s="59" t="s">
        <v>236</v>
      </c>
      <c r="E774" s="88"/>
      <c r="H774" s="77" t="s">
        <v>76</v>
      </c>
      <c r="I774" s="82">
        <v>12000</v>
      </c>
      <c r="K774" s="85"/>
      <c r="L774" s="86"/>
      <c r="M774" s="87"/>
    </row>
    <row r="775" s="59" customFormat="1" spans="1:13">
      <c r="A775" s="74">
        <v>774</v>
      </c>
      <c r="B775" s="66" t="s">
        <v>67</v>
      </c>
      <c r="C775" s="67" t="s">
        <v>301</v>
      </c>
      <c r="D775" s="59" t="s">
        <v>237</v>
      </c>
      <c r="E775" s="88"/>
      <c r="H775" s="77" t="s">
        <v>76</v>
      </c>
      <c r="I775" s="82">
        <v>12000</v>
      </c>
      <c r="K775" s="85"/>
      <c r="L775" s="86"/>
      <c r="M775" s="87"/>
    </row>
    <row r="776" s="59" customFormat="1" spans="1:13">
      <c r="A776" s="74">
        <v>775</v>
      </c>
      <c r="B776" s="66" t="s">
        <v>67</v>
      </c>
      <c r="C776" s="67" t="s">
        <v>301</v>
      </c>
      <c r="D776" s="59" t="s">
        <v>238</v>
      </c>
      <c r="E776" s="88"/>
      <c r="H776" s="77" t="s">
        <v>76</v>
      </c>
      <c r="I776" s="82">
        <v>12000</v>
      </c>
      <c r="K776" s="85"/>
      <c r="L776" s="86"/>
      <c r="M776" s="87"/>
    </row>
    <row r="777" s="59" customFormat="1" spans="1:13">
      <c r="A777" s="74">
        <v>776</v>
      </c>
      <c r="B777" s="66" t="s">
        <v>67</v>
      </c>
      <c r="C777" s="67" t="s">
        <v>301</v>
      </c>
      <c r="D777" s="59" t="s">
        <v>239</v>
      </c>
      <c r="E777" s="88"/>
      <c r="H777" s="77" t="s">
        <v>76</v>
      </c>
      <c r="I777" s="82">
        <v>12000</v>
      </c>
      <c r="K777" s="85"/>
      <c r="L777" s="86"/>
      <c r="M777" s="87"/>
    </row>
    <row r="778" s="59" customFormat="1" spans="1:13">
      <c r="A778" s="74">
        <v>777</v>
      </c>
      <c r="B778" s="66" t="s">
        <v>67</v>
      </c>
      <c r="C778" s="67" t="s">
        <v>301</v>
      </c>
      <c r="D778" s="59" t="s">
        <v>240</v>
      </c>
      <c r="E778" s="88"/>
      <c r="H778" s="77" t="s">
        <v>76</v>
      </c>
      <c r="I778" s="82">
        <v>12000</v>
      </c>
      <c r="K778" s="85"/>
      <c r="L778" s="86"/>
      <c r="M778" s="87"/>
    </row>
    <row r="779" s="59" customFormat="1" spans="1:13">
      <c r="A779" s="74">
        <v>778</v>
      </c>
      <c r="B779" s="66" t="s">
        <v>67</v>
      </c>
      <c r="C779" s="67" t="s">
        <v>301</v>
      </c>
      <c r="D779" s="59" t="s">
        <v>241</v>
      </c>
      <c r="E779" s="88"/>
      <c r="F779" s="89"/>
      <c r="G779" s="89"/>
      <c r="H779" s="77" t="s">
        <v>76</v>
      </c>
      <c r="I779" s="82">
        <v>12000</v>
      </c>
      <c r="J779" s="84"/>
      <c r="K779" s="85"/>
      <c r="L779" s="89"/>
      <c r="M779" s="89"/>
    </row>
    <row r="780" s="59" customFormat="1" spans="1:13">
      <c r="A780" s="74">
        <v>779</v>
      </c>
      <c r="B780" s="66" t="s">
        <v>67</v>
      </c>
      <c r="C780" s="67" t="s">
        <v>301</v>
      </c>
      <c r="D780" s="59" t="s">
        <v>242</v>
      </c>
      <c r="E780" s="88"/>
      <c r="F780" s="89"/>
      <c r="G780" s="89"/>
      <c r="H780" s="77" t="s">
        <v>76</v>
      </c>
      <c r="I780" s="82">
        <v>12000</v>
      </c>
      <c r="J780" s="84"/>
      <c r="K780" s="85"/>
      <c r="L780" s="89"/>
      <c r="M780" s="89"/>
    </row>
    <row r="781" s="59" customFormat="1" spans="1:13">
      <c r="A781" s="74">
        <v>780</v>
      </c>
      <c r="B781" s="66" t="s">
        <v>67</v>
      </c>
      <c r="C781" s="67" t="s">
        <v>301</v>
      </c>
      <c r="D781" s="59" t="s">
        <v>243</v>
      </c>
      <c r="E781" s="88"/>
      <c r="F781" s="89"/>
      <c r="G781" s="89"/>
      <c r="H781" s="77" t="s">
        <v>76</v>
      </c>
      <c r="I781" s="82">
        <v>12000</v>
      </c>
      <c r="J781" s="84"/>
      <c r="K781" s="85"/>
      <c r="L781" s="89"/>
      <c r="M781" s="89"/>
    </row>
    <row r="782" s="59" customFormat="1" spans="1:13">
      <c r="A782" s="74">
        <v>781</v>
      </c>
      <c r="B782" s="66" t="s">
        <v>67</v>
      </c>
      <c r="C782" s="67" t="s">
        <v>301</v>
      </c>
      <c r="D782" s="59" t="s">
        <v>244</v>
      </c>
      <c r="E782" s="88"/>
      <c r="F782" s="89"/>
      <c r="G782" s="89"/>
      <c r="H782" s="77" t="s">
        <v>76</v>
      </c>
      <c r="I782" s="82">
        <v>12000</v>
      </c>
      <c r="J782" s="84"/>
      <c r="K782" s="85"/>
      <c r="L782" s="89"/>
      <c r="M782" s="89"/>
    </row>
    <row r="783" s="59" customFormat="1" spans="1:13">
      <c r="A783" s="74">
        <v>782</v>
      </c>
      <c r="B783" s="66" t="s">
        <v>67</v>
      </c>
      <c r="C783" s="67" t="s">
        <v>301</v>
      </c>
      <c r="D783" s="59" t="s">
        <v>245</v>
      </c>
      <c r="E783" s="88"/>
      <c r="F783" s="89"/>
      <c r="G783" s="89"/>
      <c r="H783" s="77" t="s">
        <v>76</v>
      </c>
      <c r="I783" s="82">
        <v>12000</v>
      </c>
      <c r="J783" s="84"/>
      <c r="K783" s="85"/>
      <c r="L783" s="89"/>
      <c r="M783" s="89"/>
    </row>
    <row r="784" s="59" customFormat="1" spans="1:13">
      <c r="A784" s="74">
        <v>783</v>
      </c>
      <c r="B784" s="66" t="s">
        <v>67</v>
      </c>
      <c r="C784" s="67" t="s">
        <v>301</v>
      </c>
      <c r="D784" s="59" t="s">
        <v>246</v>
      </c>
      <c r="E784" s="88"/>
      <c r="F784" s="89"/>
      <c r="G784" s="89"/>
      <c r="H784" s="77" t="s">
        <v>76</v>
      </c>
      <c r="I784" s="82">
        <v>12000</v>
      </c>
      <c r="J784" s="84"/>
      <c r="K784" s="85"/>
      <c r="L784" s="89"/>
      <c r="M784" s="89"/>
    </row>
    <row r="785" s="59" customFormat="1" spans="1:13">
      <c r="A785" s="74">
        <v>784</v>
      </c>
      <c r="B785" s="66" t="s">
        <v>67</v>
      </c>
      <c r="C785" s="67" t="s">
        <v>301</v>
      </c>
      <c r="D785" s="59" t="s">
        <v>247</v>
      </c>
      <c r="E785" s="88"/>
      <c r="F785" s="89"/>
      <c r="G785" s="89"/>
      <c r="H785" s="77" t="s">
        <v>76</v>
      </c>
      <c r="I785" s="82">
        <v>12000</v>
      </c>
      <c r="J785" s="84"/>
      <c r="K785" s="85"/>
      <c r="L785" s="89"/>
      <c r="M785" s="89"/>
    </row>
    <row r="786" s="59" customFormat="1" spans="1:13">
      <c r="A786" s="74">
        <v>785</v>
      </c>
      <c r="B786" s="66" t="s">
        <v>67</v>
      </c>
      <c r="C786" s="67" t="s">
        <v>301</v>
      </c>
      <c r="D786" s="59" t="s">
        <v>248</v>
      </c>
      <c r="E786" s="88"/>
      <c r="F786" s="89"/>
      <c r="G786" s="89"/>
      <c r="H786" s="77" t="s">
        <v>76</v>
      </c>
      <c r="I786" s="82">
        <v>12000</v>
      </c>
      <c r="J786" s="84"/>
      <c r="K786" s="85"/>
      <c r="L786" s="89"/>
      <c r="M786" s="89"/>
    </row>
    <row r="787" s="59" customFormat="1" spans="1:13">
      <c r="A787" s="74">
        <v>786</v>
      </c>
      <c r="B787" s="66" t="s">
        <v>67</v>
      </c>
      <c r="C787" s="67" t="s">
        <v>301</v>
      </c>
      <c r="D787" s="59" t="s">
        <v>249</v>
      </c>
      <c r="E787" s="88"/>
      <c r="F787" s="89"/>
      <c r="G787" s="89"/>
      <c r="H787" s="77" t="s">
        <v>76</v>
      </c>
      <c r="I787" s="82">
        <v>12000</v>
      </c>
      <c r="J787" s="84"/>
      <c r="K787" s="85"/>
      <c r="L787" s="89"/>
      <c r="M787" s="89"/>
    </row>
    <row r="788" s="59" customFormat="1" spans="1:13">
      <c r="A788" s="74">
        <v>787</v>
      </c>
      <c r="B788" s="66" t="s">
        <v>67</v>
      </c>
      <c r="C788" s="67" t="s">
        <v>301</v>
      </c>
      <c r="D788" s="59" t="s">
        <v>250</v>
      </c>
      <c r="E788" s="88"/>
      <c r="H788" s="77" t="s">
        <v>76</v>
      </c>
      <c r="I788" s="82">
        <v>12000</v>
      </c>
      <c r="K788" s="85"/>
      <c r="L788" s="86"/>
      <c r="M788" s="87"/>
    </row>
    <row r="789" s="59" customFormat="1" spans="1:13">
      <c r="A789" s="74">
        <v>788</v>
      </c>
      <c r="B789" s="66" t="s">
        <v>67</v>
      </c>
      <c r="C789" s="67" t="s">
        <v>301</v>
      </c>
      <c r="D789" s="59" t="s">
        <v>251</v>
      </c>
      <c r="E789" s="88"/>
      <c r="H789" s="77" t="s">
        <v>76</v>
      </c>
      <c r="I789" s="82">
        <v>12000</v>
      </c>
      <c r="K789" s="85"/>
      <c r="L789" s="86"/>
      <c r="M789" s="87"/>
    </row>
    <row r="790" s="59" customFormat="1" spans="1:13">
      <c r="A790" s="74">
        <v>789</v>
      </c>
      <c r="B790" s="66" t="s">
        <v>67</v>
      </c>
      <c r="C790" s="67" t="s">
        <v>301</v>
      </c>
      <c r="D790" s="59" t="s">
        <v>252</v>
      </c>
      <c r="E790" s="88"/>
      <c r="H790" s="77" t="s">
        <v>71</v>
      </c>
      <c r="I790" s="78">
        <v>16000</v>
      </c>
      <c r="K790" s="85"/>
      <c r="L790" s="86"/>
      <c r="M790" s="87"/>
    </row>
    <row r="791" s="59" customFormat="1" spans="1:13">
      <c r="A791" s="74">
        <v>790</v>
      </c>
      <c r="B791" s="66" t="s">
        <v>67</v>
      </c>
      <c r="C791" s="67" t="s">
        <v>301</v>
      </c>
      <c r="D791" s="59" t="s">
        <v>253</v>
      </c>
      <c r="E791" s="88"/>
      <c r="H791" s="77" t="s">
        <v>76</v>
      </c>
      <c r="I791" s="82">
        <v>12000</v>
      </c>
      <c r="K791" s="85"/>
      <c r="L791" s="86"/>
      <c r="M791" s="87"/>
    </row>
    <row r="792" s="59" customFormat="1" spans="1:13">
      <c r="A792" s="74">
        <v>791</v>
      </c>
      <c r="B792" s="66" t="s">
        <v>67</v>
      </c>
      <c r="C792" s="67" t="s">
        <v>301</v>
      </c>
      <c r="D792" s="59" t="s">
        <v>254</v>
      </c>
      <c r="E792" s="88"/>
      <c r="H792" s="77" t="s">
        <v>76</v>
      </c>
      <c r="I792" s="82">
        <v>12000</v>
      </c>
      <c r="K792" s="85"/>
      <c r="L792" s="86"/>
      <c r="M792" s="87"/>
    </row>
    <row r="793" s="59" customFormat="1" spans="1:13">
      <c r="A793" s="74">
        <v>792</v>
      </c>
      <c r="B793" s="66" t="s">
        <v>67</v>
      </c>
      <c r="C793" s="67" t="s">
        <v>301</v>
      </c>
      <c r="D793" s="59" t="s">
        <v>255</v>
      </c>
      <c r="E793" s="88"/>
      <c r="H793" s="77" t="s">
        <v>76</v>
      </c>
      <c r="I793" s="82">
        <v>12000</v>
      </c>
      <c r="K793" s="85"/>
      <c r="L793" s="86"/>
      <c r="M793" s="87"/>
    </row>
    <row r="794" s="59" customFormat="1" spans="1:13">
      <c r="A794" s="74">
        <v>793</v>
      </c>
      <c r="B794" s="66" t="s">
        <v>67</v>
      </c>
      <c r="C794" s="67" t="s">
        <v>301</v>
      </c>
      <c r="D794" s="59" t="s">
        <v>256</v>
      </c>
      <c r="E794" s="88"/>
      <c r="H794" s="77" t="s">
        <v>76</v>
      </c>
      <c r="I794" s="82">
        <v>12000</v>
      </c>
      <c r="K794" s="85"/>
      <c r="L794" s="86"/>
      <c r="M794" s="87"/>
    </row>
    <row r="795" s="59" customFormat="1" spans="1:13">
      <c r="A795" s="74">
        <v>794</v>
      </c>
      <c r="B795" s="66" t="s">
        <v>67</v>
      </c>
      <c r="C795" s="67" t="s">
        <v>301</v>
      </c>
      <c r="D795" s="59" t="s">
        <v>257</v>
      </c>
      <c r="E795" s="88"/>
      <c r="F795" s="89"/>
      <c r="G795" s="89"/>
      <c r="H795" s="77" t="s">
        <v>76</v>
      </c>
      <c r="I795" s="82">
        <v>12000</v>
      </c>
      <c r="J795" s="84"/>
      <c r="K795" s="85"/>
      <c r="L795" s="89"/>
      <c r="M795" s="89"/>
    </row>
    <row r="796" s="59" customFormat="1" spans="1:13">
      <c r="A796" s="74">
        <v>795</v>
      </c>
      <c r="B796" s="66" t="s">
        <v>67</v>
      </c>
      <c r="C796" s="67" t="s">
        <v>301</v>
      </c>
      <c r="D796" s="59" t="s">
        <v>258</v>
      </c>
      <c r="E796" s="88"/>
      <c r="F796" s="89"/>
      <c r="G796" s="89"/>
      <c r="H796" s="77" t="s">
        <v>76</v>
      </c>
      <c r="I796" s="82">
        <v>12000</v>
      </c>
      <c r="J796" s="84"/>
      <c r="K796" s="85"/>
      <c r="L796" s="89"/>
      <c r="M796" s="89"/>
    </row>
    <row r="797" s="59" customFormat="1" spans="1:13">
      <c r="A797" s="74">
        <v>796</v>
      </c>
      <c r="B797" s="66" t="s">
        <v>67</v>
      </c>
      <c r="C797" s="67" t="s">
        <v>301</v>
      </c>
      <c r="D797" s="59" t="s">
        <v>259</v>
      </c>
      <c r="E797" s="88"/>
      <c r="F797" s="89"/>
      <c r="G797" s="89"/>
      <c r="H797" s="77" t="s">
        <v>76</v>
      </c>
      <c r="I797" s="82">
        <v>12000</v>
      </c>
      <c r="J797" s="84"/>
      <c r="K797" s="85"/>
      <c r="L797" s="89"/>
      <c r="M797" s="89"/>
    </row>
    <row r="798" s="59" customFormat="1" spans="1:13">
      <c r="A798" s="74">
        <v>797</v>
      </c>
      <c r="B798" s="66" t="s">
        <v>67</v>
      </c>
      <c r="C798" s="67" t="s">
        <v>301</v>
      </c>
      <c r="D798" s="59" t="s">
        <v>260</v>
      </c>
      <c r="E798" s="88"/>
      <c r="F798" s="89"/>
      <c r="G798" s="89"/>
      <c r="H798" s="77" t="s">
        <v>76</v>
      </c>
      <c r="I798" s="82">
        <v>12000</v>
      </c>
      <c r="J798" s="84"/>
      <c r="K798" s="85"/>
      <c r="L798" s="89"/>
      <c r="M798" s="89"/>
    </row>
    <row r="799" s="59" customFormat="1" spans="1:13">
      <c r="A799" s="74">
        <v>798</v>
      </c>
      <c r="B799" s="66" t="s">
        <v>67</v>
      </c>
      <c r="C799" s="67" t="s">
        <v>301</v>
      </c>
      <c r="D799" s="59" t="s">
        <v>261</v>
      </c>
      <c r="E799" s="88"/>
      <c r="F799" s="89"/>
      <c r="G799" s="89"/>
      <c r="H799" s="77" t="s">
        <v>76</v>
      </c>
      <c r="I799" s="82">
        <v>12000</v>
      </c>
      <c r="J799" s="84"/>
      <c r="K799" s="85"/>
      <c r="L799" s="89"/>
      <c r="M799" s="89"/>
    </row>
    <row r="800" s="59" customFormat="1" spans="1:13">
      <c r="A800" s="74">
        <v>799</v>
      </c>
      <c r="B800" s="66" t="s">
        <v>67</v>
      </c>
      <c r="C800" s="67" t="s">
        <v>301</v>
      </c>
      <c r="D800" s="59" t="s">
        <v>262</v>
      </c>
      <c r="E800" s="88"/>
      <c r="F800" s="89"/>
      <c r="G800" s="89"/>
      <c r="H800" s="77" t="s">
        <v>76</v>
      </c>
      <c r="I800" s="82">
        <v>12000</v>
      </c>
      <c r="J800" s="84"/>
      <c r="K800" s="85"/>
      <c r="L800" s="89"/>
      <c r="M800" s="89"/>
    </row>
    <row r="801" s="59" customFormat="1" spans="1:13">
      <c r="A801" s="74">
        <v>800</v>
      </c>
      <c r="B801" s="66" t="s">
        <v>67</v>
      </c>
      <c r="C801" s="67" t="s">
        <v>301</v>
      </c>
      <c r="D801" s="59" t="s">
        <v>263</v>
      </c>
      <c r="E801" s="88"/>
      <c r="F801" s="89"/>
      <c r="G801" s="89"/>
      <c r="H801" s="77" t="s">
        <v>76</v>
      </c>
      <c r="I801" s="82">
        <v>12000</v>
      </c>
      <c r="J801" s="84"/>
      <c r="K801" s="85"/>
      <c r="L801" s="89"/>
      <c r="M801" s="89"/>
    </row>
    <row r="802" s="59" customFormat="1" spans="1:13">
      <c r="A802" s="74">
        <v>801</v>
      </c>
      <c r="B802" s="66" t="s">
        <v>67</v>
      </c>
      <c r="C802" s="67" t="s">
        <v>301</v>
      </c>
      <c r="D802" s="59" t="s">
        <v>264</v>
      </c>
      <c r="E802" s="88"/>
      <c r="F802" s="89"/>
      <c r="G802" s="89"/>
      <c r="H802" s="77" t="s">
        <v>76</v>
      </c>
      <c r="I802" s="82">
        <v>12000</v>
      </c>
      <c r="J802" s="84"/>
      <c r="K802" s="85"/>
      <c r="L802" s="89"/>
      <c r="M802" s="89"/>
    </row>
    <row r="803" s="59" customFormat="1" spans="1:13">
      <c r="A803" s="74">
        <v>802</v>
      </c>
      <c r="B803" s="66" t="s">
        <v>67</v>
      </c>
      <c r="C803" s="67" t="s">
        <v>301</v>
      </c>
      <c r="D803" s="59" t="s">
        <v>265</v>
      </c>
      <c r="E803" s="88"/>
      <c r="F803" s="89"/>
      <c r="G803" s="89"/>
      <c r="H803" s="77" t="s">
        <v>76</v>
      </c>
      <c r="I803" s="82">
        <v>12000</v>
      </c>
      <c r="J803" s="84"/>
      <c r="K803" s="85"/>
      <c r="L803" s="89"/>
      <c r="M803" s="89"/>
    </row>
    <row r="804" s="59" customFormat="1" spans="1:13">
      <c r="A804" s="74">
        <v>803</v>
      </c>
      <c r="B804" s="66" t="s">
        <v>67</v>
      </c>
      <c r="C804" s="67" t="s">
        <v>301</v>
      </c>
      <c r="D804" s="59" t="s">
        <v>266</v>
      </c>
      <c r="E804" s="88"/>
      <c r="H804" s="77" t="s">
        <v>76</v>
      </c>
      <c r="I804" s="82">
        <v>12000</v>
      </c>
      <c r="K804" s="85"/>
      <c r="L804" s="86"/>
      <c r="M804" s="87"/>
    </row>
    <row r="805" s="59" customFormat="1" spans="1:13">
      <c r="A805" s="74">
        <v>804</v>
      </c>
      <c r="B805" s="66" t="s">
        <v>67</v>
      </c>
      <c r="C805" s="67" t="s">
        <v>301</v>
      </c>
      <c r="D805" s="59" t="s">
        <v>267</v>
      </c>
      <c r="E805" s="88"/>
      <c r="H805" s="77" t="s">
        <v>76</v>
      </c>
      <c r="I805" s="82">
        <v>12000</v>
      </c>
      <c r="K805" s="85"/>
      <c r="L805" s="86"/>
      <c r="M805" s="87"/>
    </row>
    <row r="806" s="59" customFormat="1" spans="1:13">
      <c r="A806" s="74">
        <v>805</v>
      </c>
      <c r="B806" s="66" t="s">
        <v>67</v>
      </c>
      <c r="C806" s="67" t="s">
        <v>301</v>
      </c>
      <c r="D806" s="59" t="s">
        <v>268</v>
      </c>
      <c r="E806" s="88"/>
      <c r="H806" s="77" t="s">
        <v>76</v>
      </c>
      <c r="I806" s="82">
        <v>12000</v>
      </c>
      <c r="K806" s="85"/>
      <c r="L806" s="86"/>
      <c r="M806" s="87"/>
    </row>
    <row r="807" s="59" customFormat="1" spans="1:13">
      <c r="A807" s="74">
        <v>806</v>
      </c>
      <c r="B807" s="66" t="s">
        <v>67</v>
      </c>
      <c r="C807" s="67" t="s">
        <v>301</v>
      </c>
      <c r="D807" s="59" t="s">
        <v>269</v>
      </c>
      <c r="E807" s="88"/>
      <c r="H807" s="77" t="s">
        <v>76</v>
      </c>
      <c r="I807" s="82">
        <v>12000</v>
      </c>
      <c r="K807" s="85"/>
      <c r="L807" s="86"/>
      <c r="M807" s="87"/>
    </row>
    <row r="808" s="59" customFormat="1" spans="1:13">
      <c r="A808" s="74">
        <v>807</v>
      </c>
      <c r="B808" s="66" t="s">
        <v>67</v>
      </c>
      <c r="C808" s="67" t="s">
        <v>301</v>
      </c>
      <c r="D808" s="59" t="s">
        <v>270</v>
      </c>
      <c r="E808" s="88"/>
      <c r="H808" s="77" t="s">
        <v>76</v>
      </c>
      <c r="I808" s="82">
        <v>12000</v>
      </c>
      <c r="K808" s="85"/>
      <c r="L808" s="86"/>
      <c r="M808" s="87"/>
    </row>
    <row r="809" s="59" customFormat="1" spans="1:13">
      <c r="A809" s="74">
        <v>808</v>
      </c>
      <c r="B809" s="66" t="s">
        <v>67</v>
      </c>
      <c r="C809" s="67" t="s">
        <v>301</v>
      </c>
      <c r="D809" s="59" t="s">
        <v>271</v>
      </c>
      <c r="E809" s="88"/>
      <c r="H809" s="77" t="s">
        <v>76</v>
      </c>
      <c r="I809" s="82">
        <v>12000</v>
      </c>
      <c r="K809" s="85"/>
      <c r="L809" s="86"/>
      <c r="M809" s="87"/>
    </row>
    <row r="810" s="59" customFormat="1" spans="1:13">
      <c r="A810" s="74">
        <v>809</v>
      </c>
      <c r="B810" s="66" t="s">
        <v>67</v>
      </c>
      <c r="C810" s="67" t="s">
        <v>301</v>
      </c>
      <c r="D810" s="59" t="s">
        <v>272</v>
      </c>
      <c r="E810" s="88"/>
      <c r="H810" s="77" t="s">
        <v>76</v>
      </c>
      <c r="I810" s="82">
        <v>12000</v>
      </c>
      <c r="K810" s="85"/>
      <c r="L810" s="86"/>
      <c r="M810" s="87"/>
    </row>
    <row r="811" s="59" customFormat="1" spans="1:13">
      <c r="A811" s="74">
        <v>810</v>
      </c>
      <c r="B811" s="66" t="s">
        <v>67</v>
      </c>
      <c r="C811" s="67" t="s">
        <v>301</v>
      </c>
      <c r="D811" s="59" t="s">
        <v>273</v>
      </c>
      <c r="E811" s="88"/>
      <c r="H811" s="77" t="s">
        <v>71</v>
      </c>
      <c r="I811" s="78">
        <v>16000</v>
      </c>
      <c r="K811" s="85"/>
      <c r="L811" s="86"/>
      <c r="M811" s="87"/>
    </row>
    <row r="812" s="59" customFormat="1" spans="1:13">
      <c r="A812" s="74">
        <v>811</v>
      </c>
      <c r="B812" s="66" t="s">
        <v>67</v>
      </c>
      <c r="C812" s="67" t="s">
        <v>301</v>
      </c>
      <c r="D812" s="59" t="s">
        <v>274</v>
      </c>
      <c r="E812" s="88"/>
      <c r="H812" s="77" t="s">
        <v>76</v>
      </c>
      <c r="I812" s="82">
        <v>12000</v>
      </c>
      <c r="K812" s="85"/>
      <c r="L812" s="86"/>
      <c r="M812" s="87"/>
    </row>
    <row r="813" s="59" customFormat="1" spans="1:13">
      <c r="A813" s="74">
        <v>812</v>
      </c>
      <c r="B813" s="66" t="s">
        <v>67</v>
      </c>
      <c r="C813" s="67" t="s">
        <v>301</v>
      </c>
      <c r="D813" s="59" t="s">
        <v>275</v>
      </c>
      <c r="E813" s="88"/>
      <c r="F813" s="89"/>
      <c r="G813" s="89"/>
      <c r="H813" s="77" t="s">
        <v>76</v>
      </c>
      <c r="I813" s="82">
        <v>12000</v>
      </c>
      <c r="J813" s="84"/>
      <c r="K813" s="85"/>
      <c r="L813" s="89"/>
      <c r="M813" s="89"/>
    </row>
    <row r="814" s="59" customFormat="1" spans="1:13">
      <c r="A814" s="74">
        <v>813</v>
      </c>
      <c r="B814" s="66" t="s">
        <v>67</v>
      </c>
      <c r="C814" s="67" t="s">
        <v>301</v>
      </c>
      <c r="D814" s="59" t="s">
        <v>276</v>
      </c>
      <c r="E814" s="88"/>
      <c r="F814" s="89"/>
      <c r="G814" s="89"/>
      <c r="H814" s="77" t="s">
        <v>76</v>
      </c>
      <c r="I814" s="82">
        <v>12000</v>
      </c>
      <c r="J814" s="84"/>
      <c r="K814" s="85"/>
      <c r="L814" s="89"/>
      <c r="M814" s="89"/>
    </row>
    <row r="815" s="59" customFormat="1" spans="1:13">
      <c r="A815" s="74">
        <v>814</v>
      </c>
      <c r="B815" s="66" t="s">
        <v>67</v>
      </c>
      <c r="C815" s="67" t="s">
        <v>301</v>
      </c>
      <c r="D815" s="59" t="s">
        <v>277</v>
      </c>
      <c r="E815" s="88"/>
      <c r="F815" s="89"/>
      <c r="G815" s="89"/>
      <c r="H815" s="77" t="s">
        <v>76</v>
      </c>
      <c r="I815" s="82">
        <v>12000</v>
      </c>
      <c r="J815" s="84"/>
      <c r="K815" s="85"/>
      <c r="L815" s="89"/>
      <c r="M815" s="89"/>
    </row>
    <row r="816" s="59" customFormat="1" spans="1:13">
      <c r="A816" s="74">
        <v>815</v>
      </c>
      <c r="B816" s="66" t="s">
        <v>67</v>
      </c>
      <c r="C816" s="67" t="s">
        <v>301</v>
      </c>
      <c r="D816" s="59" t="s">
        <v>278</v>
      </c>
      <c r="E816" s="88"/>
      <c r="F816" s="89"/>
      <c r="G816" s="89"/>
      <c r="H816" s="77" t="s">
        <v>76</v>
      </c>
      <c r="I816" s="82">
        <v>12000</v>
      </c>
      <c r="J816" s="84"/>
      <c r="K816" s="85"/>
      <c r="L816" s="89"/>
      <c r="M816" s="89"/>
    </row>
    <row r="817" s="59" customFormat="1" spans="1:13">
      <c r="A817" s="74">
        <v>816</v>
      </c>
      <c r="B817" s="66" t="s">
        <v>67</v>
      </c>
      <c r="C817" s="67" t="s">
        <v>301</v>
      </c>
      <c r="D817" s="59" t="s">
        <v>279</v>
      </c>
      <c r="E817" s="88"/>
      <c r="F817" s="89"/>
      <c r="G817" s="89"/>
      <c r="H817" s="77" t="s">
        <v>76</v>
      </c>
      <c r="I817" s="82">
        <v>12000</v>
      </c>
      <c r="J817" s="84"/>
      <c r="K817" s="85"/>
      <c r="L817" s="89"/>
      <c r="M817" s="89"/>
    </row>
    <row r="818" s="59" customFormat="1" spans="1:13">
      <c r="A818" s="74">
        <v>817</v>
      </c>
      <c r="B818" s="66" t="s">
        <v>67</v>
      </c>
      <c r="C818" s="67" t="s">
        <v>301</v>
      </c>
      <c r="D818" s="59" t="s">
        <v>280</v>
      </c>
      <c r="E818" s="88"/>
      <c r="F818" s="89"/>
      <c r="G818" s="89"/>
      <c r="H818" s="77" t="s">
        <v>76</v>
      </c>
      <c r="I818" s="82">
        <v>12000</v>
      </c>
      <c r="J818" s="84"/>
      <c r="K818" s="85"/>
      <c r="L818" s="89"/>
      <c r="M818" s="89"/>
    </row>
    <row r="819" s="59" customFormat="1" spans="1:13">
      <c r="A819" s="74">
        <v>818</v>
      </c>
      <c r="B819" s="66" t="s">
        <v>67</v>
      </c>
      <c r="C819" s="67" t="s">
        <v>301</v>
      </c>
      <c r="D819" s="59" t="s">
        <v>281</v>
      </c>
      <c r="E819" s="88"/>
      <c r="F819" s="89"/>
      <c r="G819" s="89"/>
      <c r="H819" s="77" t="s">
        <v>76</v>
      </c>
      <c r="I819" s="82">
        <v>12000</v>
      </c>
      <c r="J819" s="84"/>
      <c r="K819" s="85"/>
      <c r="L819" s="89"/>
      <c r="M819" s="89"/>
    </row>
    <row r="820" s="59" customFormat="1" spans="1:13">
      <c r="A820" s="74">
        <v>819</v>
      </c>
      <c r="B820" s="66" t="s">
        <v>67</v>
      </c>
      <c r="C820" s="67" t="s">
        <v>301</v>
      </c>
      <c r="D820" s="59" t="s">
        <v>282</v>
      </c>
      <c r="E820" s="88"/>
      <c r="F820" s="89"/>
      <c r="G820" s="89"/>
      <c r="H820" s="77" t="s">
        <v>76</v>
      </c>
      <c r="I820" s="82">
        <v>12000</v>
      </c>
      <c r="J820" s="84"/>
      <c r="K820" s="85"/>
      <c r="L820" s="89"/>
      <c r="M820" s="89"/>
    </row>
    <row r="821" s="59" customFormat="1" spans="1:13">
      <c r="A821" s="74">
        <v>820</v>
      </c>
      <c r="B821" s="66" t="s">
        <v>67</v>
      </c>
      <c r="C821" s="67" t="s">
        <v>301</v>
      </c>
      <c r="D821" s="59" t="s">
        <v>283</v>
      </c>
      <c r="E821" s="88"/>
      <c r="F821" s="89"/>
      <c r="G821" s="89"/>
      <c r="H821" s="77" t="s">
        <v>76</v>
      </c>
      <c r="I821" s="82">
        <v>12000</v>
      </c>
      <c r="J821" s="84"/>
      <c r="K821" s="85"/>
      <c r="L821" s="89"/>
      <c r="M821" s="89"/>
    </row>
    <row r="822" s="59" customFormat="1" spans="1:13">
      <c r="A822" s="74">
        <v>821</v>
      </c>
      <c r="B822" s="66" t="s">
        <v>67</v>
      </c>
      <c r="C822" s="67" t="s">
        <v>301</v>
      </c>
      <c r="D822" s="59" t="s">
        <v>284</v>
      </c>
      <c r="E822" s="88"/>
      <c r="H822" s="77" t="s">
        <v>76</v>
      </c>
      <c r="I822" s="82">
        <v>12000</v>
      </c>
      <c r="K822" s="85"/>
      <c r="L822" s="86"/>
      <c r="M822" s="87"/>
    </row>
    <row r="823" s="59" customFormat="1" spans="1:13">
      <c r="A823" s="74">
        <v>822</v>
      </c>
      <c r="B823" s="66" t="s">
        <v>67</v>
      </c>
      <c r="C823" s="67" t="s">
        <v>301</v>
      </c>
      <c r="D823" s="59" t="s">
        <v>285</v>
      </c>
      <c r="E823" s="88"/>
      <c r="H823" s="77" t="s">
        <v>76</v>
      </c>
      <c r="I823" s="82">
        <v>12000</v>
      </c>
      <c r="K823" s="85"/>
      <c r="L823" s="86"/>
      <c r="M823" s="87"/>
    </row>
    <row r="824" s="59" customFormat="1" spans="1:13">
      <c r="A824" s="74">
        <v>823</v>
      </c>
      <c r="B824" s="66" t="s">
        <v>67</v>
      </c>
      <c r="C824" s="67" t="s">
        <v>301</v>
      </c>
      <c r="D824" s="59" t="s">
        <v>286</v>
      </c>
      <c r="E824" s="88"/>
      <c r="H824" s="77" t="s">
        <v>76</v>
      </c>
      <c r="I824" s="82">
        <v>12000</v>
      </c>
      <c r="K824" s="85"/>
      <c r="L824" s="86"/>
      <c r="M824" s="87"/>
    </row>
    <row r="825" s="59" customFormat="1" spans="1:13">
      <c r="A825" s="74">
        <v>824</v>
      </c>
      <c r="B825" s="66" t="s">
        <v>67</v>
      </c>
      <c r="C825" s="67" t="s">
        <v>301</v>
      </c>
      <c r="D825" s="59" t="s">
        <v>287</v>
      </c>
      <c r="E825" s="88"/>
      <c r="H825" s="77" t="s">
        <v>76</v>
      </c>
      <c r="I825" s="82">
        <v>12000</v>
      </c>
      <c r="K825" s="85"/>
      <c r="L825" s="86"/>
      <c r="M825" s="87"/>
    </row>
    <row r="826" s="59" customFormat="1" spans="1:13">
      <c r="A826" s="74">
        <v>825</v>
      </c>
      <c r="B826" s="66" t="s">
        <v>67</v>
      </c>
      <c r="C826" s="67" t="s">
        <v>301</v>
      </c>
      <c r="D826" s="59" t="s">
        <v>288</v>
      </c>
      <c r="E826" s="88"/>
      <c r="H826" s="77" t="s">
        <v>76</v>
      </c>
      <c r="I826" s="82">
        <v>12000</v>
      </c>
      <c r="K826" s="85"/>
      <c r="L826" s="86"/>
      <c r="M826" s="87"/>
    </row>
    <row r="827" s="59" customFormat="1" spans="1:13">
      <c r="A827" s="74">
        <v>826</v>
      </c>
      <c r="B827" s="66" t="s">
        <v>67</v>
      </c>
      <c r="C827" s="67" t="s">
        <v>301</v>
      </c>
      <c r="D827" s="59" t="s">
        <v>289</v>
      </c>
      <c r="E827" s="88"/>
      <c r="H827" s="77" t="s">
        <v>76</v>
      </c>
      <c r="I827" s="82">
        <v>12000</v>
      </c>
      <c r="K827" s="85"/>
      <c r="L827" s="86"/>
      <c r="M827" s="87"/>
    </row>
    <row r="828" s="59" customFormat="1" spans="1:13">
      <c r="A828" s="74">
        <v>827</v>
      </c>
      <c r="B828" s="66" t="s">
        <v>67</v>
      </c>
      <c r="C828" s="67" t="s">
        <v>301</v>
      </c>
      <c r="D828" s="59" t="s">
        <v>290</v>
      </c>
      <c r="E828" s="88"/>
      <c r="H828" s="77" t="s">
        <v>76</v>
      </c>
      <c r="I828" s="82">
        <v>12000</v>
      </c>
      <c r="K828" s="85"/>
      <c r="L828" s="86"/>
      <c r="M828" s="87"/>
    </row>
    <row r="829" s="59" customFormat="1" spans="1:13">
      <c r="A829" s="74">
        <v>828</v>
      </c>
      <c r="B829" s="66" t="s">
        <v>67</v>
      </c>
      <c r="C829" s="67" t="s">
        <v>301</v>
      </c>
      <c r="D829" s="59" t="s">
        <v>291</v>
      </c>
      <c r="E829" s="88"/>
      <c r="F829" s="89"/>
      <c r="G829" s="89"/>
      <c r="H829" s="77" t="s">
        <v>76</v>
      </c>
      <c r="I829" s="82">
        <v>12000</v>
      </c>
      <c r="J829" s="84"/>
      <c r="K829" s="85"/>
      <c r="L829" s="89"/>
      <c r="M829" s="89"/>
    </row>
    <row r="830" s="59" customFormat="1" spans="1:13">
      <c r="A830" s="74">
        <v>829</v>
      </c>
      <c r="B830" s="66" t="s">
        <v>67</v>
      </c>
      <c r="C830" s="67" t="s">
        <v>301</v>
      </c>
      <c r="D830" s="59" t="s">
        <v>292</v>
      </c>
      <c r="E830" s="88"/>
      <c r="F830" s="89"/>
      <c r="G830" s="89"/>
      <c r="H830" s="77" t="s">
        <v>76</v>
      </c>
      <c r="I830" s="82">
        <v>12000</v>
      </c>
      <c r="J830" s="84"/>
      <c r="K830" s="85"/>
      <c r="L830" s="89"/>
      <c r="M830" s="89"/>
    </row>
    <row r="831" s="59" customFormat="1" spans="1:13">
      <c r="A831" s="74">
        <v>830</v>
      </c>
      <c r="B831" s="66" t="s">
        <v>67</v>
      </c>
      <c r="C831" s="67" t="s">
        <v>301</v>
      </c>
      <c r="D831" s="59" t="s">
        <v>293</v>
      </c>
      <c r="E831" s="88"/>
      <c r="F831" s="89"/>
      <c r="G831" s="89"/>
      <c r="H831" s="77" t="s">
        <v>76</v>
      </c>
      <c r="I831" s="82">
        <v>12000</v>
      </c>
      <c r="J831" s="84"/>
      <c r="K831" s="85"/>
      <c r="L831" s="89"/>
      <c r="M831" s="89"/>
    </row>
    <row r="832" s="59" customFormat="1" spans="1:13">
      <c r="A832" s="74">
        <v>831</v>
      </c>
      <c r="B832" s="66" t="s">
        <v>67</v>
      </c>
      <c r="C832" s="67" t="s">
        <v>301</v>
      </c>
      <c r="D832" s="59" t="s">
        <v>294</v>
      </c>
      <c r="E832" s="88"/>
      <c r="F832" s="89"/>
      <c r="G832" s="89"/>
      <c r="H832" s="77" t="s">
        <v>76</v>
      </c>
      <c r="I832" s="82">
        <v>12000</v>
      </c>
      <c r="J832" s="84"/>
      <c r="K832" s="85"/>
      <c r="L832" s="89"/>
      <c r="M832" s="89"/>
    </row>
    <row r="833" s="59" customFormat="1" spans="1:13">
      <c r="A833" s="74">
        <v>832</v>
      </c>
      <c r="B833" s="66" t="s">
        <v>67</v>
      </c>
      <c r="C833" s="67" t="s">
        <v>301</v>
      </c>
      <c r="D833" s="59" t="s">
        <v>295</v>
      </c>
      <c r="E833" s="88"/>
      <c r="F833" s="89"/>
      <c r="G833" s="89"/>
      <c r="H833" s="77" t="s">
        <v>76</v>
      </c>
      <c r="I833" s="82">
        <v>12000</v>
      </c>
      <c r="J833" s="84"/>
      <c r="K833" s="85"/>
      <c r="L833" s="89"/>
      <c r="M833" s="89"/>
    </row>
    <row r="834" s="59" customFormat="1" spans="1:13">
      <c r="A834" s="74">
        <v>833</v>
      </c>
      <c r="B834" s="66" t="s">
        <v>67</v>
      </c>
      <c r="C834" s="67" t="s">
        <v>302</v>
      </c>
      <c r="D834" s="67" t="s">
        <v>69</v>
      </c>
      <c r="E834" s="88"/>
      <c r="F834" s="89"/>
      <c r="G834" s="89"/>
      <c r="H834" s="77" t="s">
        <v>71</v>
      </c>
      <c r="I834" s="78">
        <v>16000</v>
      </c>
      <c r="J834" s="84"/>
      <c r="K834" s="85"/>
      <c r="L834" s="89"/>
      <c r="M834" s="89"/>
    </row>
    <row r="835" s="59" customFormat="1" spans="1:13">
      <c r="A835" s="74">
        <v>834</v>
      </c>
      <c r="B835" s="66" t="s">
        <v>67</v>
      </c>
      <c r="C835" s="67" t="s">
        <v>302</v>
      </c>
      <c r="D835" s="67" t="s">
        <v>75</v>
      </c>
      <c r="E835" s="88"/>
      <c r="F835" s="89"/>
      <c r="G835" s="89"/>
      <c r="H835" s="77" t="s">
        <v>76</v>
      </c>
      <c r="I835" s="82">
        <v>12000</v>
      </c>
      <c r="J835" s="84"/>
      <c r="K835" s="85"/>
      <c r="L835" s="89"/>
      <c r="M835" s="89"/>
    </row>
    <row r="836" s="59" customFormat="1" spans="1:13">
      <c r="A836" s="74">
        <v>835</v>
      </c>
      <c r="B836" s="66" t="s">
        <v>67</v>
      </c>
      <c r="C836" s="67" t="s">
        <v>302</v>
      </c>
      <c r="D836" s="67" t="s">
        <v>77</v>
      </c>
      <c r="E836" s="88"/>
      <c r="F836" s="89"/>
      <c r="G836" s="89"/>
      <c r="H836" s="77" t="s">
        <v>76</v>
      </c>
      <c r="I836" s="82">
        <v>12000</v>
      </c>
      <c r="J836" s="84"/>
      <c r="K836" s="85"/>
      <c r="L836" s="89"/>
      <c r="M836" s="89"/>
    </row>
    <row r="837" s="59" customFormat="1" spans="1:13">
      <c r="A837" s="74">
        <v>836</v>
      </c>
      <c r="B837" s="66" t="s">
        <v>67</v>
      </c>
      <c r="C837" s="67" t="s">
        <v>302</v>
      </c>
      <c r="D837" s="67" t="s">
        <v>79</v>
      </c>
      <c r="E837" s="88"/>
      <c r="F837" s="89"/>
      <c r="G837" s="89"/>
      <c r="H837" s="77" t="s">
        <v>76</v>
      </c>
      <c r="I837" s="82">
        <v>12000</v>
      </c>
      <c r="J837" s="84"/>
      <c r="K837" s="85"/>
      <c r="L837" s="89"/>
      <c r="M837" s="89"/>
    </row>
    <row r="838" s="59" customFormat="1" spans="1:13">
      <c r="A838" s="74">
        <v>837</v>
      </c>
      <c r="B838" s="66" t="s">
        <v>67</v>
      </c>
      <c r="C838" s="67" t="s">
        <v>302</v>
      </c>
      <c r="D838" s="67" t="s">
        <v>80</v>
      </c>
      <c r="E838" s="88"/>
      <c r="H838" s="77" t="s">
        <v>76</v>
      </c>
      <c r="I838" s="82">
        <v>12000</v>
      </c>
      <c r="K838" s="85"/>
      <c r="L838" s="86"/>
      <c r="M838" s="87"/>
    </row>
    <row r="839" s="59" customFormat="1" spans="1:13">
      <c r="A839" s="74">
        <v>838</v>
      </c>
      <c r="B839" s="66" t="s">
        <v>67</v>
      </c>
      <c r="C839" s="67" t="s">
        <v>302</v>
      </c>
      <c r="D839" s="67" t="s">
        <v>81</v>
      </c>
      <c r="E839" s="88"/>
      <c r="H839" s="77" t="s">
        <v>76</v>
      </c>
      <c r="I839" s="82">
        <v>12000</v>
      </c>
      <c r="K839" s="85"/>
      <c r="L839" s="86"/>
      <c r="M839" s="87"/>
    </row>
    <row r="840" s="59" customFormat="1" spans="1:13">
      <c r="A840" s="74">
        <v>839</v>
      </c>
      <c r="B840" s="66" t="s">
        <v>67</v>
      </c>
      <c r="C840" s="67" t="s">
        <v>302</v>
      </c>
      <c r="D840" s="67" t="s">
        <v>82</v>
      </c>
      <c r="E840" s="88"/>
      <c r="H840" s="77" t="s">
        <v>76</v>
      </c>
      <c r="I840" s="82">
        <v>12000</v>
      </c>
      <c r="K840" s="85"/>
      <c r="L840" s="86"/>
      <c r="M840" s="87"/>
    </row>
    <row r="841" s="59" customFormat="1" spans="1:13">
      <c r="A841" s="74">
        <v>840</v>
      </c>
      <c r="B841" s="66" t="s">
        <v>67</v>
      </c>
      <c r="C841" s="67" t="s">
        <v>302</v>
      </c>
      <c r="D841" s="67" t="s">
        <v>83</v>
      </c>
      <c r="E841" s="88"/>
      <c r="H841" s="77" t="s">
        <v>76</v>
      </c>
      <c r="I841" s="82">
        <v>12000</v>
      </c>
      <c r="K841" s="85"/>
      <c r="L841" s="86"/>
      <c r="M841" s="87"/>
    </row>
    <row r="842" s="59" customFormat="1" spans="1:13">
      <c r="A842" s="74">
        <v>841</v>
      </c>
      <c r="B842" s="66" t="s">
        <v>67</v>
      </c>
      <c r="C842" s="67" t="s">
        <v>302</v>
      </c>
      <c r="D842" s="67" t="s">
        <v>84</v>
      </c>
      <c r="E842" s="88"/>
      <c r="H842" s="77" t="s">
        <v>76</v>
      </c>
      <c r="I842" s="82">
        <v>12000</v>
      </c>
      <c r="K842" s="85"/>
      <c r="L842" s="86"/>
      <c r="M842" s="87"/>
    </row>
    <row r="843" s="59" customFormat="1" spans="1:13">
      <c r="A843" s="74">
        <v>842</v>
      </c>
      <c r="B843" s="66" t="s">
        <v>67</v>
      </c>
      <c r="C843" s="67" t="s">
        <v>302</v>
      </c>
      <c r="D843" s="67" t="s">
        <v>85</v>
      </c>
      <c r="E843" s="88"/>
      <c r="H843" s="77" t="s">
        <v>76</v>
      </c>
      <c r="I843" s="82">
        <v>12000</v>
      </c>
      <c r="K843" s="85"/>
      <c r="L843" s="86"/>
      <c r="M843" s="87"/>
    </row>
    <row r="844" s="59" customFormat="1" spans="1:13">
      <c r="A844" s="74">
        <v>843</v>
      </c>
      <c r="B844" s="66" t="s">
        <v>67</v>
      </c>
      <c r="C844" s="67" t="s">
        <v>302</v>
      </c>
      <c r="D844" s="67" t="s">
        <v>86</v>
      </c>
      <c r="E844" s="88"/>
      <c r="H844" s="77" t="s">
        <v>76</v>
      </c>
      <c r="I844" s="82">
        <v>12000</v>
      </c>
      <c r="K844" s="85"/>
      <c r="L844" s="86"/>
      <c r="M844" s="87"/>
    </row>
    <row r="845" s="59" customFormat="1" spans="1:13">
      <c r="A845" s="74">
        <v>844</v>
      </c>
      <c r="B845" s="66" t="s">
        <v>67</v>
      </c>
      <c r="C845" s="67" t="s">
        <v>302</v>
      </c>
      <c r="D845" s="67" t="s">
        <v>87</v>
      </c>
      <c r="E845" s="88"/>
      <c r="H845" s="77" t="s">
        <v>76</v>
      </c>
      <c r="I845" s="82">
        <v>12000</v>
      </c>
      <c r="K845" s="85"/>
      <c r="L845" s="86"/>
      <c r="M845" s="87"/>
    </row>
    <row r="846" s="59" customFormat="1" spans="1:13">
      <c r="A846" s="74">
        <v>845</v>
      </c>
      <c r="B846" s="66" t="s">
        <v>67</v>
      </c>
      <c r="C846" s="67" t="s">
        <v>302</v>
      </c>
      <c r="D846" s="67" t="s">
        <v>88</v>
      </c>
      <c r="E846" s="88"/>
      <c r="H846" s="77" t="s">
        <v>76</v>
      </c>
      <c r="I846" s="82">
        <v>12000</v>
      </c>
      <c r="K846" s="85"/>
      <c r="L846" s="86"/>
      <c r="M846" s="87"/>
    </row>
    <row r="847" s="59" customFormat="1" spans="1:13">
      <c r="A847" s="74">
        <v>846</v>
      </c>
      <c r="B847" s="66" t="s">
        <v>67</v>
      </c>
      <c r="C847" s="67" t="s">
        <v>302</v>
      </c>
      <c r="D847" s="67" t="s">
        <v>89</v>
      </c>
      <c r="E847" s="88"/>
      <c r="F847" s="89"/>
      <c r="G847" s="89"/>
      <c r="H847" s="77" t="s">
        <v>76</v>
      </c>
      <c r="I847" s="82">
        <v>12000</v>
      </c>
      <c r="J847" s="84"/>
      <c r="K847" s="85"/>
      <c r="L847" s="89"/>
      <c r="M847" s="89"/>
    </row>
    <row r="848" s="59" customFormat="1" spans="1:13">
      <c r="A848" s="74">
        <v>847</v>
      </c>
      <c r="B848" s="66" t="s">
        <v>67</v>
      </c>
      <c r="C848" s="67" t="s">
        <v>302</v>
      </c>
      <c r="D848" s="67" t="s">
        <v>90</v>
      </c>
      <c r="E848" s="88"/>
      <c r="F848" s="89"/>
      <c r="G848" s="89"/>
      <c r="H848" s="77" t="s">
        <v>76</v>
      </c>
      <c r="I848" s="82">
        <v>12000</v>
      </c>
      <c r="J848" s="84"/>
      <c r="K848" s="85"/>
      <c r="L848" s="89"/>
      <c r="M848" s="89"/>
    </row>
    <row r="849" s="59" customFormat="1" spans="1:13">
      <c r="A849" s="74">
        <v>848</v>
      </c>
      <c r="B849" s="66" t="s">
        <v>67</v>
      </c>
      <c r="C849" s="67" t="s">
        <v>302</v>
      </c>
      <c r="D849" s="67" t="s">
        <v>91</v>
      </c>
      <c r="E849" s="88"/>
      <c r="F849" s="89"/>
      <c r="G849" s="89"/>
      <c r="H849" s="77" t="s">
        <v>76</v>
      </c>
      <c r="I849" s="82">
        <v>12000</v>
      </c>
      <c r="J849" s="84"/>
      <c r="K849" s="85"/>
      <c r="L849" s="89"/>
      <c r="M849" s="89"/>
    </row>
    <row r="850" s="59" customFormat="1" spans="1:13">
      <c r="A850" s="74">
        <v>849</v>
      </c>
      <c r="B850" s="66" t="s">
        <v>67</v>
      </c>
      <c r="C850" s="67" t="s">
        <v>302</v>
      </c>
      <c r="D850" s="67" t="s">
        <v>92</v>
      </c>
      <c r="E850" s="88"/>
      <c r="F850" s="89"/>
      <c r="G850" s="89"/>
      <c r="H850" s="77" t="s">
        <v>76</v>
      </c>
      <c r="I850" s="82">
        <v>12000</v>
      </c>
      <c r="J850" s="84"/>
      <c r="K850" s="85"/>
      <c r="L850" s="89"/>
      <c r="M850" s="89"/>
    </row>
    <row r="851" s="59" customFormat="1" spans="1:13">
      <c r="A851" s="74">
        <v>850</v>
      </c>
      <c r="B851" s="66" t="s">
        <v>67</v>
      </c>
      <c r="C851" s="67" t="s">
        <v>302</v>
      </c>
      <c r="D851" s="67" t="s">
        <v>93</v>
      </c>
      <c r="E851" s="88"/>
      <c r="F851" s="89"/>
      <c r="G851" s="89"/>
      <c r="H851" s="77" t="s">
        <v>76</v>
      </c>
      <c r="I851" s="82">
        <v>12000</v>
      </c>
      <c r="J851" s="84"/>
      <c r="K851" s="85"/>
      <c r="L851" s="89"/>
      <c r="M851" s="89"/>
    </row>
    <row r="852" s="59" customFormat="1" spans="1:13">
      <c r="A852" s="74">
        <v>851</v>
      </c>
      <c r="B852" s="66" t="s">
        <v>67</v>
      </c>
      <c r="C852" s="67" t="s">
        <v>302</v>
      </c>
      <c r="D852" s="67" t="s">
        <v>94</v>
      </c>
      <c r="E852" s="88"/>
      <c r="F852" s="89"/>
      <c r="G852" s="89"/>
      <c r="H852" s="77" t="s">
        <v>76</v>
      </c>
      <c r="I852" s="82">
        <v>12000</v>
      </c>
      <c r="J852" s="84"/>
      <c r="K852" s="85"/>
      <c r="L852" s="89"/>
      <c r="M852" s="89"/>
    </row>
    <row r="853" s="59" customFormat="1" spans="1:13">
      <c r="A853" s="74">
        <v>852</v>
      </c>
      <c r="B853" s="66" t="s">
        <v>67</v>
      </c>
      <c r="C853" s="67" t="s">
        <v>302</v>
      </c>
      <c r="D853" s="67" t="s">
        <v>95</v>
      </c>
      <c r="E853" s="88"/>
      <c r="F853" s="89"/>
      <c r="G853" s="89"/>
      <c r="H853" s="77" t="s">
        <v>76</v>
      </c>
      <c r="I853" s="82">
        <v>12000</v>
      </c>
      <c r="J853" s="84"/>
      <c r="K853" s="85"/>
      <c r="L853" s="89"/>
      <c r="M853" s="89"/>
    </row>
    <row r="854" s="59" customFormat="1" spans="1:13">
      <c r="A854" s="74">
        <v>853</v>
      </c>
      <c r="B854" s="66" t="s">
        <v>67</v>
      </c>
      <c r="C854" s="67" t="s">
        <v>302</v>
      </c>
      <c r="D854" s="67" t="s">
        <v>96</v>
      </c>
      <c r="E854" s="88"/>
      <c r="F854" s="89"/>
      <c r="G854" s="89"/>
      <c r="H854" s="77" t="s">
        <v>76</v>
      </c>
      <c r="I854" s="82">
        <v>12000</v>
      </c>
      <c r="J854" s="84"/>
      <c r="K854" s="85"/>
      <c r="L854" s="89"/>
      <c r="M854" s="89"/>
    </row>
    <row r="855" s="59" customFormat="1" spans="1:13">
      <c r="A855" s="74">
        <v>854</v>
      </c>
      <c r="B855" s="66" t="s">
        <v>67</v>
      </c>
      <c r="C855" s="67" t="s">
        <v>302</v>
      </c>
      <c r="D855" s="67" t="s">
        <v>97</v>
      </c>
      <c r="E855" s="88"/>
      <c r="F855" s="89"/>
      <c r="G855" s="89"/>
      <c r="H855" s="77" t="s">
        <v>71</v>
      </c>
      <c r="I855" s="78">
        <v>16000</v>
      </c>
      <c r="J855" s="84"/>
      <c r="K855" s="85"/>
      <c r="L855" s="89"/>
      <c r="M855" s="89"/>
    </row>
    <row r="856" s="59" customFormat="1" spans="1:13">
      <c r="A856" s="74">
        <v>855</v>
      </c>
      <c r="B856" s="66" t="s">
        <v>67</v>
      </c>
      <c r="C856" s="67" t="s">
        <v>302</v>
      </c>
      <c r="D856" s="67" t="s">
        <v>98</v>
      </c>
      <c r="E856" s="88"/>
      <c r="H856" s="77" t="s">
        <v>76</v>
      </c>
      <c r="I856" s="82">
        <v>12000</v>
      </c>
      <c r="K856" s="85"/>
      <c r="L856" s="86"/>
      <c r="M856" s="87"/>
    </row>
    <row r="857" s="59" customFormat="1" spans="1:13">
      <c r="A857" s="74">
        <v>856</v>
      </c>
      <c r="B857" s="66" t="s">
        <v>67</v>
      </c>
      <c r="C857" s="67" t="s">
        <v>302</v>
      </c>
      <c r="D857" s="67" t="s">
        <v>99</v>
      </c>
      <c r="E857" s="88"/>
      <c r="H857" s="77" t="s">
        <v>76</v>
      </c>
      <c r="I857" s="82">
        <v>12000</v>
      </c>
      <c r="K857" s="85"/>
      <c r="L857" s="86"/>
      <c r="M857" s="87"/>
    </row>
    <row r="858" s="59" customFormat="1" spans="1:13">
      <c r="A858" s="74">
        <v>857</v>
      </c>
      <c r="B858" s="66" t="s">
        <v>67</v>
      </c>
      <c r="C858" s="67" t="s">
        <v>302</v>
      </c>
      <c r="D858" s="67" t="s">
        <v>100</v>
      </c>
      <c r="E858" s="88"/>
      <c r="H858" s="77" t="s">
        <v>76</v>
      </c>
      <c r="I858" s="82">
        <v>12000</v>
      </c>
      <c r="K858" s="85"/>
      <c r="L858" s="86"/>
      <c r="M858" s="87"/>
    </row>
    <row r="859" s="59" customFormat="1" spans="1:13">
      <c r="A859" s="74">
        <v>858</v>
      </c>
      <c r="B859" s="66" t="s">
        <v>67</v>
      </c>
      <c r="C859" s="67" t="s">
        <v>302</v>
      </c>
      <c r="D859" s="67" t="s">
        <v>101</v>
      </c>
      <c r="E859" s="88"/>
      <c r="H859" s="77" t="s">
        <v>76</v>
      </c>
      <c r="I859" s="82">
        <v>12000</v>
      </c>
      <c r="K859" s="85"/>
      <c r="L859" s="86"/>
      <c r="M859" s="87"/>
    </row>
    <row r="860" s="59" customFormat="1" spans="1:13">
      <c r="A860" s="74">
        <v>859</v>
      </c>
      <c r="B860" s="66" t="s">
        <v>67</v>
      </c>
      <c r="C860" s="67" t="s">
        <v>302</v>
      </c>
      <c r="D860" s="67" t="s">
        <v>102</v>
      </c>
      <c r="E860" s="88"/>
      <c r="H860" s="77" t="s">
        <v>76</v>
      </c>
      <c r="I860" s="82">
        <v>12000</v>
      </c>
      <c r="K860" s="85"/>
      <c r="L860" s="86"/>
      <c r="M860" s="87"/>
    </row>
    <row r="861" s="59" customFormat="1" spans="1:13">
      <c r="A861" s="74">
        <v>860</v>
      </c>
      <c r="B861" s="66" t="s">
        <v>67</v>
      </c>
      <c r="C861" s="67" t="s">
        <v>302</v>
      </c>
      <c r="D861" s="67" t="s">
        <v>103</v>
      </c>
      <c r="E861" s="88"/>
      <c r="H861" s="77" t="s">
        <v>76</v>
      </c>
      <c r="I861" s="82">
        <v>12000</v>
      </c>
      <c r="K861" s="85"/>
      <c r="L861" s="86"/>
      <c r="M861" s="87"/>
    </row>
    <row r="862" s="59" customFormat="1" spans="1:13">
      <c r="A862" s="74">
        <v>861</v>
      </c>
      <c r="B862" s="66" t="s">
        <v>67</v>
      </c>
      <c r="C862" s="67" t="s">
        <v>302</v>
      </c>
      <c r="D862" s="67" t="s">
        <v>104</v>
      </c>
      <c r="E862" s="88"/>
      <c r="H862" s="77" t="s">
        <v>76</v>
      </c>
      <c r="I862" s="82">
        <v>12000</v>
      </c>
      <c r="K862" s="85"/>
      <c r="L862" s="86"/>
      <c r="M862" s="87"/>
    </row>
    <row r="863" s="59" customFormat="1" spans="1:13">
      <c r="A863" s="74">
        <v>862</v>
      </c>
      <c r="B863" s="66" t="s">
        <v>67</v>
      </c>
      <c r="C863" s="67" t="s">
        <v>302</v>
      </c>
      <c r="D863" s="67" t="s">
        <v>105</v>
      </c>
      <c r="E863" s="88"/>
      <c r="F863" s="89"/>
      <c r="G863" s="89"/>
      <c r="H863" s="77" t="s">
        <v>76</v>
      </c>
      <c r="I863" s="82">
        <v>12000</v>
      </c>
      <c r="J863" s="84"/>
      <c r="K863" s="85"/>
      <c r="L863" s="89"/>
      <c r="M863" s="89"/>
    </row>
    <row r="864" s="59" customFormat="1" spans="1:13">
      <c r="A864" s="74">
        <v>863</v>
      </c>
      <c r="B864" s="66" t="s">
        <v>67</v>
      </c>
      <c r="C864" s="67" t="s">
        <v>302</v>
      </c>
      <c r="D864" s="67" t="s">
        <v>106</v>
      </c>
      <c r="E864" s="88"/>
      <c r="F864" s="89"/>
      <c r="G864" s="89"/>
      <c r="H864" s="77" t="s">
        <v>76</v>
      </c>
      <c r="I864" s="82">
        <v>12000</v>
      </c>
      <c r="J864" s="84"/>
      <c r="K864" s="85"/>
      <c r="L864" s="89"/>
      <c r="M864" s="89"/>
    </row>
    <row r="865" s="59" customFormat="1" spans="1:13">
      <c r="A865" s="74">
        <v>864</v>
      </c>
      <c r="B865" s="66" t="s">
        <v>67</v>
      </c>
      <c r="C865" s="67" t="s">
        <v>302</v>
      </c>
      <c r="D865" s="67" t="s">
        <v>107</v>
      </c>
      <c r="E865" s="88"/>
      <c r="F865" s="89"/>
      <c r="G865" s="89"/>
      <c r="H865" s="77" t="s">
        <v>76</v>
      </c>
      <c r="I865" s="82">
        <v>12000</v>
      </c>
      <c r="J865" s="84"/>
      <c r="K865" s="85"/>
      <c r="L865" s="89"/>
      <c r="M865" s="89"/>
    </row>
    <row r="866" s="59" customFormat="1" spans="1:13">
      <c r="A866" s="74">
        <v>865</v>
      </c>
      <c r="B866" s="66" t="s">
        <v>67</v>
      </c>
      <c r="C866" s="67" t="s">
        <v>302</v>
      </c>
      <c r="D866" s="67" t="s">
        <v>108</v>
      </c>
      <c r="E866" s="88"/>
      <c r="F866" s="89"/>
      <c r="G866" s="89"/>
      <c r="H866" s="77" t="s">
        <v>76</v>
      </c>
      <c r="I866" s="82">
        <v>12000</v>
      </c>
      <c r="J866" s="84"/>
      <c r="K866" s="85"/>
      <c r="L866" s="89"/>
      <c r="M866" s="89"/>
    </row>
    <row r="867" s="59" customFormat="1" spans="1:13">
      <c r="A867" s="74">
        <v>866</v>
      </c>
      <c r="B867" s="66" t="s">
        <v>67</v>
      </c>
      <c r="C867" s="67" t="s">
        <v>302</v>
      </c>
      <c r="D867" s="67" t="s">
        <v>109</v>
      </c>
      <c r="E867" s="88"/>
      <c r="F867" s="89"/>
      <c r="G867" s="89"/>
      <c r="H867" s="77" t="s">
        <v>76</v>
      </c>
      <c r="I867" s="82">
        <v>12000</v>
      </c>
      <c r="J867" s="84"/>
      <c r="K867" s="85"/>
      <c r="L867" s="89"/>
      <c r="M867" s="89"/>
    </row>
    <row r="868" s="59" customFormat="1" spans="1:13">
      <c r="A868" s="74">
        <v>867</v>
      </c>
      <c r="B868" s="66" t="s">
        <v>67</v>
      </c>
      <c r="C868" s="67" t="s">
        <v>302</v>
      </c>
      <c r="D868" s="67" t="s">
        <v>110</v>
      </c>
      <c r="E868" s="88"/>
      <c r="F868" s="89"/>
      <c r="G868" s="89"/>
      <c r="H868" s="77" t="s">
        <v>76</v>
      </c>
      <c r="I868" s="82">
        <v>12000</v>
      </c>
      <c r="J868" s="84"/>
      <c r="K868" s="85"/>
      <c r="L868" s="89"/>
      <c r="M868" s="89"/>
    </row>
    <row r="869" s="59" customFormat="1" spans="1:13">
      <c r="A869" s="74">
        <v>868</v>
      </c>
      <c r="B869" s="66" t="s">
        <v>67</v>
      </c>
      <c r="C869" s="67" t="s">
        <v>302</v>
      </c>
      <c r="D869" s="67" t="s">
        <v>111</v>
      </c>
      <c r="E869" s="88"/>
      <c r="F869" s="89"/>
      <c r="G869" s="89"/>
      <c r="H869" s="77" t="s">
        <v>76</v>
      </c>
      <c r="I869" s="82">
        <v>12000</v>
      </c>
      <c r="J869" s="84"/>
      <c r="K869" s="85"/>
      <c r="L869" s="89"/>
      <c r="M869" s="89"/>
    </row>
    <row r="870" s="59" customFormat="1" spans="1:13">
      <c r="A870" s="74">
        <v>869</v>
      </c>
      <c r="B870" s="66" t="s">
        <v>67</v>
      </c>
      <c r="C870" s="67" t="s">
        <v>302</v>
      </c>
      <c r="D870" s="67" t="s">
        <v>112</v>
      </c>
      <c r="E870" s="88"/>
      <c r="F870" s="89"/>
      <c r="G870" s="89"/>
      <c r="H870" s="77" t="s">
        <v>76</v>
      </c>
      <c r="I870" s="82">
        <v>12000</v>
      </c>
      <c r="J870" s="84"/>
      <c r="K870" s="85"/>
      <c r="L870" s="89"/>
      <c r="M870" s="89"/>
    </row>
    <row r="871" s="59" customFormat="1" spans="1:13">
      <c r="A871" s="74">
        <v>870</v>
      </c>
      <c r="B871" s="66" t="s">
        <v>67</v>
      </c>
      <c r="C871" s="67" t="s">
        <v>302</v>
      </c>
      <c r="D871" s="67" t="s">
        <v>113</v>
      </c>
      <c r="E871" s="88"/>
      <c r="F871" s="89"/>
      <c r="G871" s="89"/>
      <c r="H871" s="77" t="s">
        <v>76</v>
      </c>
      <c r="I871" s="82">
        <v>12000</v>
      </c>
      <c r="J871" s="84"/>
      <c r="K871" s="85"/>
      <c r="L871" s="89"/>
      <c r="M871" s="89"/>
    </row>
    <row r="872" s="59" customFormat="1" spans="1:13">
      <c r="A872" s="74">
        <v>871</v>
      </c>
      <c r="B872" s="66" t="s">
        <v>67</v>
      </c>
      <c r="C872" s="67" t="s">
        <v>302</v>
      </c>
      <c r="D872" s="67" t="s">
        <v>114</v>
      </c>
      <c r="E872" s="88"/>
      <c r="H872" s="77" t="s">
        <v>76</v>
      </c>
      <c r="I872" s="82">
        <v>12000</v>
      </c>
      <c r="K872" s="85"/>
      <c r="L872" s="86"/>
      <c r="M872" s="87"/>
    </row>
    <row r="873" s="59" customFormat="1" spans="1:13">
      <c r="A873" s="74">
        <v>872</v>
      </c>
      <c r="B873" s="66" t="s">
        <v>67</v>
      </c>
      <c r="C873" s="67" t="s">
        <v>302</v>
      </c>
      <c r="D873" s="67" t="s">
        <v>115</v>
      </c>
      <c r="E873" s="88"/>
      <c r="H873" s="77" t="s">
        <v>76</v>
      </c>
      <c r="I873" s="82">
        <v>12000</v>
      </c>
      <c r="K873" s="85"/>
      <c r="L873" s="86"/>
      <c r="M873" s="87"/>
    </row>
    <row r="874" s="59" customFormat="1" spans="1:13">
      <c r="A874" s="74">
        <v>873</v>
      </c>
      <c r="B874" s="66" t="s">
        <v>67</v>
      </c>
      <c r="C874" s="67" t="s">
        <v>302</v>
      </c>
      <c r="D874" s="67" t="s">
        <v>116</v>
      </c>
      <c r="E874" s="88"/>
      <c r="H874" s="77" t="s">
        <v>76</v>
      </c>
      <c r="I874" s="82">
        <v>12000</v>
      </c>
      <c r="K874" s="85"/>
      <c r="L874" s="86"/>
      <c r="M874" s="87"/>
    </row>
    <row r="875" s="59" customFormat="1" spans="1:13">
      <c r="A875" s="74">
        <v>874</v>
      </c>
      <c r="B875" s="66" t="s">
        <v>67</v>
      </c>
      <c r="C875" s="67" t="s">
        <v>302</v>
      </c>
      <c r="D875" s="67" t="s">
        <v>117</v>
      </c>
      <c r="E875" s="88"/>
      <c r="H875" s="77" t="s">
        <v>76</v>
      </c>
      <c r="I875" s="82">
        <v>12000</v>
      </c>
      <c r="K875" s="85"/>
      <c r="L875" s="86"/>
      <c r="M875" s="87"/>
    </row>
    <row r="876" s="59" customFormat="1" spans="1:13">
      <c r="A876" s="74">
        <v>875</v>
      </c>
      <c r="B876" s="66" t="s">
        <v>67</v>
      </c>
      <c r="C876" s="67" t="s">
        <v>302</v>
      </c>
      <c r="D876" s="67" t="s">
        <v>118</v>
      </c>
      <c r="E876" s="88"/>
      <c r="H876" s="77" t="s">
        <v>76</v>
      </c>
      <c r="I876" s="82">
        <v>12000</v>
      </c>
      <c r="K876" s="85"/>
      <c r="L876" s="86"/>
      <c r="M876" s="87"/>
    </row>
    <row r="877" s="59" customFormat="1" spans="1:13">
      <c r="A877" s="74">
        <v>876</v>
      </c>
      <c r="B877" s="66" t="s">
        <v>67</v>
      </c>
      <c r="C877" s="67" t="s">
        <v>302</v>
      </c>
      <c r="D877" s="67" t="s">
        <v>119</v>
      </c>
      <c r="E877" s="88"/>
      <c r="H877" s="77" t="s">
        <v>76</v>
      </c>
      <c r="I877" s="82">
        <v>12000</v>
      </c>
      <c r="K877" s="85"/>
      <c r="L877" s="86"/>
      <c r="M877" s="87"/>
    </row>
    <row r="878" s="59" customFormat="1" spans="1:13">
      <c r="A878" s="74">
        <v>877</v>
      </c>
      <c r="B878" s="66" t="s">
        <v>67</v>
      </c>
      <c r="C878" s="67" t="s">
        <v>302</v>
      </c>
      <c r="D878" s="59" t="s">
        <v>120</v>
      </c>
      <c r="E878" s="88"/>
      <c r="H878" s="77" t="s">
        <v>71</v>
      </c>
      <c r="I878" s="78">
        <v>16000</v>
      </c>
      <c r="K878" s="85"/>
      <c r="L878" s="86"/>
      <c r="M878" s="87"/>
    </row>
    <row r="879" s="59" customFormat="1" spans="1:13">
      <c r="A879" s="74">
        <v>878</v>
      </c>
      <c r="B879" s="66" t="s">
        <v>67</v>
      </c>
      <c r="C879" s="67" t="s">
        <v>302</v>
      </c>
      <c r="D879" s="59" t="s">
        <v>121</v>
      </c>
      <c r="E879" s="88"/>
      <c r="H879" s="77" t="s">
        <v>76</v>
      </c>
      <c r="I879" s="82">
        <v>12000</v>
      </c>
      <c r="K879" s="85"/>
      <c r="L879" s="86"/>
      <c r="M879" s="87"/>
    </row>
    <row r="880" s="59" customFormat="1" spans="1:13">
      <c r="A880" s="74">
        <v>879</v>
      </c>
      <c r="B880" s="66" t="s">
        <v>67</v>
      </c>
      <c r="C880" s="67" t="s">
        <v>302</v>
      </c>
      <c r="D880" s="59" t="s">
        <v>122</v>
      </c>
      <c r="E880" s="88"/>
      <c r="H880" s="77" t="s">
        <v>76</v>
      </c>
      <c r="I880" s="82">
        <v>12000</v>
      </c>
      <c r="K880" s="85"/>
      <c r="L880" s="86"/>
      <c r="M880" s="87"/>
    </row>
    <row r="881" s="59" customFormat="1" spans="1:13">
      <c r="A881" s="74">
        <v>880</v>
      </c>
      <c r="B881" s="66" t="s">
        <v>67</v>
      </c>
      <c r="C881" s="67" t="s">
        <v>302</v>
      </c>
      <c r="D881" s="59" t="s">
        <v>123</v>
      </c>
      <c r="E881" s="88"/>
      <c r="F881" s="89"/>
      <c r="G881" s="89"/>
      <c r="H881" s="77" t="s">
        <v>76</v>
      </c>
      <c r="I881" s="82">
        <v>12000</v>
      </c>
      <c r="J881" s="84"/>
      <c r="K881" s="85"/>
      <c r="L881" s="89"/>
      <c r="M881" s="89"/>
    </row>
    <row r="882" s="59" customFormat="1" spans="1:13">
      <c r="A882" s="74">
        <v>881</v>
      </c>
      <c r="B882" s="66" t="s">
        <v>67</v>
      </c>
      <c r="C882" s="67" t="s">
        <v>302</v>
      </c>
      <c r="D882" s="59" t="s">
        <v>124</v>
      </c>
      <c r="E882" s="88"/>
      <c r="F882" s="89"/>
      <c r="G882" s="89"/>
      <c r="H882" s="77" t="s">
        <v>76</v>
      </c>
      <c r="I882" s="82">
        <v>12000</v>
      </c>
      <c r="J882" s="84"/>
      <c r="K882" s="85"/>
      <c r="L882" s="89"/>
      <c r="M882" s="89"/>
    </row>
    <row r="883" s="59" customFormat="1" spans="1:13">
      <c r="A883" s="74">
        <v>882</v>
      </c>
      <c r="B883" s="66" t="s">
        <v>67</v>
      </c>
      <c r="C883" s="67" t="s">
        <v>302</v>
      </c>
      <c r="D883" s="59" t="s">
        <v>125</v>
      </c>
      <c r="E883" s="88"/>
      <c r="F883" s="89"/>
      <c r="G883" s="89"/>
      <c r="H883" s="77" t="s">
        <v>76</v>
      </c>
      <c r="I883" s="82">
        <v>12000</v>
      </c>
      <c r="J883" s="84"/>
      <c r="K883" s="85"/>
      <c r="L883" s="89"/>
      <c r="M883" s="89"/>
    </row>
    <row r="884" s="59" customFormat="1" spans="1:13">
      <c r="A884" s="74">
        <v>883</v>
      </c>
      <c r="B884" s="66" t="s">
        <v>67</v>
      </c>
      <c r="C884" s="67" t="s">
        <v>302</v>
      </c>
      <c r="D884" s="59" t="s">
        <v>126</v>
      </c>
      <c r="E884" s="88"/>
      <c r="F884" s="89"/>
      <c r="G884" s="89"/>
      <c r="H884" s="77" t="s">
        <v>76</v>
      </c>
      <c r="I884" s="82">
        <v>12000</v>
      </c>
      <c r="J884" s="84"/>
      <c r="K884" s="85"/>
      <c r="L884" s="89"/>
      <c r="M884" s="89"/>
    </row>
    <row r="885" s="59" customFormat="1" spans="1:13">
      <c r="A885" s="74">
        <v>884</v>
      </c>
      <c r="B885" s="66" t="s">
        <v>67</v>
      </c>
      <c r="C885" s="67" t="s">
        <v>302</v>
      </c>
      <c r="D885" s="59" t="s">
        <v>127</v>
      </c>
      <c r="E885" s="88"/>
      <c r="F885" s="89"/>
      <c r="G885" s="89"/>
      <c r="H885" s="77" t="s">
        <v>76</v>
      </c>
      <c r="I885" s="82">
        <v>12000</v>
      </c>
      <c r="J885" s="84"/>
      <c r="K885" s="85"/>
      <c r="L885" s="89"/>
      <c r="M885" s="89"/>
    </row>
    <row r="886" s="59" customFormat="1" spans="1:13">
      <c r="A886" s="74">
        <v>885</v>
      </c>
      <c r="B886" s="66" t="s">
        <v>67</v>
      </c>
      <c r="C886" s="67" t="s">
        <v>302</v>
      </c>
      <c r="D886" s="59" t="s">
        <v>128</v>
      </c>
      <c r="E886" s="88"/>
      <c r="F886" s="89"/>
      <c r="G886" s="89"/>
      <c r="H886" s="77" t="s">
        <v>76</v>
      </c>
      <c r="I886" s="82">
        <v>12000</v>
      </c>
      <c r="J886" s="84"/>
      <c r="K886" s="85"/>
      <c r="L886" s="89"/>
      <c r="M886" s="89"/>
    </row>
    <row r="887" s="59" customFormat="1" spans="1:13">
      <c r="A887" s="74">
        <v>886</v>
      </c>
      <c r="B887" s="66" t="s">
        <v>67</v>
      </c>
      <c r="C887" s="67" t="s">
        <v>302</v>
      </c>
      <c r="D887" s="59" t="s">
        <v>129</v>
      </c>
      <c r="E887" s="88"/>
      <c r="F887" s="89"/>
      <c r="G887" s="89"/>
      <c r="H887" s="77" t="s">
        <v>76</v>
      </c>
      <c r="I887" s="82">
        <v>12000</v>
      </c>
      <c r="J887" s="84"/>
      <c r="K887" s="85"/>
      <c r="L887" s="89"/>
      <c r="M887" s="89"/>
    </row>
    <row r="888" s="59" customFormat="1" spans="1:13">
      <c r="A888" s="74">
        <v>887</v>
      </c>
      <c r="B888" s="66" t="s">
        <v>67</v>
      </c>
      <c r="C888" s="67" t="s">
        <v>302</v>
      </c>
      <c r="D888" s="59" t="s">
        <v>130</v>
      </c>
      <c r="E888" s="88"/>
      <c r="F888" s="89"/>
      <c r="G888" s="89"/>
      <c r="H888" s="77" t="s">
        <v>76</v>
      </c>
      <c r="I888" s="82">
        <v>12000</v>
      </c>
      <c r="J888" s="84"/>
      <c r="K888" s="85"/>
      <c r="L888" s="89"/>
      <c r="M888" s="89"/>
    </row>
    <row r="889" s="59" customFormat="1" spans="1:13">
      <c r="A889" s="74">
        <v>888</v>
      </c>
      <c r="B889" s="66" t="s">
        <v>67</v>
      </c>
      <c r="C889" s="67" t="s">
        <v>302</v>
      </c>
      <c r="D889" s="59" t="s">
        <v>131</v>
      </c>
      <c r="E889" s="88"/>
      <c r="F889" s="89"/>
      <c r="G889" s="89"/>
      <c r="H889" s="77" t="s">
        <v>76</v>
      </c>
      <c r="I889" s="82">
        <v>12000</v>
      </c>
      <c r="J889" s="84"/>
      <c r="K889" s="85"/>
      <c r="L889" s="89"/>
      <c r="M889" s="89"/>
    </row>
    <row r="890" s="59" customFormat="1" spans="1:13">
      <c r="A890" s="74">
        <v>889</v>
      </c>
      <c r="B890" s="66" t="s">
        <v>67</v>
      </c>
      <c r="C890" s="67" t="s">
        <v>302</v>
      </c>
      <c r="D890" s="59" t="s">
        <v>132</v>
      </c>
      <c r="E890" s="88"/>
      <c r="H890" s="77" t="s">
        <v>76</v>
      </c>
      <c r="I890" s="82">
        <v>12000</v>
      </c>
      <c r="K890" s="85"/>
      <c r="L890" s="86"/>
      <c r="M890" s="87"/>
    </row>
    <row r="891" s="59" customFormat="1" spans="1:13">
      <c r="A891" s="74">
        <v>890</v>
      </c>
      <c r="B891" s="66" t="s">
        <v>67</v>
      </c>
      <c r="C891" s="67" t="s">
        <v>302</v>
      </c>
      <c r="D891" s="59" t="s">
        <v>133</v>
      </c>
      <c r="E891" s="88"/>
      <c r="H891" s="77" t="s">
        <v>76</v>
      </c>
      <c r="I891" s="82">
        <v>12000</v>
      </c>
      <c r="K891" s="85"/>
      <c r="L891" s="86"/>
      <c r="M891" s="87"/>
    </row>
    <row r="892" s="59" customFormat="1" spans="1:13">
      <c r="A892" s="74">
        <v>891</v>
      </c>
      <c r="B892" s="66" t="s">
        <v>67</v>
      </c>
      <c r="C892" s="67" t="s">
        <v>302</v>
      </c>
      <c r="D892" s="59" t="s">
        <v>134</v>
      </c>
      <c r="E892" s="88"/>
      <c r="H892" s="77" t="s">
        <v>76</v>
      </c>
      <c r="I892" s="82">
        <v>12000</v>
      </c>
      <c r="K892" s="85"/>
      <c r="L892" s="86"/>
      <c r="M892" s="87"/>
    </row>
    <row r="893" s="59" customFormat="1" spans="1:13">
      <c r="A893" s="74">
        <v>892</v>
      </c>
      <c r="B893" s="66" t="s">
        <v>67</v>
      </c>
      <c r="C893" s="67" t="s">
        <v>302</v>
      </c>
      <c r="D893" s="59" t="s">
        <v>135</v>
      </c>
      <c r="E893" s="88"/>
      <c r="H893" s="77" t="s">
        <v>76</v>
      </c>
      <c r="I893" s="82">
        <v>12000</v>
      </c>
      <c r="K893" s="85"/>
      <c r="L893" s="86"/>
      <c r="M893" s="87"/>
    </row>
    <row r="894" s="59" customFormat="1" spans="1:13">
      <c r="A894" s="74">
        <v>893</v>
      </c>
      <c r="B894" s="66" t="s">
        <v>67</v>
      </c>
      <c r="C894" s="67" t="s">
        <v>302</v>
      </c>
      <c r="D894" s="59" t="s">
        <v>136</v>
      </c>
      <c r="E894" s="88"/>
      <c r="H894" s="77" t="s">
        <v>76</v>
      </c>
      <c r="I894" s="82">
        <v>12000</v>
      </c>
      <c r="K894" s="85"/>
      <c r="L894" s="86"/>
      <c r="M894" s="87"/>
    </row>
    <row r="895" s="59" customFormat="1" spans="1:13">
      <c r="A895" s="74">
        <v>894</v>
      </c>
      <c r="B895" s="66" t="s">
        <v>67</v>
      </c>
      <c r="C895" s="67" t="s">
        <v>302</v>
      </c>
      <c r="D895" s="59" t="s">
        <v>137</v>
      </c>
      <c r="E895" s="88"/>
      <c r="H895" s="77" t="s">
        <v>76</v>
      </c>
      <c r="I895" s="82">
        <v>12000</v>
      </c>
      <c r="K895" s="85"/>
      <c r="L895" s="86"/>
      <c r="M895" s="87"/>
    </row>
    <row r="896" s="59" customFormat="1" spans="1:13">
      <c r="A896" s="74">
        <v>895</v>
      </c>
      <c r="B896" s="66" t="s">
        <v>67</v>
      </c>
      <c r="C896" s="67" t="s">
        <v>302</v>
      </c>
      <c r="D896" s="59" t="s">
        <v>138</v>
      </c>
      <c r="E896" s="88"/>
      <c r="H896" s="77" t="s">
        <v>76</v>
      </c>
      <c r="I896" s="82">
        <v>12000</v>
      </c>
      <c r="K896" s="85"/>
      <c r="L896" s="86"/>
      <c r="M896" s="87"/>
    </row>
    <row r="897" s="59" customFormat="1" spans="1:13">
      <c r="A897" s="74">
        <v>896</v>
      </c>
      <c r="B897" s="66" t="s">
        <v>67</v>
      </c>
      <c r="C897" s="67" t="s">
        <v>302</v>
      </c>
      <c r="D897" s="59" t="s">
        <v>139</v>
      </c>
      <c r="E897" s="88"/>
      <c r="F897" s="89"/>
      <c r="G897" s="89"/>
      <c r="H897" s="77" t="s">
        <v>76</v>
      </c>
      <c r="I897" s="82">
        <v>12000</v>
      </c>
      <c r="J897" s="84"/>
      <c r="K897" s="85"/>
      <c r="L897" s="89"/>
      <c r="M897" s="89"/>
    </row>
    <row r="898" s="59" customFormat="1" spans="1:13">
      <c r="A898" s="74">
        <v>897</v>
      </c>
      <c r="B898" s="66" t="s">
        <v>67</v>
      </c>
      <c r="C898" s="67" t="s">
        <v>302</v>
      </c>
      <c r="D898" s="59" t="s">
        <v>140</v>
      </c>
      <c r="E898" s="88"/>
      <c r="F898" s="89"/>
      <c r="G898" s="89"/>
      <c r="H898" s="77" t="s">
        <v>76</v>
      </c>
      <c r="I898" s="82">
        <v>12000</v>
      </c>
      <c r="J898" s="84"/>
      <c r="K898" s="85"/>
      <c r="L898" s="89"/>
      <c r="M898" s="89"/>
    </row>
    <row r="899" s="59" customFormat="1" spans="1:13">
      <c r="A899" s="74">
        <v>898</v>
      </c>
      <c r="B899" s="66" t="s">
        <v>67</v>
      </c>
      <c r="C899" s="67" t="s">
        <v>302</v>
      </c>
      <c r="D899" s="59" t="s">
        <v>141</v>
      </c>
      <c r="E899" s="88"/>
      <c r="F899" s="89"/>
      <c r="G899" s="89"/>
      <c r="H899" s="77" t="s">
        <v>71</v>
      </c>
      <c r="I899" s="78">
        <v>16000</v>
      </c>
      <c r="J899" s="84"/>
      <c r="K899" s="85"/>
      <c r="L899" s="89"/>
      <c r="M899" s="89"/>
    </row>
    <row r="900" s="59" customFormat="1" spans="1:13">
      <c r="A900" s="74">
        <v>899</v>
      </c>
      <c r="B900" s="66" t="s">
        <v>67</v>
      </c>
      <c r="C900" s="67" t="s">
        <v>302</v>
      </c>
      <c r="D900" s="59" t="s">
        <v>142</v>
      </c>
      <c r="E900" s="88"/>
      <c r="F900" s="89"/>
      <c r="G900" s="89"/>
      <c r="H900" s="77" t="s">
        <v>76</v>
      </c>
      <c r="I900" s="82">
        <v>12000</v>
      </c>
      <c r="J900" s="84"/>
      <c r="K900" s="85"/>
      <c r="L900" s="89"/>
      <c r="M900" s="89"/>
    </row>
    <row r="901" s="59" customFormat="1" spans="1:13">
      <c r="A901" s="74">
        <v>900</v>
      </c>
      <c r="B901" s="66" t="s">
        <v>67</v>
      </c>
      <c r="C901" s="67" t="s">
        <v>302</v>
      </c>
      <c r="D901" s="59" t="s">
        <v>143</v>
      </c>
      <c r="E901" s="88"/>
      <c r="F901" s="89"/>
      <c r="G901" s="89"/>
      <c r="H901" s="77" t="s">
        <v>76</v>
      </c>
      <c r="I901" s="82">
        <v>12000</v>
      </c>
      <c r="J901" s="84"/>
      <c r="K901" s="85"/>
      <c r="L901" s="89"/>
      <c r="M901" s="89"/>
    </row>
    <row r="902" s="59" customFormat="1" spans="1:13">
      <c r="A902" s="74">
        <v>901</v>
      </c>
      <c r="B902" s="66" t="s">
        <v>67</v>
      </c>
      <c r="C902" s="67" t="s">
        <v>302</v>
      </c>
      <c r="D902" s="59" t="s">
        <v>144</v>
      </c>
      <c r="E902" s="88"/>
      <c r="F902" s="89"/>
      <c r="G902" s="89"/>
      <c r="H902" s="77" t="s">
        <v>76</v>
      </c>
      <c r="I902" s="82">
        <v>12000</v>
      </c>
      <c r="J902" s="84"/>
      <c r="K902" s="85"/>
      <c r="L902" s="89"/>
      <c r="M902" s="89"/>
    </row>
    <row r="903" s="59" customFormat="1" spans="1:13">
      <c r="A903" s="74">
        <v>902</v>
      </c>
      <c r="B903" s="66" t="s">
        <v>67</v>
      </c>
      <c r="C903" s="67" t="s">
        <v>302</v>
      </c>
      <c r="D903" s="59" t="s">
        <v>145</v>
      </c>
      <c r="E903" s="88"/>
      <c r="F903" s="89"/>
      <c r="G903" s="89"/>
      <c r="H903" s="77" t="s">
        <v>76</v>
      </c>
      <c r="I903" s="82">
        <v>12000</v>
      </c>
      <c r="J903" s="84"/>
      <c r="K903" s="85"/>
      <c r="L903" s="89"/>
      <c r="M903" s="89"/>
    </row>
    <row r="904" s="59" customFormat="1" spans="1:13">
      <c r="A904" s="74">
        <v>903</v>
      </c>
      <c r="B904" s="66" t="s">
        <v>67</v>
      </c>
      <c r="C904" s="67" t="s">
        <v>302</v>
      </c>
      <c r="D904" s="59" t="s">
        <v>146</v>
      </c>
      <c r="E904" s="88"/>
      <c r="F904" s="89"/>
      <c r="G904" s="89"/>
      <c r="H904" s="77" t="s">
        <v>76</v>
      </c>
      <c r="I904" s="82">
        <v>12000</v>
      </c>
      <c r="J904" s="84"/>
      <c r="K904" s="85"/>
      <c r="L904" s="89"/>
      <c r="M904" s="89"/>
    </row>
    <row r="905" s="59" customFormat="1" spans="1:13">
      <c r="A905" s="74">
        <v>904</v>
      </c>
      <c r="B905" s="66" t="s">
        <v>67</v>
      </c>
      <c r="C905" s="67" t="s">
        <v>302</v>
      </c>
      <c r="D905" s="59" t="s">
        <v>147</v>
      </c>
      <c r="E905" s="88"/>
      <c r="H905" s="77" t="s">
        <v>76</v>
      </c>
      <c r="I905" s="82">
        <v>12000</v>
      </c>
      <c r="K905" s="85"/>
      <c r="L905" s="86"/>
      <c r="M905" s="87"/>
    </row>
    <row r="906" s="59" customFormat="1" spans="1:13">
      <c r="A906" s="74">
        <v>905</v>
      </c>
      <c r="B906" s="66" t="s">
        <v>67</v>
      </c>
      <c r="C906" s="67" t="s">
        <v>302</v>
      </c>
      <c r="D906" s="59" t="s">
        <v>148</v>
      </c>
      <c r="E906" s="88"/>
      <c r="H906" s="77" t="s">
        <v>76</v>
      </c>
      <c r="I906" s="82">
        <v>12000</v>
      </c>
      <c r="K906" s="85"/>
      <c r="L906" s="86"/>
      <c r="M906" s="87"/>
    </row>
    <row r="907" s="59" customFormat="1" spans="1:13">
      <c r="A907" s="74">
        <v>906</v>
      </c>
      <c r="B907" s="66" t="s">
        <v>67</v>
      </c>
      <c r="C907" s="67" t="s">
        <v>302</v>
      </c>
      <c r="D907" s="59" t="s">
        <v>149</v>
      </c>
      <c r="E907" s="88"/>
      <c r="H907" s="77" t="s">
        <v>76</v>
      </c>
      <c r="I907" s="82">
        <v>12000</v>
      </c>
      <c r="K907" s="85"/>
      <c r="L907" s="86"/>
      <c r="M907" s="87"/>
    </row>
    <row r="908" s="59" customFormat="1" spans="1:13">
      <c r="A908" s="74">
        <v>907</v>
      </c>
      <c r="B908" s="66" t="s">
        <v>67</v>
      </c>
      <c r="C908" s="67" t="s">
        <v>302</v>
      </c>
      <c r="D908" s="59" t="s">
        <v>150</v>
      </c>
      <c r="E908" s="88"/>
      <c r="H908" s="77" t="s">
        <v>76</v>
      </c>
      <c r="I908" s="82">
        <v>12000</v>
      </c>
      <c r="K908" s="85"/>
      <c r="L908" s="86"/>
      <c r="M908" s="87"/>
    </row>
    <row r="909" s="59" customFormat="1" spans="1:13">
      <c r="A909" s="74">
        <v>908</v>
      </c>
      <c r="B909" s="66" t="s">
        <v>67</v>
      </c>
      <c r="C909" s="67" t="s">
        <v>302</v>
      </c>
      <c r="D909" s="59" t="s">
        <v>151</v>
      </c>
      <c r="E909" s="88"/>
      <c r="H909" s="77" t="s">
        <v>76</v>
      </c>
      <c r="I909" s="82">
        <v>12000</v>
      </c>
      <c r="K909" s="85"/>
      <c r="L909" s="86"/>
      <c r="M909" s="87"/>
    </row>
    <row r="910" s="59" customFormat="1" spans="1:13">
      <c r="A910" s="74">
        <v>909</v>
      </c>
      <c r="B910" s="66" t="s">
        <v>67</v>
      </c>
      <c r="C910" s="67" t="s">
        <v>302</v>
      </c>
      <c r="D910" s="59" t="s">
        <v>152</v>
      </c>
      <c r="E910" s="88"/>
      <c r="H910" s="77" t="s">
        <v>76</v>
      </c>
      <c r="I910" s="82">
        <v>12000</v>
      </c>
      <c r="K910" s="85"/>
      <c r="L910" s="86"/>
      <c r="M910" s="87"/>
    </row>
    <row r="911" s="59" customFormat="1" spans="1:13">
      <c r="A911" s="74">
        <v>910</v>
      </c>
      <c r="B911" s="66" t="s">
        <v>67</v>
      </c>
      <c r="C911" s="67" t="s">
        <v>302</v>
      </c>
      <c r="D911" s="59" t="s">
        <v>153</v>
      </c>
      <c r="E911" s="88"/>
      <c r="H911" s="77" t="s">
        <v>76</v>
      </c>
      <c r="I911" s="82">
        <v>12000</v>
      </c>
      <c r="K911" s="85"/>
      <c r="L911" s="86"/>
      <c r="M911" s="87"/>
    </row>
    <row r="912" s="59" customFormat="1" spans="1:13">
      <c r="A912" s="74">
        <v>911</v>
      </c>
      <c r="B912" s="66" t="s">
        <v>67</v>
      </c>
      <c r="C912" s="67" t="s">
        <v>302</v>
      </c>
      <c r="D912" s="59" t="s">
        <v>154</v>
      </c>
      <c r="E912" s="88"/>
      <c r="H912" s="77" t="s">
        <v>76</v>
      </c>
      <c r="I912" s="82">
        <v>12000</v>
      </c>
      <c r="K912" s="85"/>
      <c r="L912" s="86"/>
      <c r="M912" s="87"/>
    </row>
    <row r="913" s="59" customFormat="1" spans="1:13">
      <c r="A913" s="74">
        <v>912</v>
      </c>
      <c r="B913" s="66" t="s">
        <v>67</v>
      </c>
      <c r="C913" s="67" t="s">
        <v>302</v>
      </c>
      <c r="D913" s="59" t="s">
        <v>155</v>
      </c>
      <c r="E913" s="88"/>
      <c r="H913" s="77" t="s">
        <v>76</v>
      </c>
      <c r="I913" s="82">
        <v>12000</v>
      </c>
      <c r="K913" s="85"/>
      <c r="L913" s="86"/>
      <c r="M913" s="87"/>
    </row>
    <row r="914" s="59" customFormat="1" spans="1:13">
      <c r="A914" s="74">
        <v>913</v>
      </c>
      <c r="B914" s="66" t="s">
        <v>67</v>
      </c>
      <c r="C914" s="67" t="s">
        <v>302</v>
      </c>
      <c r="D914" s="59" t="s">
        <v>156</v>
      </c>
      <c r="E914" s="88"/>
      <c r="H914" s="77" t="s">
        <v>76</v>
      </c>
      <c r="I914" s="82">
        <v>12000</v>
      </c>
      <c r="K914" s="85"/>
      <c r="L914" s="86"/>
      <c r="M914" s="87"/>
    </row>
    <row r="915" s="59" customFormat="1" spans="1:13">
      <c r="A915" s="74">
        <v>914</v>
      </c>
      <c r="B915" s="66" t="s">
        <v>67</v>
      </c>
      <c r="C915" s="67" t="s">
        <v>302</v>
      </c>
      <c r="D915" s="59" t="s">
        <v>157</v>
      </c>
      <c r="E915" s="88"/>
      <c r="F915" s="89"/>
      <c r="G915" s="89"/>
      <c r="H915" s="77" t="s">
        <v>76</v>
      </c>
      <c r="I915" s="82">
        <v>12000</v>
      </c>
      <c r="J915" s="84"/>
      <c r="K915" s="85"/>
      <c r="L915" s="89"/>
      <c r="M915" s="89"/>
    </row>
    <row r="916" s="59" customFormat="1" spans="1:13">
      <c r="A916" s="74">
        <v>915</v>
      </c>
      <c r="B916" s="66" t="s">
        <v>67</v>
      </c>
      <c r="C916" s="67" t="s">
        <v>302</v>
      </c>
      <c r="D916" s="59" t="s">
        <v>158</v>
      </c>
      <c r="E916" s="88"/>
      <c r="F916" s="89"/>
      <c r="G916" s="89"/>
      <c r="H916" s="77" t="s">
        <v>76</v>
      </c>
      <c r="I916" s="82">
        <v>12000</v>
      </c>
      <c r="J916" s="84"/>
      <c r="K916" s="85"/>
      <c r="L916" s="89"/>
      <c r="M916" s="89"/>
    </row>
    <row r="917" s="59" customFormat="1" spans="1:13">
      <c r="A917" s="74">
        <v>916</v>
      </c>
      <c r="B917" s="66" t="s">
        <v>67</v>
      </c>
      <c r="C917" s="67" t="s">
        <v>302</v>
      </c>
      <c r="D917" s="59" t="s">
        <v>159</v>
      </c>
      <c r="E917" s="88"/>
      <c r="F917" s="89"/>
      <c r="G917" s="89"/>
      <c r="H917" s="77" t="s">
        <v>76</v>
      </c>
      <c r="I917" s="82">
        <v>12000</v>
      </c>
      <c r="J917" s="84"/>
      <c r="K917" s="85"/>
      <c r="L917" s="89"/>
      <c r="M917" s="89"/>
    </row>
    <row r="918" s="59" customFormat="1" spans="1:13">
      <c r="A918" s="74">
        <v>917</v>
      </c>
      <c r="B918" s="66" t="s">
        <v>67</v>
      </c>
      <c r="C918" s="67" t="s">
        <v>302</v>
      </c>
      <c r="D918" s="59" t="s">
        <v>160</v>
      </c>
      <c r="E918" s="88"/>
      <c r="F918" s="89"/>
      <c r="G918" s="89"/>
      <c r="H918" s="77" t="s">
        <v>76</v>
      </c>
      <c r="I918" s="82">
        <v>12000</v>
      </c>
      <c r="J918" s="84"/>
      <c r="K918" s="85"/>
      <c r="L918" s="89"/>
      <c r="M918" s="89"/>
    </row>
    <row r="919" s="59" customFormat="1" spans="1:13">
      <c r="A919" s="74">
        <v>918</v>
      </c>
      <c r="B919" s="66" t="s">
        <v>67</v>
      </c>
      <c r="C919" s="67" t="s">
        <v>302</v>
      </c>
      <c r="D919" s="59" t="s">
        <v>161</v>
      </c>
      <c r="E919" s="88"/>
      <c r="F919" s="89"/>
      <c r="G919" s="89"/>
      <c r="H919" s="77" t="s">
        <v>76</v>
      </c>
      <c r="I919" s="82">
        <v>12000</v>
      </c>
      <c r="J919" s="84"/>
      <c r="K919" s="85"/>
      <c r="L919" s="89"/>
      <c r="M919" s="89"/>
    </row>
    <row r="920" s="59" customFormat="1" spans="1:13">
      <c r="A920" s="74">
        <v>919</v>
      </c>
      <c r="B920" s="66" t="s">
        <v>67</v>
      </c>
      <c r="C920" s="67" t="s">
        <v>302</v>
      </c>
      <c r="D920" s="59" t="s">
        <v>162</v>
      </c>
      <c r="E920" s="88"/>
      <c r="F920" s="89"/>
      <c r="G920" s="89"/>
      <c r="H920" s="77" t="s">
        <v>76</v>
      </c>
      <c r="I920" s="82">
        <v>12000</v>
      </c>
      <c r="J920" s="84"/>
      <c r="K920" s="85"/>
      <c r="L920" s="89"/>
      <c r="M920" s="89"/>
    </row>
    <row r="921" s="59" customFormat="1" spans="1:13">
      <c r="A921" s="74">
        <v>920</v>
      </c>
      <c r="B921" s="66" t="s">
        <v>67</v>
      </c>
      <c r="C921" s="67" t="s">
        <v>302</v>
      </c>
      <c r="D921" s="59" t="s">
        <v>163</v>
      </c>
      <c r="E921" s="88"/>
      <c r="F921" s="89"/>
      <c r="G921" s="89"/>
      <c r="H921" s="77" t="s">
        <v>76</v>
      </c>
      <c r="I921" s="82">
        <v>12000</v>
      </c>
      <c r="J921" s="84"/>
      <c r="K921" s="85"/>
      <c r="L921" s="89"/>
      <c r="M921" s="89"/>
    </row>
    <row r="922" s="59" customFormat="1" spans="1:13">
      <c r="A922" s="74">
        <v>921</v>
      </c>
      <c r="B922" s="66" t="s">
        <v>67</v>
      </c>
      <c r="C922" s="67" t="s">
        <v>302</v>
      </c>
      <c r="D922" s="59" t="s">
        <v>164</v>
      </c>
      <c r="E922" s="88"/>
      <c r="F922" s="89"/>
      <c r="G922" s="89"/>
      <c r="H922" s="77" t="s">
        <v>71</v>
      </c>
      <c r="I922" s="78">
        <v>16000</v>
      </c>
      <c r="J922" s="84"/>
      <c r="K922" s="85"/>
      <c r="L922" s="89"/>
      <c r="M922" s="89"/>
    </row>
    <row r="923" s="59" customFormat="1" spans="1:13">
      <c r="A923" s="74">
        <v>922</v>
      </c>
      <c r="B923" s="66" t="s">
        <v>67</v>
      </c>
      <c r="C923" s="67" t="s">
        <v>302</v>
      </c>
      <c r="D923" s="59" t="s">
        <v>165</v>
      </c>
      <c r="E923" s="88"/>
      <c r="F923" s="89"/>
      <c r="G923" s="89"/>
      <c r="H923" s="77" t="s">
        <v>76</v>
      </c>
      <c r="I923" s="82">
        <v>12000</v>
      </c>
      <c r="J923" s="84"/>
      <c r="K923" s="85"/>
      <c r="L923" s="89"/>
      <c r="M923" s="89"/>
    </row>
    <row r="924" s="59" customFormat="1" spans="1:13">
      <c r="A924" s="74">
        <v>923</v>
      </c>
      <c r="B924" s="66" t="s">
        <v>67</v>
      </c>
      <c r="C924" s="67" t="s">
        <v>302</v>
      </c>
      <c r="D924" s="59" t="s">
        <v>166</v>
      </c>
      <c r="E924" s="88"/>
      <c r="H924" s="77" t="s">
        <v>76</v>
      </c>
      <c r="I924" s="82">
        <v>12000</v>
      </c>
      <c r="K924" s="85"/>
      <c r="L924" s="86"/>
      <c r="M924" s="87"/>
    </row>
    <row r="925" s="59" customFormat="1" spans="1:13">
      <c r="A925" s="74">
        <v>924</v>
      </c>
      <c r="B925" s="66" t="s">
        <v>67</v>
      </c>
      <c r="C925" s="67" t="s">
        <v>302</v>
      </c>
      <c r="D925" s="59" t="s">
        <v>167</v>
      </c>
      <c r="E925" s="88"/>
      <c r="H925" s="77" t="s">
        <v>76</v>
      </c>
      <c r="I925" s="82">
        <v>12000</v>
      </c>
      <c r="K925" s="85"/>
      <c r="L925" s="86"/>
      <c r="M925" s="87"/>
    </row>
    <row r="926" s="59" customFormat="1" spans="1:13">
      <c r="A926" s="74">
        <v>925</v>
      </c>
      <c r="B926" s="66" t="s">
        <v>67</v>
      </c>
      <c r="C926" s="67" t="s">
        <v>302</v>
      </c>
      <c r="D926" s="59" t="s">
        <v>168</v>
      </c>
      <c r="E926" s="88"/>
      <c r="H926" s="77" t="s">
        <v>76</v>
      </c>
      <c r="I926" s="82">
        <v>12000</v>
      </c>
      <c r="K926" s="85"/>
      <c r="L926" s="86"/>
      <c r="M926" s="87"/>
    </row>
    <row r="927" s="59" customFormat="1" spans="1:13">
      <c r="A927" s="74">
        <v>926</v>
      </c>
      <c r="B927" s="66" t="s">
        <v>67</v>
      </c>
      <c r="C927" s="67" t="s">
        <v>302</v>
      </c>
      <c r="D927" s="59" t="s">
        <v>169</v>
      </c>
      <c r="E927" s="88"/>
      <c r="H927" s="77" t="s">
        <v>76</v>
      </c>
      <c r="I927" s="82">
        <v>12000</v>
      </c>
      <c r="K927" s="85"/>
      <c r="L927" s="86"/>
      <c r="M927" s="87"/>
    </row>
    <row r="928" s="59" customFormat="1" spans="1:13">
      <c r="A928" s="74">
        <v>927</v>
      </c>
      <c r="B928" s="66" t="s">
        <v>67</v>
      </c>
      <c r="C928" s="67" t="s">
        <v>302</v>
      </c>
      <c r="D928" s="59" t="s">
        <v>170</v>
      </c>
      <c r="E928" s="88"/>
      <c r="H928" s="77" t="s">
        <v>76</v>
      </c>
      <c r="I928" s="82">
        <v>12000</v>
      </c>
      <c r="K928" s="85"/>
      <c r="L928" s="86"/>
      <c r="M928" s="87"/>
    </row>
    <row r="929" s="59" customFormat="1" spans="1:13">
      <c r="A929" s="74">
        <v>928</v>
      </c>
      <c r="B929" s="66" t="s">
        <v>67</v>
      </c>
      <c r="C929" s="67" t="s">
        <v>302</v>
      </c>
      <c r="D929" s="59" t="s">
        <v>171</v>
      </c>
      <c r="E929" s="88"/>
      <c r="H929" s="77" t="s">
        <v>76</v>
      </c>
      <c r="I929" s="82">
        <v>12000</v>
      </c>
      <c r="K929" s="85"/>
      <c r="L929" s="86"/>
      <c r="M929" s="87"/>
    </row>
    <row r="930" s="59" customFormat="1" spans="1:13">
      <c r="A930" s="74">
        <v>929</v>
      </c>
      <c r="B930" s="66" t="s">
        <v>67</v>
      </c>
      <c r="C930" s="67" t="s">
        <v>302</v>
      </c>
      <c r="D930" s="59" t="s">
        <v>172</v>
      </c>
      <c r="E930" s="88"/>
      <c r="H930" s="77" t="s">
        <v>76</v>
      </c>
      <c r="I930" s="82">
        <v>12000</v>
      </c>
      <c r="K930" s="85"/>
      <c r="L930" s="86"/>
      <c r="M930" s="87"/>
    </row>
    <row r="931" s="59" customFormat="1" spans="1:13">
      <c r="A931" s="74">
        <v>930</v>
      </c>
      <c r="B931" s="66" t="s">
        <v>67</v>
      </c>
      <c r="C931" s="67" t="s">
        <v>302</v>
      </c>
      <c r="D931" s="59" t="s">
        <v>173</v>
      </c>
      <c r="E931" s="88"/>
      <c r="F931" s="89"/>
      <c r="G931" s="89"/>
      <c r="H931" s="77" t="s">
        <v>76</v>
      </c>
      <c r="I931" s="82">
        <v>12000</v>
      </c>
      <c r="J931" s="84"/>
      <c r="K931" s="85"/>
      <c r="L931" s="89"/>
      <c r="M931" s="89"/>
    </row>
    <row r="932" s="59" customFormat="1" spans="1:13">
      <c r="A932" s="74">
        <v>931</v>
      </c>
      <c r="B932" s="66" t="s">
        <v>67</v>
      </c>
      <c r="C932" s="67" t="s">
        <v>302</v>
      </c>
      <c r="D932" s="59" t="s">
        <v>174</v>
      </c>
      <c r="E932" s="88"/>
      <c r="F932" s="89"/>
      <c r="G932" s="89"/>
      <c r="H932" s="77" t="s">
        <v>76</v>
      </c>
      <c r="I932" s="82">
        <v>12000</v>
      </c>
      <c r="J932" s="84"/>
      <c r="K932" s="85"/>
      <c r="L932" s="89"/>
      <c r="M932" s="89"/>
    </row>
    <row r="933" s="59" customFormat="1" spans="1:13">
      <c r="A933" s="74">
        <v>932</v>
      </c>
      <c r="B933" s="66" t="s">
        <v>67</v>
      </c>
      <c r="C933" s="67" t="s">
        <v>302</v>
      </c>
      <c r="D933" s="59" t="s">
        <v>175</v>
      </c>
      <c r="E933" s="88"/>
      <c r="F933" s="89"/>
      <c r="G933" s="89"/>
      <c r="H933" s="77" t="s">
        <v>76</v>
      </c>
      <c r="I933" s="82">
        <v>12000</v>
      </c>
      <c r="J933" s="84"/>
      <c r="K933" s="85"/>
      <c r="L933" s="89"/>
      <c r="M933" s="89"/>
    </row>
    <row r="934" s="59" customFormat="1" spans="1:13">
      <c r="A934" s="74">
        <v>933</v>
      </c>
      <c r="B934" s="66" t="s">
        <v>67</v>
      </c>
      <c r="C934" s="67" t="s">
        <v>302</v>
      </c>
      <c r="D934" s="59" t="s">
        <v>176</v>
      </c>
      <c r="E934" s="88"/>
      <c r="F934" s="89"/>
      <c r="G934" s="89"/>
      <c r="H934" s="77" t="s">
        <v>76</v>
      </c>
      <c r="I934" s="82">
        <v>12000</v>
      </c>
      <c r="J934" s="84"/>
      <c r="K934" s="85"/>
      <c r="L934" s="89"/>
      <c r="M934" s="89"/>
    </row>
    <row r="935" s="59" customFormat="1" spans="1:13">
      <c r="A935" s="74">
        <v>934</v>
      </c>
      <c r="B935" s="66" t="s">
        <v>67</v>
      </c>
      <c r="C935" s="67" t="s">
        <v>302</v>
      </c>
      <c r="D935" s="59" t="s">
        <v>177</v>
      </c>
      <c r="E935" s="88"/>
      <c r="F935" s="89"/>
      <c r="G935" s="89"/>
      <c r="H935" s="77" t="s">
        <v>76</v>
      </c>
      <c r="I935" s="82">
        <v>12000</v>
      </c>
      <c r="J935" s="84"/>
      <c r="K935" s="85"/>
      <c r="L935" s="89"/>
      <c r="M935" s="89"/>
    </row>
    <row r="936" s="59" customFormat="1" spans="1:13">
      <c r="A936" s="74">
        <v>935</v>
      </c>
      <c r="B936" s="66" t="s">
        <v>67</v>
      </c>
      <c r="C936" s="67" t="s">
        <v>302</v>
      </c>
      <c r="D936" s="59" t="s">
        <v>178</v>
      </c>
      <c r="E936" s="88"/>
      <c r="F936" s="89"/>
      <c r="G936" s="89"/>
      <c r="H936" s="77" t="s">
        <v>76</v>
      </c>
      <c r="I936" s="82">
        <v>12000</v>
      </c>
      <c r="J936" s="84"/>
      <c r="K936" s="85"/>
      <c r="L936" s="89"/>
      <c r="M936" s="89"/>
    </row>
    <row r="937" s="59" customFormat="1" spans="1:13">
      <c r="A937" s="74">
        <v>936</v>
      </c>
      <c r="B937" s="66" t="s">
        <v>67</v>
      </c>
      <c r="C937" s="67" t="s">
        <v>302</v>
      </c>
      <c r="D937" s="59" t="s">
        <v>179</v>
      </c>
      <c r="E937" s="88"/>
      <c r="F937" s="89"/>
      <c r="G937" s="89"/>
      <c r="H937" s="77" t="s">
        <v>76</v>
      </c>
      <c r="I937" s="82">
        <v>12000</v>
      </c>
      <c r="J937" s="84"/>
      <c r="K937" s="85"/>
      <c r="L937" s="89"/>
      <c r="M937" s="89"/>
    </row>
    <row r="938" s="59" customFormat="1" spans="1:13">
      <c r="A938" s="74">
        <v>937</v>
      </c>
      <c r="B938" s="66" t="s">
        <v>67</v>
      </c>
      <c r="C938" s="67" t="s">
        <v>302</v>
      </c>
      <c r="D938" s="59" t="s">
        <v>180</v>
      </c>
      <c r="E938" s="88"/>
      <c r="F938" s="89"/>
      <c r="G938" s="89"/>
      <c r="H938" s="77" t="s">
        <v>76</v>
      </c>
      <c r="I938" s="82">
        <v>12000</v>
      </c>
      <c r="J938" s="84"/>
      <c r="K938" s="85"/>
      <c r="L938" s="89"/>
      <c r="M938" s="89"/>
    </row>
    <row r="939" s="59" customFormat="1" spans="1:13">
      <c r="A939" s="74">
        <v>938</v>
      </c>
      <c r="B939" s="66" t="s">
        <v>67</v>
      </c>
      <c r="C939" s="67" t="s">
        <v>302</v>
      </c>
      <c r="D939" s="59" t="s">
        <v>181</v>
      </c>
      <c r="E939" s="88"/>
      <c r="F939" s="89"/>
      <c r="G939" s="89"/>
      <c r="H939" s="77" t="s">
        <v>76</v>
      </c>
      <c r="I939" s="82">
        <v>12000</v>
      </c>
      <c r="J939" s="84"/>
      <c r="K939" s="85"/>
      <c r="L939" s="89"/>
      <c r="M939" s="89"/>
    </row>
    <row r="940" s="59" customFormat="1" spans="1:13">
      <c r="A940" s="74">
        <v>939</v>
      </c>
      <c r="B940" s="66" t="s">
        <v>67</v>
      </c>
      <c r="C940" s="67" t="s">
        <v>302</v>
      </c>
      <c r="D940" s="59" t="s">
        <v>182</v>
      </c>
      <c r="E940" s="88"/>
      <c r="H940" s="77" t="s">
        <v>76</v>
      </c>
      <c r="I940" s="82">
        <v>12000</v>
      </c>
      <c r="K940" s="85"/>
      <c r="L940" s="86"/>
      <c r="M940" s="87"/>
    </row>
    <row r="941" s="59" customFormat="1" spans="1:13">
      <c r="A941" s="74">
        <v>940</v>
      </c>
      <c r="B941" s="66" t="s">
        <v>67</v>
      </c>
      <c r="C941" s="67" t="s">
        <v>302</v>
      </c>
      <c r="D941" s="59" t="s">
        <v>183</v>
      </c>
      <c r="E941" s="88"/>
      <c r="H941" s="77" t="s">
        <v>76</v>
      </c>
      <c r="I941" s="82">
        <v>12000</v>
      </c>
      <c r="K941" s="85"/>
      <c r="L941" s="86"/>
      <c r="M941" s="87"/>
    </row>
    <row r="942" s="59" customFormat="1" spans="1:13">
      <c r="A942" s="74">
        <v>941</v>
      </c>
      <c r="B942" s="66" t="s">
        <v>67</v>
      </c>
      <c r="C942" s="67" t="s">
        <v>302</v>
      </c>
      <c r="D942" s="59" t="s">
        <v>184</v>
      </c>
      <c r="E942" s="88"/>
      <c r="H942" s="77" t="s">
        <v>76</v>
      </c>
      <c r="I942" s="82">
        <v>12000</v>
      </c>
      <c r="K942" s="85"/>
      <c r="L942" s="86"/>
      <c r="M942" s="87"/>
    </row>
    <row r="943" s="59" customFormat="1" spans="1:13">
      <c r="A943" s="74">
        <v>942</v>
      </c>
      <c r="B943" s="66" t="s">
        <v>67</v>
      </c>
      <c r="C943" s="67" t="s">
        <v>302</v>
      </c>
      <c r="D943" s="59" t="s">
        <v>185</v>
      </c>
      <c r="E943" s="88"/>
      <c r="H943" s="77" t="s">
        <v>71</v>
      </c>
      <c r="I943" s="78">
        <v>16000</v>
      </c>
      <c r="K943" s="85"/>
      <c r="L943" s="86"/>
      <c r="M943" s="87"/>
    </row>
    <row r="944" s="59" customFormat="1" spans="1:13">
      <c r="A944" s="74">
        <v>943</v>
      </c>
      <c r="B944" s="66" t="s">
        <v>67</v>
      </c>
      <c r="C944" s="67" t="s">
        <v>302</v>
      </c>
      <c r="D944" s="59" t="s">
        <v>186</v>
      </c>
      <c r="E944" s="88"/>
      <c r="H944" s="77" t="s">
        <v>76</v>
      </c>
      <c r="I944" s="82">
        <v>12000</v>
      </c>
      <c r="K944" s="85"/>
      <c r="L944" s="86"/>
      <c r="M944" s="87"/>
    </row>
    <row r="945" s="59" customFormat="1" spans="1:13">
      <c r="A945" s="74">
        <v>944</v>
      </c>
      <c r="B945" s="66" t="s">
        <v>67</v>
      </c>
      <c r="C945" s="67" t="s">
        <v>302</v>
      </c>
      <c r="D945" s="59" t="s">
        <v>187</v>
      </c>
      <c r="E945" s="88"/>
      <c r="H945" s="77" t="s">
        <v>76</v>
      </c>
      <c r="I945" s="82">
        <v>12000</v>
      </c>
      <c r="K945" s="85"/>
      <c r="L945" s="86"/>
      <c r="M945" s="87"/>
    </row>
    <row r="946" s="59" customFormat="1" spans="1:13">
      <c r="A946" s="74">
        <v>945</v>
      </c>
      <c r="B946" s="66" t="s">
        <v>67</v>
      </c>
      <c r="C946" s="67" t="s">
        <v>302</v>
      </c>
      <c r="D946" s="59" t="s">
        <v>188</v>
      </c>
      <c r="E946" s="88"/>
      <c r="H946" s="77" t="s">
        <v>76</v>
      </c>
      <c r="I946" s="82">
        <v>12000</v>
      </c>
      <c r="K946" s="85"/>
      <c r="L946" s="86"/>
      <c r="M946" s="87"/>
    </row>
    <row r="947" s="59" customFormat="1" spans="1:13">
      <c r="A947" s="74">
        <v>946</v>
      </c>
      <c r="B947" s="66" t="s">
        <v>67</v>
      </c>
      <c r="C947" s="67" t="s">
        <v>302</v>
      </c>
      <c r="D947" s="59" t="s">
        <v>189</v>
      </c>
      <c r="E947" s="88"/>
      <c r="H947" s="77" t="s">
        <v>76</v>
      </c>
      <c r="I947" s="82">
        <v>12000</v>
      </c>
      <c r="K947" s="85"/>
      <c r="L947" s="86"/>
      <c r="M947" s="87"/>
    </row>
    <row r="948" s="59" customFormat="1" spans="1:13">
      <c r="A948" s="74">
        <v>947</v>
      </c>
      <c r="B948" s="66" t="s">
        <v>67</v>
      </c>
      <c r="C948" s="67" t="s">
        <v>302</v>
      </c>
      <c r="D948" s="59" t="s">
        <v>190</v>
      </c>
      <c r="E948" s="88"/>
      <c r="H948" s="77" t="s">
        <v>76</v>
      </c>
      <c r="I948" s="82">
        <v>12000</v>
      </c>
      <c r="K948" s="85"/>
      <c r="L948" s="86"/>
      <c r="M948" s="87"/>
    </row>
    <row r="949" s="59" customFormat="1" spans="1:13">
      <c r="A949" s="74">
        <v>948</v>
      </c>
      <c r="B949" s="66" t="s">
        <v>67</v>
      </c>
      <c r="C949" s="67" t="s">
        <v>302</v>
      </c>
      <c r="D949" s="59" t="s">
        <v>191</v>
      </c>
      <c r="E949" s="88"/>
      <c r="F949" s="89"/>
      <c r="G949" s="89"/>
      <c r="H949" s="77" t="s">
        <v>76</v>
      </c>
      <c r="I949" s="82">
        <v>12000</v>
      </c>
      <c r="J949" s="84"/>
      <c r="K949" s="85"/>
      <c r="L949" s="89"/>
      <c r="M949" s="89"/>
    </row>
    <row r="950" s="59" customFormat="1" spans="1:13">
      <c r="A950" s="74">
        <v>949</v>
      </c>
      <c r="B950" s="66" t="s">
        <v>67</v>
      </c>
      <c r="C950" s="67" t="s">
        <v>302</v>
      </c>
      <c r="D950" s="59" t="s">
        <v>192</v>
      </c>
      <c r="E950" s="88"/>
      <c r="F950" s="89"/>
      <c r="G950" s="89"/>
      <c r="H950" s="77" t="s">
        <v>76</v>
      </c>
      <c r="I950" s="82">
        <v>12000</v>
      </c>
      <c r="J950" s="84"/>
      <c r="K950" s="85"/>
      <c r="L950" s="89"/>
      <c r="M950" s="89"/>
    </row>
    <row r="951" s="59" customFormat="1" spans="1:13">
      <c r="A951" s="74">
        <v>950</v>
      </c>
      <c r="B951" s="66" t="s">
        <v>67</v>
      </c>
      <c r="C951" s="67" t="s">
        <v>302</v>
      </c>
      <c r="D951" s="59" t="s">
        <v>193</v>
      </c>
      <c r="E951" s="88"/>
      <c r="F951" s="89"/>
      <c r="G951" s="89"/>
      <c r="H951" s="77" t="s">
        <v>76</v>
      </c>
      <c r="I951" s="82">
        <v>12000</v>
      </c>
      <c r="J951" s="84"/>
      <c r="K951" s="85"/>
      <c r="L951" s="89"/>
      <c r="M951" s="89"/>
    </row>
    <row r="952" s="59" customFormat="1" spans="1:13">
      <c r="A952" s="74">
        <v>951</v>
      </c>
      <c r="B952" s="66" t="s">
        <v>67</v>
      </c>
      <c r="C952" s="67" t="s">
        <v>302</v>
      </c>
      <c r="D952" s="59" t="s">
        <v>194</v>
      </c>
      <c r="E952" s="88"/>
      <c r="F952" s="89"/>
      <c r="G952" s="89"/>
      <c r="H952" s="77" t="s">
        <v>76</v>
      </c>
      <c r="I952" s="82">
        <v>12000</v>
      </c>
      <c r="J952" s="84"/>
      <c r="K952" s="85"/>
      <c r="L952" s="89"/>
      <c r="M952" s="89"/>
    </row>
    <row r="953" s="59" customFormat="1" spans="1:13">
      <c r="A953" s="74">
        <v>952</v>
      </c>
      <c r="B953" s="66" t="s">
        <v>67</v>
      </c>
      <c r="C953" s="67" t="s">
        <v>302</v>
      </c>
      <c r="D953" s="59" t="s">
        <v>195</v>
      </c>
      <c r="E953" s="88"/>
      <c r="F953" s="89"/>
      <c r="G953" s="89"/>
      <c r="H953" s="77" t="s">
        <v>76</v>
      </c>
      <c r="I953" s="82">
        <v>12000</v>
      </c>
      <c r="J953" s="84"/>
      <c r="K953" s="85"/>
      <c r="L953" s="89"/>
      <c r="M953" s="89"/>
    </row>
    <row r="954" s="59" customFormat="1" spans="1:13">
      <c r="A954" s="74">
        <v>953</v>
      </c>
      <c r="B954" s="66" t="s">
        <v>67</v>
      </c>
      <c r="C954" s="67" t="s">
        <v>302</v>
      </c>
      <c r="D954" s="59" t="s">
        <v>196</v>
      </c>
      <c r="E954" s="88"/>
      <c r="F954" s="89"/>
      <c r="G954" s="89"/>
      <c r="H954" s="77" t="s">
        <v>76</v>
      </c>
      <c r="I954" s="82">
        <v>12000</v>
      </c>
      <c r="J954" s="84"/>
      <c r="K954" s="85"/>
      <c r="L954" s="89"/>
      <c r="M954" s="89"/>
    </row>
    <row r="955" s="59" customFormat="1" spans="1:13">
      <c r="A955" s="74">
        <v>954</v>
      </c>
      <c r="B955" s="66" t="s">
        <v>67</v>
      </c>
      <c r="C955" s="67" t="s">
        <v>302</v>
      </c>
      <c r="D955" s="59" t="s">
        <v>197</v>
      </c>
      <c r="E955" s="88"/>
      <c r="F955" s="89"/>
      <c r="G955" s="89"/>
      <c r="H955" s="77" t="s">
        <v>76</v>
      </c>
      <c r="I955" s="82">
        <v>12000</v>
      </c>
      <c r="J955" s="84"/>
      <c r="K955" s="85"/>
      <c r="L955" s="89"/>
      <c r="M955" s="89"/>
    </row>
    <row r="956" s="59" customFormat="1" spans="1:13">
      <c r="A956" s="74">
        <v>955</v>
      </c>
      <c r="B956" s="66" t="s">
        <v>67</v>
      </c>
      <c r="C956" s="67" t="s">
        <v>302</v>
      </c>
      <c r="D956" s="59" t="s">
        <v>198</v>
      </c>
      <c r="E956" s="88"/>
      <c r="F956" s="89"/>
      <c r="G956" s="89"/>
      <c r="H956" s="77" t="s">
        <v>76</v>
      </c>
      <c r="I956" s="82">
        <v>12000</v>
      </c>
      <c r="J956" s="84"/>
      <c r="K956" s="85"/>
      <c r="L956" s="89"/>
      <c r="M956" s="89"/>
    </row>
    <row r="957" s="59" customFormat="1" spans="1:13">
      <c r="A957" s="74">
        <v>956</v>
      </c>
      <c r="B957" s="66" t="s">
        <v>67</v>
      </c>
      <c r="C957" s="67" t="s">
        <v>302</v>
      </c>
      <c r="D957" s="59" t="s">
        <v>199</v>
      </c>
      <c r="E957" s="88"/>
      <c r="F957" s="89"/>
      <c r="G957" s="89"/>
      <c r="H957" s="77" t="s">
        <v>76</v>
      </c>
      <c r="I957" s="82">
        <v>12000</v>
      </c>
      <c r="J957" s="84"/>
      <c r="K957" s="85"/>
      <c r="L957" s="89"/>
      <c r="M957" s="89"/>
    </row>
    <row r="958" s="59" customFormat="1" spans="1:13">
      <c r="A958" s="74">
        <v>957</v>
      </c>
      <c r="B958" s="66" t="s">
        <v>67</v>
      </c>
      <c r="C958" s="67" t="s">
        <v>302</v>
      </c>
      <c r="D958" s="59" t="s">
        <v>200</v>
      </c>
      <c r="E958" s="88"/>
      <c r="H958" s="77" t="s">
        <v>76</v>
      </c>
      <c r="I958" s="82">
        <v>12000</v>
      </c>
      <c r="K958" s="85"/>
      <c r="L958" s="86"/>
      <c r="M958" s="87"/>
    </row>
    <row r="959" s="59" customFormat="1" spans="1:13">
      <c r="A959" s="74">
        <v>958</v>
      </c>
      <c r="B959" s="66" t="s">
        <v>67</v>
      </c>
      <c r="C959" s="67" t="s">
        <v>302</v>
      </c>
      <c r="D959" s="59" t="s">
        <v>201</v>
      </c>
      <c r="E959" s="88"/>
      <c r="H959" s="77" t="s">
        <v>76</v>
      </c>
      <c r="I959" s="82">
        <v>12000</v>
      </c>
      <c r="K959" s="85"/>
      <c r="L959" s="86"/>
      <c r="M959" s="87"/>
    </row>
    <row r="960" s="59" customFormat="1" spans="1:13">
      <c r="A960" s="74">
        <v>959</v>
      </c>
      <c r="B960" s="66" t="s">
        <v>67</v>
      </c>
      <c r="C960" s="67" t="s">
        <v>302</v>
      </c>
      <c r="D960" s="59" t="s">
        <v>202</v>
      </c>
      <c r="E960" s="88"/>
      <c r="H960" s="77" t="s">
        <v>76</v>
      </c>
      <c r="I960" s="82">
        <v>12000</v>
      </c>
      <c r="K960" s="85"/>
      <c r="L960" s="86"/>
      <c r="M960" s="87"/>
    </row>
    <row r="961" s="59" customFormat="1" spans="1:13">
      <c r="A961" s="74">
        <v>960</v>
      </c>
      <c r="B961" s="66" t="s">
        <v>67</v>
      </c>
      <c r="C961" s="67" t="s">
        <v>302</v>
      </c>
      <c r="D961" s="59" t="s">
        <v>203</v>
      </c>
      <c r="E961" s="88"/>
      <c r="H961" s="77" t="s">
        <v>76</v>
      </c>
      <c r="I961" s="82">
        <v>12000</v>
      </c>
      <c r="K961" s="85"/>
      <c r="L961" s="86"/>
      <c r="M961" s="87"/>
    </row>
    <row r="962" s="59" customFormat="1" spans="1:13">
      <c r="A962" s="74">
        <v>961</v>
      </c>
      <c r="B962" s="66" t="s">
        <v>67</v>
      </c>
      <c r="C962" s="67" t="s">
        <v>302</v>
      </c>
      <c r="D962" s="59" t="s">
        <v>204</v>
      </c>
      <c r="E962" s="88"/>
      <c r="H962" s="77" t="s">
        <v>76</v>
      </c>
      <c r="I962" s="82">
        <v>12000</v>
      </c>
      <c r="K962" s="85"/>
      <c r="L962" s="86"/>
      <c r="M962" s="87"/>
    </row>
    <row r="963" s="59" customFormat="1" spans="1:13">
      <c r="A963" s="74">
        <v>962</v>
      </c>
      <c r="B963" s="66" t="s">
        <v>67</v>
      </c>
      <c r="C963" s="67" t="s">
        <v>302</v>
      </c>
      <c r="D963" s="59" t="s">
        <v>205</v>
      </c>
      <c r="E963" s="88"/>
      <c r="H963" s="77" t="s">
        <v>76</v>
      </c>
      <c r="I963" s="82">
        <v>12000</v>
      </c>
      <c r="K963" s="85"/>
      <c r="L963" s="86"/>
      <c r="M963" s="87"/>
    </row>
    <row r="964" s="59" customFormat="1" spans="1:13">
      <c r="A964" s="74">
        <v>963</v>
      </c>
      <c r="B964" s="66" t="s">
        <v>67</v>
      </c>
      <c r="C964" s="67" t="s">
        <v>302</v>
      </c>
      <c r="D964" s="59" t="s">
        <v>206</v>
      </c>
      <c r="E964" s="88"/>
      <c r="H964" s="77" t="s">
        <v>76</v>
      </c>
      <c r="I964" s="82">
        <v>12000</v>
      </c>
      <c r="K964" s="85"/>
      <c r="L964" s="86"/>
      <c r="M964" s="87"/>
    </row>
    <row r="965" s="59" customFormat="1" spans="1:13">
      <c r="A965" s="74">
        <v>964</v>
      </c>
      <c r="B965" s="66" t="s">
        <v>67</v>
      </c>
      <c r="C965" s="67" t="s">
        <v>302</v>
      </c>
      <c r="D965" s="59" t="s">
        <v>207</v>
      </c>
      <c r="E965" s="88"/>
      <c r="F965" s="89"/>
      <c r="G965" s="89"/>
      <c r="H965" s="77" t="s">
        <v>76</v>
      </c>
      <c r="I965" s="82">
        <v>12000</v>
      </c>
      <c r="J965" s="84"/>
      <c r="K965" s="85"/>
      <c r="L965" s="89"/>
      <c r="M965" s="89"/>
    </row>
    <row r="966" s="59" customFormat="1" spans="1:13">
      <c r="A966" s="74">
        <v>965</v>
      </c>
      <c r="B966" s="66" t="s">
        <v>67</v>
      </c>
      <c r="C966" s="67" t="s">
        <v>302</v>
      </c>
      <c r="D966" s="59" t="s">
        <v>208</v>
      </c>
      <c r="E966" s="88"/>
      <c r="F966" s="89"/>
      <c r="G966" s="89"/>
      <c r="H966" s="77" t="s">
        <v>71</v>
      </c>
      <c r="I966" s="78">
        <v>16000</v>
      </c>
      <c r="J966" s="84"/>
      <c r="K966" s="85"/>
      <c r="L966" s="89"/>
      <c r="M966" s="89"/>
    </row>
    <row r="967" s="59" customFormat="1" spans="1:13">
      <c r="A967" s="74">
        <v>966</v>
      </c>
      <c r="B967" s="66" t="s">
        <v>67</v>
      </c>
      <c r="C967" s="67" t="s">
        <v>302</v>
      </c>
      <c r="D967" s="59" t="s">
        <v>209</v>
      </c>
      <c r="E967" s="88"/>
      <c r="F967" s="89"/>
      <c r="G967" s="89"/>
      <c r="H967" s="77" t="s">
        <v>76</v>
      </c>
      <c r="I967" s="82">
        <v>12000</v>
      </c>
      <c r="J967" s="84"/>
      <c r="K967" s="85"/>
      <c r="L967" s="89"/>
      <c r="M967" s="89"/>
    </row>
    <row r="968" s="59" customFormat="1" spans="1:13">
      <c r="A968" s="74">
        <v>967</v>
      </c>
      <c r="B968" s="66" t="s">
        <v>67</v>
      </c>
      <c r="C968" s="67" t="s">
        <v>302</v>
      </c>
      <c r="D968" s="59" t="s">
        <v>210</v>
      </c>
      <c r="E968" s="88"/>
      <c r="F968" s="89"/>
      <c r="G968" s="89"/>
      <c r="H968" s="77" t="s">
        <v>76</v>
      </c>
      <c r="I968" s="82">
        <v>12000</v>
      </c>
      <c r="J968" s="84"/>
      <c r="K968" s="85"/>
      <c r="L968" s="89"/>
      <c r="M968" s="89"/>
    </row>
    <row r="969" s="59" customFormat="1" spans="1:13">
      <c r="A969" s="74">
        <v>968</v>
      </c>
      <c r="B969" s="66" t="s">
        <v>67</v>
      </c>
      <c r="C969" s="67" t="s">
        <v>302</v>
      </c>
      <c r="D969" s="59" t="s">
        <v>211</v>
      </c>
      <c r="E969" s="88"/>
      <c r="F969" s="89"/>
      <c r="G969" s="89"/>
      <c r="H969" s="77" t="s">
        <v>76</v>
      </c>
      <c r="I969" s="82">
        <v>12000</v>
      </c>
      <c r="J969" s="84"/>
      <c r="K969" s="85"/>
      <c r="L969" s="89"/>
      <c r="M969" s="89"/>
    </row>
    <row r="970" s="59" customFormat="1" spans="1:13">
      <c r="A970" s="74">
        <v>969</v>
      </c>
      <c r="B970" s="66" t="s">
        <v>67</v>
      </c>
      <c r="C970" s="67" t="s">
        <v>302</v>
      </c>
      <c r="D970" s="59" t="s">
        <v>212</v>
      </c>
      <c r="E970" s="88"/>
      <c r="F970" s="89"/>
      <c r="G970" s="89"/>
      <c r="H970" s="77" t="s">
        <v>76</v>
      </c>
      <c r="I970" s="82">
        <v>12000</v>
      </c>
      <c r="J970" s="84"/>
      <c r="K970" s="85"/>
      <c r="L970" s="89"/>
      <c r="M970" s="89"/>
    </row>
    <row r="971" s="59" customFormat="1" spans="1:13">
      <c r="A971" s="74">
        <v>970</v>
      </c>
      <c r="B971" s="66" t="s">
        <v>67</v>
      </c>
      <c r="C971" s="67" t="s">
        <v>302</v>
      </c>
      <c r="D971" s="59" t="s">
        <v>213</v>
      </c>
      <c r="E971" s="88"/>
      <c r="F971" s="89"/>
      <c r="G971" s="89"/>
      <c r="H971" s="77" t="s">
        <v>76</v>
      </c>
      <c r="I971" s="82">
        <v>12000</v>
      </c>
      <c r="J971" s="84"/>
      <c r="K971" s="85"/>
      <c r="L971" s="89"/>
      <c r="M971" s="89"/>
    </row>
    <row r="972" s="59" customFormat="1" spans="1:13">
      <c r="A972" s="74">
        <v>971</v>
      </c>
      <c r="B972" s="66" t="s">
        <v>67</v>
      </c>
      <c r="C972" s="67" t="s">
        <v>302</v>
      </c>
      <c r="D972" s="59" t="s">
        <v>214</v>
      </c>
      <c r="E972" s="88"/>
      <c r="F972" s="89"/>
      <c r="G972" s="89"/>
      <c r="H972" s="77" t="s">
        <v>76</v>
      </c>
      <c r="I972" s="82">
        <v>12000</v>
      </c>
      <c r="J972" s="84"/>
      <c r="K972" s="85"/>
      <c r="L972" s="89"/>
      <c r="M972" s="89"/>
    </row>
    <row r="973" s="59" customFormat="1" spans="1:13">
      <c r="A973" s="74">
        <v>972</v>
      </c>
      <c r="B973" s="66" t="s">
        <v>67</v>
      </c>
      <c r="C973" s="67" t="s">
        <v>302</v>
      </c>
      <c r="D973" s="59" t="s">
        <v>215</v>
      </c>
      <c r="E973" s="88"/>
      <c r="F973" s="89"/>
      <c r="G973" s="89"/>
      <c r="H973" s="77" t="s">
        <v>76</v>
      </c>
      <c r="I973" s="82">
        <v>12000</v>
      </c>
      <c r="J973" s="84"/>
      <c r="K973" s="85"/>
      <c r="L973" s="89"/>
      <c r="M973" s="89"/>
    </row>
    <row r="974" s="59" customFormat="1" spans="1:13">
      <c r="A974" s="74">
        <v>973</v>
      </c>
      <c r="B974" s="66" t="s">
        <v>67</v>
      </c>
      <c r="C974" s="67" t="s">
        <v>302</v>
      </c>
      <c r="D974" s="59" t="s">
        <v>216</v>
      </c>
      <c r="E974" s="88"/>
      <c r="H974" s="77" t="s">
        <v>76</v>
      </c>
      <c r="I974" s="82">
        <v>12000</v>
      </c>
      <c r="K974" s="85"/>
      <c r="L974" s="86"/>
      <c r="M974" s="87"/>
    </row>
    <row r="975" s="59" customFormat="1" spans="1:13">
      <c r="A975" s="74">
        <v>974</v>
      </c>
      <c r="B975" s="66" t="s">
        <v>67</v>
      </c>
      <c r="C975" s="67" t="s">
        <v>302</v>
      </c>
      <c r="D975" s="59" t="s">
        <v>217</v>
      </c>
      <c r="E975" s="88"/>
      <c r="H975" s="77" t="s">
        <v>76</v>
      </c>
      <c r="I975" s="82">
        <v>12000</v>
      </c>
      <c r="K975" s="85"/>
      <c r="L975" s="86"/>
      <c r="M975" s="87"/>
    </row>
    <row r="976" s="59" customFormat="1" spans="1:13">
      <c r="A976" s="74">
        <v>975</v>
      </c>
      <c r="B976" s="66" t="s">
        <v>67</v>
      </c>
      <c r="C976" s="67" t="s">
        <v>302</v>
      </c>
      <c r="D976" s="59" t="s">
        <v>218</v>
      </c>
      <c r="E976" s="88"/>
      <c r="H976" s="77" t="s">
        <v>76</v>
      </c>
      <c r="I976" s="82">
        <v>12000</v>
      </c>
      <c r="K976" s="85"/>
      <c r="L976" s="86"/>
      <c r="M976" s="87"/>
    </row>
    <row r="977" s="59" customFormat="1" spans="1:13">
      <c r="A977" s="74">
        <v>976</v>
      </c>
      <c r="B977" s="66" t="s">
        <v>67</v>
      </c>
      <c r="C977" s="67" t="s">
        <v>302</v>
      </c>
      <c r="D977" s="59" t="s">
        <v>219</v>
      </c>
      <c r="E977" s="88"/>
      <c r="H977" s="77" t="s">
        <v>76</v>
      </c>
      <c r="I977" s="82">
        <v>12000</v>
      </c>
      <c r="K977" s="85"/>
      <c r="L977" s="86"/>
      <c r="M977" s="87"/>
    </row>
    <row r="978" s="59" customFormat="1" spans="1:13">
      <c r="A978" s="74">
        <v>977</v>
      </c>
      <c r="B978" s="66" t="s">
        <v>67</v>
      </c>
      <c r="C978" s="67" t="s">
        <v>302</v>
      </c>
      <c r="D978" s="59" t="s">
        <v>220</v>
      </c>
      <c r="E978" s="88"/>
      <c r="H978" s="77" t="s">
        <v>76</v>
      </c>
      <c r="I978" s="82">
        <v>12000</v>
      </c>
      <c r="K978" s="85"/>
      <c r="L978" s="86"/>
      <c r="M978" s="87"/>
    </row>
    <row r="979" s="59" customFormat="1" spans="1:13">
      <c r="A979" s="74">
        <v>978</v>
      </c>
      <c r="B979" s="66" t="s">
        <v>67</v>
      </c>
      <c r="C979" s="67" t="s">
        <v>302</v>
      </c>
      <c r="D979" s="59" t="s">
        <v>221</v>
      </c>
      <c r="E979" s="88"/>
      <c r="H979" s="77" t="s">
        <v>76</v>
      </c>
      <c r="I979" s="82">
        <v>12000</v>
      </c>
      <c r="K979" s="85"/>
      <c r="L979" s="86"/>
      <c r="M979" s="87"/>
    </row>
    <row r="980" s="59" customFormat="1" spans="1:13">
      <c r="A980" s="74">
        <v>979</v>
      </c>
      <c r="B980" s="66" t="s">
        <v>67</v>
      </c>
      <c r="C980" s="67" t="s">
        <v>302</v>
      </c>
      <c r="D980" s="59" t="s">
        <v>222</v>
      </c>
      <c r="E980" s="88"/>
      <c r="H980" s="77" t="s">
        <v>76</v>
      </c>
      <c r="I980" s="82">
        <v>12000</v>
      </c>
      <c r="K980" s="85"/>
      <c r="L980" s="86"/>
      <c r="M980" s="87"/>
    </row>
    <row r="981" s="59" customFormat="1" spans="1:13">
      <c r="A981" s="74">
        <v>980</v>
      </c>
      <c r="B981" s="66" t="s">
        <v>67</v>
      </c>
      <c r="C981" s="67" t="s">
        <v>302</v>
      </c>
      <c r="D981" s="59" t="s">
        <v>223</v>
      </c>
      <c r="E981" s="88"/>
      <c r="H981" s="77" t="s">
        <v>76</v>
      </c>
      <c r="I981" s="82">
        <v>12000</v>
      </c>
      <c r="K981" s="85"/>
      <c r="L981" s="86"/>
      <c r="M981" s="87"/>
    </row>
    <row r="982" s="59" customFormat="1" spans="1:13">
      <c r="A982" s="74">
        <v>981</v>
      </c>
      <c r="B982" s="66" t="s">
        <v>67</v>
      </c>
      <c r="C982" s="67" t="s">
        <v>302</v>
      </c>
      <c r="D982" s="59" t="s">
        <v>224</v>
      </c>
      <c r="E982" s="88"/>
      <c r="H982" s="77" t="s">
        <v>76</v>
      </c>
      <c r="I982" s="82">
        <v>12000</v>
      </c>
      <c r="K982" s="85"/>
      <c r="L982" s="86"/>
      <c r="M982" s="87"/>
    </row>
    <row r="983" s="59" customFormat="1" spans="1:13">
      <c r="A983" s="74">
        <v>982</v>
      </c>
      <c r="B983" s="66" t="s">
        <v>67</v>
      </c>
      <c r="C983" s="67" t="s">
        <v>302</v>
      </c>
      <c r="D983" s="59" t="s">
        <v>225</v>
      </c>
      <c r="E983" s="88"/>
      <c r="F983" s="89"/>
      <c r="G983" s="89"/>
      <c r="H983" s="77" t="s">
        <v>76</v>
      </c>
      <c r="I983" s="82">
        <v>12000</v>
      </c>
      <c r="J983" s="84"/>
      <c r="K983" s="85"/>
      <c r="L983" s="89"/>
      <c r="M983" s="89"/>
    </row>
    <row r="984" s="59" customFormat="1" spans="1:13">
      <c r="A984" s="74">
        <v>983</v>
      </c>
      <c r="B984" s="66" t="s">
        <v>67</v>
      </c>
      <c r="C984" s="67" t="s">
        <v>302</v>
      </c>
      <c r="D984" s="59" t="s">
        <v>226</v>
      </c>
      <c r="E984" s="88"/>
      <c r="F984" s="89"/>
      <c r="G984" s="89"/>
      <c r="H984" s="77" t="s">
        <v>76</v>
      </c>
      <c r="I984" s="82">
        <v>12000</v>
      </c>
      <c r="J984" s="84"/>
      <c r="K984" s="85"/>
      <c r="L984" s="89"/>
      <c r="M984" s="89"/>
    </row>
    <row r="985" s="59" customFormat="1" spans="1:13">
      <c r="A985" s="74">
        <v>984</v>
      </c>
      <c r="B985" s="66" t="s">
        <v>67</v>
      </c>
      <c r="C985" s="67" t="s">
        <v>302</v>
      </c>
      <c r="D985" s="59" t="s">
        <v>227</v>
      </c>
      <c r="E985" s="88"/>
      <c r="F985" s="89"/>
      <c r="G985" s="89"/>
      <c r="H985" s="77" t="s">
        <v>76</v>
      </c>
      <c r="I985" s="82">
        <v>12000</v>
      </c>
      <c r="J985" s="84"/>
      <c r="K985" s="85"/>
      <c r="L985" s="89"/>
      <c r="M985" s="89"/>
    </row>
    <row r="986" s="59" customFormat="1" spans="1:13">
      <c r="A986" s="74">
        <v>985</v>
      </c>
      <c r="B986" s="66" t="s">
        <v>67</v>
      </c>
      <c r="C986" s="67" t="s">
        <v>302</v>
      </c>
      <c r="D986" s="59" t="s">
        <v>228</v>
      </c>
      <c r="E986" s="88"/>
      <c r="F986" s="89"/>
      <c r="G986" s="89"/>
      <c r="H986" s="77" t="s">
        <v>76</v>
      </c>
      <c r="I986" s="82">
        <v>12000</v>
      </c>
      <c r="J986" s="84"/>
      <c r="K986" s="85"/>
      <c r="L986" s="89"/>
      <c r="M986" s="89"/>
    </row>
    <row r="987" s="59" customFormat="1" spans="1:13">
      <c r="A987" s="74">
        <v>986</v>
      </c>
      <c r="B987" s="66" t="s">
        <v>67</v>
      </c>
      <c r="C987" s="67" t="s">
        <v>302</v>
      </c>
      <c r="D987" s="59" t="s">
        <v>229</v>
      </c>
      <c r="E987" s="88"/>
      <c r="F987" s="89"/>
      <c r="G987" s="89"/>
      <c r="H987" s="77" t="s">
        <v>71</v>
      </c>
      <c r="I987" s="78">
        <v>16000</v>
      </c>
      <c r="J987" s="84"/>
      <c r="K987" s="85"/>
      <c r="L987" s="89"/>
      <c r="M987" s="89"/>
    </row>
    <row r="988" s="59" customFormat="1" spans="1:13">
      <c r="A988" s="74">
        <v>987</v>
      </c>
      <c r="B988" s="66" t="s">
        <v>67</v>
      </c>
      <c r="C988" s="67" t="s">
        <v>302</v>
      </c>
      <c r="D988" s="59" t="s">
        <v>230</v>
      </c>
      <c r="E988" s="88"/>
      <c r="F988" s="89"/>
      <c r="G988" s="89"/>
      <c r="H988" s="77" t="s">
        <v>76</v>
      </c>
      <c r="I988" s="82">
        <v>12000</v>
      </c>
      <c r="J988" s="84"/>
      <c r="K988" s="85"/>
      <c r="L988" s="89"/>
      <c r="M988" s="89"/>
    </row>
    <row r="989" s="59" customFormat="1" spans="1:13">
      <c r="A989" s="74">
        <v>988</v>
      </c>
      <c r="B989" s="66" t="s">
        <v>67</v>
      </c>
      <c r="C989" s="67" t="s">
        <v>302</v>
      </c>
      <c r="D989" s="59" t="s">
        <v>231</v>
      </c>
      <c r="E989" s="88"/>
      <c r="F989" s="89"/>
      <c r="G989" s="89"/>
      <c r="H989" s="77" t="s">
        <v>76</v>
      </c>
      <c r="I989" s="82">
        <v>12000</v>
      </c>
      <c r="J989" s="84"/>
      <c r="K989" s="85"/>
      <c r="L989" s="89"/>
      <c r="M989" s="89"/>
    </row>
    <row r="990" s="59" customFormat="1" spans="1:13">
      <c r="A990" s="74">
        <v>989</v>
      </c>
      <c r="B990" s="66" t="s">
        <v>67</v>
      </c>
      <c r="C990" s="67" t="s">
        <v>302</v>
      </c>
      <c r="D990" s="59" t="s">
        <v>232</v>
      </c>
      <c r="E990" s="88"/>
      <c r="F990" s="89"/>
      <c r="G990" s="89"/>
      <c r="H990" s="77" t="s">
        <v>76</v>
      </c>
      <c r="I990" s="82">
        <v>12000</v>
      </c>
      <c r="J990" s="84"/>
      <c r="K990" s="85"/>
      <c r="L990" s="89"/>
      <c r="M990" s="89"/>
    </row>
    <row r="991" s="59" customFormat="1" spans="1:13">
      <c r="A991" s="74">
        <v>990</v>
      </c>
      <c r="B991" s="66" t="s">
        <v>67</v>
      </c>
      <c r="C991" s="67" t="s">
        <v>302</v>
      </c>
      <c r="D991" s="59" t="s">
        <v>233</v>
      </c>
      <c r="E991" s="88"/>
      <c r="F991" s="89"/>
      <c r="G991" s="89"/>
      <c r="H991" s="77" t="s">
        <v>76</v>
      </c>
      <c r="I991" s="82">
        <v>12000</v>
      </c>
      <c r="J991" s="84"/>
      <c r="K991" s="85"/>
      <c r="L991" s="89"/>
      <c r="M991" s="89"/>
    </row>
    <row r="992" s="59" customFormat="1" spans="1:13">
      <c r="A992" s="74">
        <v>991</v>
      </c>
      <c r="B992" s="66" t="s">
        <v>67</v>
      </c>
      <c r="C992" s="67" t="s">
        <v>302</v>
      </c>
      <c r="D992" s="59" t="s">
        <v>234</v>
      </c>
      <c r="E992" s="88"/>
      <c r="H992" s="77" t="s">
        <v>76</v>
      </c>
      <c r="I992" s="82">
        <v>12000</v>
      </c>
      <c r="K992" s="85"/>
      <c r="L992" s="86"/>
      <c r="M992" s="87"/>
    </row>
    <row r="993" s="59" customFormat="1" spans="1:13">
      <c r="A993" s="74">
        <v>992</v>
      </c>
      <c r="B993" s="66" t="s">
        <v>67</v>
      </c>
      <c r="C993" s="67" t="s">
        <v>302</v>
      </c>
      <c r="D993" s="59" t="s">
        <v>235</v>
      </c>
      <c r="E993" s="88"/>
      <c r="H993" s="77" t="s">
        <v>76</v>
      </c>
      <c r="I993" s="82">
        <v>12000</v>
      </c>
      <c r="K993" s="85"/>
      <c r="L993" s="86"/>
      <c r="M993" s="87"/>
    </row>
    <row r="994" s="59" customFormat="1" spans="1:13">
      <c r="A994" s="74">
        <v>993</v>
      </c>
      <c r="B994" s="66" t="s">
        <v>67</v>
      </c>
      <c r="C994" s="67" t="s">
        <v>302</v>
      </c>
      <c r="D994" s="59" t="s">
        <v>236</v>
      </c>
      <c r="E994" s="88"/>
      <c r="H994" s="77" t="s">
        <v>76</v>
      </c>
      <c r="I994" s="82">
        <v>12000</v>
      </c>
      <c r="K994" s="85"/>
      <c r="L994" s="86"/>
      <c r="M994" s="87"/>
    </row>
    <row r="995" s="59" customFormat="1" spans="1:13">
      <c r="A995" s="74">
        <v>994</v>
      </c>
      <c r="B995" s="66" t="s">
        <v>67</v>
      </c>
      <c r="C995" s="67" t="s">
        <v>302</v>
      </c>
      <c r="D995" s="59" t="s">
        <v>237</v>
      </c>
      <c r="E995" s="88"/>
      <c r="H995" s="77" t="s">
        <v>76</v>
      </c>
      <c r="I995" s="82">
        <v>12000</v>
      </c>
      <c r="K995" s="85"/>
      <c r="L995" s="86"/>
      <c r="M995" s="87"/>
    </row>
    <row r="996" s="59" customFormat="1" spans="1:13">
      <c r="A996" s="74">
        <v>995</v>
      </c>
      <c r="B996" s="66" t="s">
        <v>67</v>
      </c>
      <c r="C996" s="67" t="s">
        <v>302</v>
      </c>
      <c r="D996" s="59" t="s">
        <v>238</v>
      </c>
      <c r="E996" s="88"/>
      <c r="H996" s="77" t="s">
        <v>76</v>
      </c>
      <c r="I996" s="82">
        <v>12000</v>
      </c>
      <c r="K996" s="85"/>
      <c r="L996" s="86"/>
      <c r="M996" s="87"/>
    </row>
    <row r="997" s="59" customFormat="1" spans="1:13">
      <c r="A997" s="74">
        <v>996</v>
      </c>
      <c r="B997" s="66" t="s">
        <v>67</v>
      </c>
      <c r="C997" s="67" t="s">
        <v>302</v>
      </c>
      <c r="D997" s="59" t="s">
        <v>239</v>
      </c>
      <c r="E997" s="88"/>
      <c r="H997" s="77" t="s">
        <v>76</v>
      </c>
      <c r="I997" s="82">
        <v>12000</v>
      </c>
      <c r="K997" s="85"/>
      <c r="L997" s="86"/>
      <c r="M997" s="87"/>
    </row>
    <row r="998" s="59" customFormat="1" spans="1:13">
      <c r="A998" s="74">
        <v>997</v>
      </c>
      <c r="B998" s="66" t="s">
        <v>67</v>
      </c>
      <c r="C998" s="67" t="s">
        <v>302</v>
      </c>
      <c r="D998" s="59" t="s">
        <v>240</v>
      </c>
      <c r="E998" s="88"/>
      <c r="H998" s="77" t="s">
        <v>76</v>
      </c>
      <c r="I998" s="82">
        <v>12000</v>
      </c>
      <c r="K998" s="85"/>
      <c r="L998" s="86"/>
      <c r="M998" s="87"/>
    </row>
    <row r="999" s="59" customFormat="1" spans="1:13">
      <c r="A999" s="74">
        <v>998</v>
      </c>
      <c r="B999" s="66" t="s">
        <v>67</v>
      </c>
      <c r="C999" s="67" t="s">
        <v>302</v>
      </c>
      <c r="D999" s="59" t="s">
        <v>241</v>
      </c>
      <c r="E999" s="88"/>
      <c r="F999" s="89"/>
      <c r="G999" s="89"/>
      <c r="H999" s="77" t="s">
        <v>76</v>
      </c>
      <c r="I999" s="82">
        <v>12000</v>
      </c>
      <c r="J999" s="84"/>
      <c r="K999" s="85"/>
      <c r="L999" s="89"/>
      <c r="M999" s="89"/>
    </row>
    <row r="1000" s="59" customFormat="1" spans="1:13">
      <c r="A1000" s="74">
        <v>999</v>
      </c>
      <c r="B1000" s="66" t="s">
        <v>67</v>
      </c>
      <c r="C1000" s="67" t="s">
        <v>302</v>
      </c>
      <c r="D1000" s="59" t="s">
        <v>242</v>
      </c>
      <c r="E1000" s="88"/>
      <c r="F1000" s="89"/>
      <c r="G1000" s="89"/>
      <c r="H1000" s="77" t="s">
        <v>76</v>
      </c>
      <c r="I1000" s="82">
        <v>12000</v>
      </c>
      <c r="J1000" s="84"/>
      <c r="K1000" s="85"/>
      <c r="L1000" s="89"/>
      <c r="M1000" s="89"/>
    </row>
    <row r="1001" s="59" customFormat="1" spans="1:13">
      <c r="A1001" s="74">
        <v>1000</v>
      </c>
      <c r="B1001" s="66" t="s">
        <v>67</v>
      </c>
      <c r="C1001" s="67" t="s">
        <v>302</v>
      </c>
      <c r="D1001" s="59" t="s">
        <v>243</v>
      </c>
      <c r="E1001" s="88"/>
      <c r="F1001" s="89"/>
      <c r="G1001" s="89"/>
      <c r="H1001" s="77" t="s">
        <v>76</v>
      </c>
      <c r="I1001" s="82">
        <v>12000</v>
      </c>
      <c r="J1001" s="84"/>
      <c r="K1001" s="85"/>
      <c r="L1001" s="89"/>
      <c r="M1001" s="89"/>
    </row>
    <row r="1002" s="59" customFormat="1" spans="1:13">
      <c r="A1002" s="74">
        <v>1001</v>
      </c>
      <c r="B1002" s="66" t="s">
        <v>67</v>
      </c>
      <c r="C1002" s="67" t="s">
        <v>302</v>
      </c>
      <c r="D1002" s="59" t="s">
        <v>244</v>
      </c>
      <c r="E1002" s="88"/>
      <c r="F1002" s="89"/>
      <c r="G1002" s="89"/>
      <c r="H1002" s="77" t="s">
        <v>76</v>
      </c>
      <c r="I1002" s="82">
        <v>12000</v>
      </c>
      <c r="J1002" s="84"/>
      <c r="K1002" s="85"/>
      <c r="L1002" s="89"/>
      <c r="M1002" s="89"/>
    </row>
    <row r="1003" s="59" customFormat="1" spans="1:13">
      <c r="A1003" s="74">
        <v>1002</v>
      </c>
      <c r="B1003" s="66" t="s">
        <v>67</v>
      </c>
      <c r="C1003" s="67" t="s">
        <v>302</v>
      </c>
      <c r="D1003" s="59" t="s">
        <v>245</v>
      </c>
      <c r="E1003" s="88"/>
      <c r="F1003" s="89"/>
      <c r="G1003" s="89"/>
      <c r="H1003" s="77" t="s">
        <v>76</v>
      </c>
      <c r="I1003" s="82">
        <v>12000</v>
      </c>
      <c r="J1003" s="84"/>
      <c r="K1003" s="85"/>
      <c r="L1003" s="89"/>
      <c r="M1003" s="89"/>
    </row>
    <row r="1004" s="59" customFormat="1" spans="1:13">
      <c r="A1004" s="74">
        <v>1003</v>
      </c>
      <c r="B1004" s="66" t="s">
        <v>67</v>
      </c>
      <c r="C1004" s="67" t="s">
        <v>302</v>
      </c>
      <c r="D1004" s="59" t="s">
        <v>246</v>
      </c>
      <c r="E1004" s="88"/>
      <c r="F1004" s="89"/>
      <c r="G1004" s="89"/>
      <c r="H1004" s="77" t="s">
        <v>76</v>
      </c>
      <c r="I1004" s="82">
        <v>12000</v>
      </c>
      <c r="J1004" s="84"/>
      <c r="K1004" s="85"/>
      <c r="L1004" s="89"/>
      <c r="M1004" s="89"/>
    </row>
    <row r="1005" s="59" customFormat="1" spans="1:13">
      <c r="A1005" s="74">
        <v>1004</v>
      </c>
      <c r="B1005" s="66" t="s">
        <v>67</v>
      </c>
      <c r="C1005" s="67" t="s">
        <v>302</v>
      </c>
      <c r="D1005" s="59" t="s">
        <v>247</v>
      </c>
      <c r="E1005" s="88"/>
      <c r="F1005" s="89"/>
      <c r="G1005" s="89"/>
      <c r="H1005" s="77" t="s">
        <v>76</v>
      </c>
      <c r="I1005" s="82">
        <v>12000</v>
      </c>
      <c r="J1005" s="84"/>
      <c r="K1005" s="85"/>
      <c r="L1005" s="89"/>
      <c r="M1005" s="89"/>
    </row>
    <row r="1006" s="59" customFormat="1" spans="1:13">
      <c r="A1006" s="74">
        <v>1005</v>
      </c>
      <c r="B1006" s="66" t="s">
        <v>67</v>
      </c>
      <c r="C1006" s="67" t="s">
        <v>302</v>
      </c>
      <c r="D1006" s="59" t="s">
        <v>248</v>
      </c>
      <c r="E1006" s="88"/>
      <c r="F1006" s="89"/>
      <c r="G1006" s="89"/>
      <c r="H1006" s="77" t="s">
        <v>76</v>
      </c>
      <c r="I1006" s="82">
        <v>12000</v>
      </c>
      <c r="J1006" s="84"/>
      <c r="K1006" s="85"/>
      <c r="L1006" s="89"/>
      <c r="M1006" s="89"/>
    </row>
    <row r="1007" s="59" customFormat="1" spans="1:13">
      <c r="A1007" s="74">
        <v>1006</v>
      </c>
      <c r="B1007" s="66" t="s">
        <v>67</v>
      </c>
      <c r="C1007" s="67" t="s">
        <v>302</v>
      </c>
      <c r="D1007" s="59" t="s">
        <v>249</v>
      </c>
      <c r="E1007" s="88"/>
      <c r="F1007" s="89"/>
      <c r="G1007" s="89"/>
      <c r="H1007" s="77" t="s">
        <v>76</v>
      </c>
      <c r="I1007" s="82">
        <v>12000</v>
      </c>
      <c r="J1007" s="84"/>
      <c r="K1007" s="85"/>
      <c r="L1007" s="89"/>
      <c r="M1007" s="89"/>
    </row>
    <row r="1008" s="59" customFormat="1" spans="1:13">
      <c r="A1008" s="74">
        <v>1007</v>
      </c>
      <c r="B1008" s="66" t="s">
        <v>67</v>
      </c>
      <c r="C1008" s="67" t="s">
        <v>302</v>
      </c>
      <c r="D1008" s="59" t="s">
        <v>250</v>
      </c>
      <c r="E1008" s="88"/>
      <c r="H1008" s="77" t="s">
        <v>76</v>
      </c>
      <c r="I1008" s="82">
        <v>12000</v>
      </c>
      <c r="K1008" s="85"/>
      <c r="L1008" s="86"/>
      <c r="M1008" s="87"/>
    </row>
    <row r="1009" s="59" customFormat="1" spans="1:80">
      <c r="A1009" s="74">
        <v>1008</v>
      </c>
      <c r="B1009" s="66" t="s">
        <v>67</v>
      </c>
      <c r="C1009" s="67" t="s">
        <v>302</v>
      </c>
      <c r="D1009" s="59" t="s">
        <v>251</v>
      </c>
      <c r="E1009" s="88"/>
      <c r="H1009" s="77" t="s">
        <v>76</v>
      </c>
      <c r="I1009" s="82">
        <v>12000</v>
      </c>
      <c r="K1009" s="85"/>
      <c r="L1009" s="86"/>
      <c r="M1009" s="87"/>
    </row>
    <row r="1010" s="59" customFormat="1" spans="1:80">
      <c r="A1010" s="74">
        <v>1009</v>
      </c>
      <c r="B1010" s="66" t="s">
        <v>67</v>
      </c>
      <c r="C1010" s="67" t="s">
        <v>302</v>
      </c>
      <c r="D1010" s="59" t="s">
        <v>252</v>
      </c>
      <c r="E1010" s="88"/>
      <c r="H1010" s="77" t="s">
        <v>71</v>
      </c>
      <c r="I1010" s="78">
        <v>16000</v>
      </c>
      <c r="K1010" s="85"/>
      <c r="L1010" s="86"/>
      <c r="M1010" s="87"/>
    </row>
    <row r="1011" s="59" customFormat="1" spans="1:80">
      <c r="A1011" s="74">
        <v>1010</v>
      </c>
      <c r="B1011" s="66" t="s">
        <v>67</v>
      </c>
      <c r="C1011" s="67" t="s">
        <v>302</v>
      </c>
      <c r="D1011" s="59" t="s">
        <v>253</v>
      </c>
      <c r="E1011" s="88"/>
      <c r="H1011" s="77" t="s">
        <v>76</v>
      </c>
      <c r="I1011" s="82">
        <v>12000</v>
      </c>
      <c r="K1011" s="85"/>
      <c r="L1011" s="86"/>
      <c r="M1011" s="87"/>
    </row>
    <row r="1012" s="59" customFormat="1" spans="1:80">
      <c r="A1012" s="74">
        <v>1011</v>
      </c>
      <c r="B1012" s="66" t="s">
        <v>67</v>
      </c>
      <c r="C1012" s="67" t="s">
        <v>302</v>
      </c>
      <c r="D1012" s="59" t="s">
        <v>254</v>
      </c>
      <c r="E1012" s="88"/>
      <c r="H1012" s="77" t="s">
        <v>76</v>
      </c>
      <c r="I1012" s="82">
        <v>12000</v>
      </c>
      <c r="K1012" s="85"/>
      <c r="L1012" s="86"/>
      <c r="M1012" s="87"/>
    </row>
    <row r="1013" s="59" customFormat="1" spans="1:80">
      <c r="A1013" s="74">
        <v>1012</v>
      </c>
      <c r="B1013" s="66" t="s">
        <v>67</v>
      </c>
      <c r="C1013" s="67" t="s">
        <v>302</v>
      </c>
      <c r="D1013" s="59" t="s">
        <v>255</v>
      </c>
      <c r="E1013" s="88"/>
      <c r="H1013" s="77" t="s">
        <v>76</v>
      </c>
      <c r="I1013" s="82">
        <v>12000</v>
      </c>
      <c r="K1013" s="85"/>
      <c r="L1013" s="86"/>
      <c r="M1013" s="87"/>
    </row>
    <row r="1014" s="59" customFormat="1" spans="1:80">
      <c r="A1014" s="74">
        <v>1013</v>
      </c>
      <c r="B1014" s="66" t="s">
        <v>67</v>
      </c>
      <c r="C1014" s="67" t="s">
        <v>302</v>
      </c>
      <c r="D1014" s="59" t="s">
        <v>256</v>
      </c>
      <c r="E1014" s="88"/>
      <c r="H1014" s="77" t="s">
        <v>76</v>
      </c>
      <c r="I1014" s="82">
        <v>12000</v>
      </c>
      <c r="K1014" s="85"/>
      <c r="L1014" s="86"/>
      <c r="M1014" s="87"/>
    </row>
    <row r="1015" s="59" customFormat="1" spans="1:80">
      <c r="A1015" s="74">
        <v>1014</v>
      </c>
      <c r="B1015" s="66" t="s">
        <v>67</v>
      </c>
      <c r="C1015" s="67" t="s">
        <v>302</v>
      </c>
      <c r="D1015" s="59" t="s">
        <v>257</v>
      </c>
      <c r="E1015" s="88"/>
      <c r="H1015" s="77" t="s">
        <v>76</v>
      </c>
      <c r="I1015" s="82">
        <v>12000</v>
      </c>
      <c r="K1015" s="85"/>
      <c r="L1015" s="86"/>
      <c r="M1015" s="87"/>
    </row>
    <row r="1016" spans="1:80">
      <c r="A1016" s="74">
        <v>1015</v>
      </c>
      <c r="B1016" s="66" t="s">
        <v>67</v>
      </c>
      <c r="C1016" s="67" t="s">
        <v>302</v>
      </c>
      <c r="D1016" s="59" t="s">
        <v>258</v>
      </c>
      <c r="E1016" s="88"/>
      <c r="F1016" s="59"/>
      <c r="G1016" s="59"/>
      <c r="H1016" s="77" t="s">
        <v>76</v>
      </c>
      <c r="I1016" s="82">
        <v>12000</v>
      </c>
      <c r="J1016" s="59"/>
      <c r="K1016" s="85"/>
      <c r="L1016" s="86"/>
      <c r="M1016" s="87"/>
      <c r="N1016" s="59"/>
      <c r="O1016" s="59"/>
      <c r="P1016" s="59"/>
      <c r="Q1016" s="59"/>
      <c r="R1016" s="59"/>
      <c r="S1016" s="59"/>
      <c r="T1016" s="59"/>
      <c r="U1016" s="59"/>
      <c r="V1016" s="59"/>
      <c r="W1016" s="59"/>
      <c r="X1016" s="59"/>
      <c r="Y1016" s="59"/>
      <c r="Z1016" s="59"/>
      <c r="AA1016" s="59"/>
      <c r="AB1016" s="59"/>
      <c r="AC1016" s="59"/>
      <c r="AD1016" s="59"/>
      <c r="AE1016" s="59"/>
      <c r="AF1016" s="59"/>
      <c r="AG1016" s="59"/>
      <c r="AH1016" s="59"/>
      <c r="AI1016" s="59"/>
      <c r="AJ1016" s="59"/>
      <c r="AK1016" s="59"/>
      <c r="AL1016" s="59"/>
      <c r="AM1016" s="59"/>
      <c r="AN1016" s="59"/>
      <c r="AO1016" s="59"/>
      <c r="AP1016" s="59"/>
      <c r="AQ1016" s="59"/>
      <c r="AR1016" s="59"/>
      <c r="AS1016" s="59"/>
      <c r="AT1016" s="59"/>
      <c r="AU1016" s="59"/>
      <c r="AV1016" s="59"/>
      <c r="AW1016" s="59"/>
      <c r="AX1016" s="59"/>
      <c r="AY1016" s="59"/>
      <c r="AZ1016" s="59"/>
      <c r="BA1016" s="59"/>
      <c r="BB1016" s="59"/>
      <c r="BC1016" s="59"/>
      <c r="BD1016" s="59"/>
      <c r="BE1016" s="59"/>
      <c r="BF1016" s="59"/>
      <c r="BG1016" s="59"/>
      <c r="BH1016" s="59"/>
      <c r="BI1016" s="59"/>
      <c r="BJ1016" s="59"/>
      <c r="BK1016" s="59"/>
      <c r="BL1016" s="59"/>
      <c r="BM1016" s="59"/>
      <c r="BN1016" s="59"/>
      <c r="BO1016" s="59"/>
      <c r="BP1016" s="59"/>
      <c r="BQ1016" s="59"/>
      <c r="BR1016" s="59"/>
      <c r="BS1016" s="59"/>
      <c r="BT1016" s="59"/>
      <c r="BU1016" s="59"/>
      <c r="BV1016" s="59"/>
      <c r="BW1016" s="59"/>
      <c r="BX1016" s="59"/>
      <c r="BY1016" s="59"/>
      <c r="BZ1016" s="59"/>
      <c r="CA1016" s="59"/>
      <c r="CB1016" s="59"/>
    </row>
    <row r="1017" spans="1:80">
      <c r="A1017" s="74">
        <v>1016</v>
      </c>
      <c r="B1017" s="66" t="s">
        <v>67</v>
      </c>
      <c r="C1017" s="67" t="s">
        <v>302</v>
      </c>
      <c r="D1017" s="59" t="s">
        <v>259</v>
      </c>
      <c r="E1017" s="88"/>
      <c r="F1017" s="59"/>
      <c r="G1017" s="59"/>
      <c r="H1017" s="77" t="s">
        <v>76</v>
      </c>
      <c r="I1017" s="82">
        <v>12000</v>
      </c>
      <c r="J1017" s="59"/>
      <c r="K1017" s="85"/>
      <c r="L1017" s="86"/>
      <c r="M1017" s="87"/>
      <c r="N1017" s="59"/>
      <c r="O1017" s="59"/>
      <c r="P1017" s="59"/>
      <c r="Q1017" s="59"/>
      <c r="R1017" s="59"/>
      <c r="S1017" s="59"/>
      <c r="T1017" s="59"/>
      <c r="U1017" s="59"/>
      <c r="V1017" s="59"/>
      <c r="W1017" s="59"/>
      <c r="X1017" s="59"/>
      <c r="Y1017" s="59"/>
      <c r="Z1017" s="59"/>
      <c r="AA1017" s="59"/>
      <c r="AB1017" s="59"/>
      <c r="AC1017" s="59"/>
      <c r="AD1017" s="59"/>
      <c r="AE1017" s="59"/>
      <c r="AF1017" s="59"/>
      <c r="AG1017" s="59"/>
      <c r="AH1017" s="59"/>
      <c r="AI1017" s="59"/>
      <c r="AJ1017" s="59"/>
      <c r="AK1017" s="59"/>
      <c r="AL1017" s="59"/>
      <c r="AM1017" s="59"/>
      <c r="AN1017" s="59"/>
      <c r="AO1017" s="59"/>
      <c r="AP1017" s="59"/>
      <c r="AQ1017" s="59"/>
      <c r="AR1017" s="59"/>
      <c r="AS1017" s="59"/>
      <c r="AT1017" s="59"/>
      <c r="AU1017" s="59"/>
      <c r="AV1017" s="59"/>
      <c r="AW1017" s="59"/>
      <c r="AX1017" s="59"/>
      <c r="AY1017" s="59"/>
      <c r="AZ1017" s="59"/>
      <c r="BA1017" s="59"/>
      <c r="BB1017" s="59"/>
      <c r="BC1017" s="59"/>
      <c r="BD1017" s="59"/>
      <c r="BE1017" s="59"/>
      <c r="BF1017" s="59"/>
      <c r="BG1017" s="59"/>
      <c r="BH1017" s="59"/>
      <c r="BI1017" s="59"/>
      <c r="BJ1017" s="59"/>
      <c r="BK1017" s="59"/>
      <c r="BL1017" s="59"/>
      <c r="BM1017" s="59"/>
      <c r="BN1017" s="59"/>
      <c r="BO1017" s="59"/>
      <c r="BP1017" s="59"/>
      <c r="BQ1017" s="59"/>
      <c r="BR1017" s="59"/>
      <c r="BS1017" s="59"/>
      <c r="BT1017" s="59"/>
      <c r="BU1017" s="59"/>
      <c r="BV1017" s="59"/>
      <c r="BW1017" s="59"/>
      <c r="BX1017" s="59"/>
      <c r="BY1017" s="59"/>
      <c r="BZ1017" s="59"/>
      <c r="CA1017" s="59"/>
      <c r="CB1017" s="59"/>
    </row>
    <row r="1018" spans="1:80">
      <c r="A1018" s="74">
        <v>1017</v>
      </c>
      <c r="B1018" s="66" t="s">
        <v>67</v>
      </c>
      <c r="C1018" s="67" t="s">
        <v>302</v>
      </c>
      <c r="D1018" s="59" t="s">
        <v>260</v>
      </c>
      <c r="E1018" s="88"/>
      <c r="F1018" s="59"/>
      <c r="G1018" s="59"/>
      <c r="H1018" s="77" t="s">
        <v>76</v>
      </c>
      <c r="I1018" s="82">
        <v>12000</v>
      </c>
      <c r="J1018" s="59"/>
      <c r="K1018" s="85"/>
      <c r="L1018" s="86"/>
      <c r="M1018" s="87"/>
      <c r="N1018" s="59"/>
      <c r="O1018" s="59"/>
      <c r="P1018" s="59"/>
      <c r="Q1018" s="59"/>
      <c r="R1018" s="59"/>
      <c r="S1018" s="59"/>
      <c r="T1018" s="59"/>
      <c r="U1018" s="59"/>
      <c r="V1018" s="59"/>
      <c r="W1018" s="59"/>
      <c r="X1018" s="59"/>
      <c r="Y1018" s="59"/>
      <c r="Z1018" s="59"/>
      <c r="AA1018" s="59"/>
      <c r="AB1018" s="59"/>
      <c r="AC1018" s="59"/>
      <c r="AD1018" s="59"/>
      <c r="AE1018" s="59"/>
      <c r="AF1018" s="59"/>
      <c r="AG1018" s="59"/>
      <c r="AH1018" s="59"/>
      <c r="AI1018" s="59"/>
      <c r="AJ1018" s="59"/>
      <c r="AK1018" s="59"/>
      <c r="AL1018" s="59"/>
      <c r="AM1018" s="59"/>
      <c r="AN1018" s="59"/>
      <c r="AO1018" s="59"/>
      <c r="AP1018" s="59"/>
      <c r="AQ1018" s="59"/>
      <c r="AR1018" s="59"/>
      <c r="AS1018" s="59"/>
      <c r="AT1018" s="59"/>
      <c r="AU1018" s="59"/>
      <c r="AV1018" s="59"/>
      <c r="AW1018" s="59"/>
      <c r="AX1018" s="59"/>
      <c r="AY1018" s="59"/>
      <c r="AZ1018" s="59"/>
      <c r="BA1018" s="59"/>
      <c r="BB1018" s="59"/>
      <c r="BC1018" s="59"/>
      <c r="BD1018" s="59"/>
      <c r="BE1018" s="59"/>
      <c r="BF1018" s="59"/>
      <c r="BG1018" s="59"/>
      <c r="BH1018" s="59"/>
      <c r="BI1018" s="59"/>
      <c r="BJ1018" s="59"/>
      <c r="BK1018" s="59"/>
      <c r="BL1018" s="59"/>
      <c r="BM1018" s="59"/>
      <c r="BN1018" s="59"/>
      <c r="BO1018" s="59"/>
      <c r="BP1018" s="59"/>
      <c r="BQ1018" s="59"/>
      <c r="BR1018" s="59"/>
      <c r="BS1018" s="59"/>
      <c r="BT1018" s="59"/>
      <c r="BU1018" s="59"/>
      <c r="BV1018" s="59"/>
      <c r="BW1018" s="59"/>
      <c r="BX1018" s="59"/>
      <c r="BY1018" s="59"/>
      <c r="BZ1018" s="59"/>
      <c r="CA1018" s="59"/>
      <c r="CB1018" s="59"/>
    </row>
    <row r="1019" spans="1:80">
      <c r="A1019" s="74">
        <v>1018</v>
      </c>
      <c r="B1019" s="66" t="s">
        <v>67</v>
      </c>
      <c r="C1019" s="67" t="s">
        <v>302</v>
      </c>
      <c r="D1019" s="59" t="s">
        <v>261</v>
      </c>
      <c r="E1019" s="88"/>
      <c r="F1019" s="59"/>
      <c r="G1019" s="59"/>
      <c r="H1019" s="77" t="s">
        <v>76</v>
      </c>
      <c r="I1019" s="82">
        <v>12000</v>
      </c>
      <c r="J1019" s="59"/>
      <c r="K1019" s="85"/>
      <c r="L1019" s="86"/>
      <c r="M1019" s="87"/>
      <c r="N1019" s="59"/>
      <c r="O1019" s="59"/>
      <c r="P1019" s="59"/>
      <c r="Q1019" s="59"/>
      <c r="R1019" s="59"/>
      <c r="S1019" s="59"/>
      <c r="T1019" s="59"/>
      <c r="U1019" s="59"/>
      <c r="V1019" s="59"/>
      <c r="W1019" s="59"/>
      <c r="X1019" s="59"/>
      <c r="Y1019" s="59"/>
      <c r="Z1019" s="59"/>
      <c r="AA1019" s="59"/>
      <c r="AB1019" s="59"/>
      <c r="AC1019" s="59"/>
      <c r="AD1019" s="59"/>
      <c r="AE1019" s="59"/>
      <c r="AF1019" s="59"/>
      <c r="AG1019" s="59"/>
      <c r="AH1019" s="59"/>
      <c r="AI1019" s="59"/>
      <c r="AJ1019" s="59"/>
      <c r="AK1019" s="59"/>
      <c r="AL1019" s="59"/>
      <c r="AM1019" s="59"/>
      <c r="AN1019" s="59"/>
      <c r="AO1019" s="59"/>
      <c r="AP1019" s="59"/>
      <c r="AQ1019" s="59"/>
      <c r="AR1019" s="59"/>
      <c r="AS1019" s="59"/>
      <c r="AT1019" s="59"/>
      <c r="AU1019" s="59"/>
      <c r="AV1019" s="59"/>
      <c r="AW1019" s="59"/>
      <c r="AX1019" s="59"/>
      <c r="AY1019" s="59"/>
      <c r="AZ1019" s="59"/>
      <c r="BA1019" s="59"/>
      <c r="BB1019" s="59"/>
      <c r="BC1019" s="59"/>
      <c r="BD1019" s="59"/>
      <c r="BE1019" s="59"/>
      <c r="BF1019" s="59"/>
      <c r="BG1019" s="59"/>
      <c r="BH1019" s="59"/>
      <c r="BI1019" s="59"/>
      <c r="BJ1019" s="59"/>
      <c r="BK1019" s="59"/>
      <c r="BL1019" s="59"/>
      <c r="BM1019" s="59"/>
      <c r="BN1019" s="59"/>
      <c r="BO1019" s="59"/>
      <c r="BP1019" s="59"/>
      <c r="BQ1019" s="59"/>
      <c r="BR1019" s="59"/>
      <c r="BS1019" s="59"/>
      <c r="BT1019" s="59"/>
      <c r="BU1019" s="59"/>
      <c r="BV1019" s="59"/>
      <c r="BW1019" s="59"/>
      <c r="BX1019" s="59"/>
      <c r="BY1019" s="59"/>
      <c r="BZ1019" s="59"/>
      <c r="CA1019" s="59"/>
      <c r="CB1019" s="59"/>
    </row>
    <row r="1020" spans="1:80">
      <c r="A1020" s="74">
        <v>1019</v>
      </c>
      <c r="B1020" s="66" t="s">
        <v>67</v>
      </c>
      <c r="C1020" s="67" t="s">
        <v>302</v>
      </c>
      <c r="D1020" s="59" t="s">
        <v>262</v>
      </c>
      <c r="E1020" s="88"/>
      <c r="F1020" s="59"/>
      <c r="G1020" s="59"/>
      <c r="H1020" s="77" t="s">
        <v>76</v>
      </c>
      <c r="I1020" s="82">
        <v>12000</v>
      </c>
      <c r="J1020" s="59"/>
      <c r="K1020" s="85"/>
      <c r="L1020" s="86"/>
      <c r="M1020" s="87"/>
      <c r="N1020" s="59"/>
      <c r="O1020" s="59"/>
      <c r="P1020" s="59"/>
      <c r="Q1020" s="59"/>
      <c r="R1020" s="59"/>
      <c r="S1020" s="59"/>
      <c r="T1020" s="59"/>
      <c r="U1020" s="59"/>
      <c r="V1020" s="59"/>
      <c r="W1020" s="59"/>
      <c r="X1020" s="59"/>
      <c r="Y1020" s="59"/>
      <c r="Z1020" s="59"/>
      <c r="AA1020" s="59"/>
      <c r="AB1020" s="59"/>
      <c r="AC1020" s="59"/>
      <c r="AD1020" s="59"/>
      <c r="AE1020" s="59"/>
      <c r="AF1020" s="59"/>
      <c r="AG1020" s="59"/>
      <c r="AH1020" s="59"/>
      <c r="AI1020" s="59"/>
      <c r="AJ1020" s="59"/>
      <c r="AK1020" s="59"/>
      <c r="AL1020" s="59"/>
      <c r="AM1020" s="59"/>
      <c r="AN1020" s="59"/>
      <c r="AO1020" s="59"/>
      <c r="AP1020" s="59"/>
      <c r="AQ1020" s="59"/>
      <c r="AR1020" s="59"/>
      <c r="AS1020" s="59"/>
      <c r="AT1020" s="59"/>
      <c r="AU1020" s="59"/>
      <c r="AV1020" s="59"/>
      <c r="AW1020" s="59"/>
      <c r="AX1020" s="59"/>
      <c r="AY1020" s="59"/>
      <c r="AZ1020" s="59"/>
      <c r="BA1020" s="59"/>
      <c r="BB1020" s="59"/>
      <c r="BC1020" s="59"/>
      <c r="BD1020" s="59"/>
      <c r="BE1020" s="59"/>
      <c r="BF1020" s="59"/>
      <c r="BG1020" s="59"/>
      <c r="BH1020" s="59"/>
      <c r="BI1020" s="59"/>
      <c r="BJ1020" s="59"/>
      <c r="BK1020" s="59"/>
      <c r="BL1020" s="59"/>
      <c r="BM1020" s="59"/>
      <c r="BN1020" s="59"/>
      <c r="BO1020" s="59"/>
      <c r="BP1020" s="59"/>
      <c r="BQ1020" s="59"/>
      <c r="BR1020" s="59"/>
      <c r="BS1020" s="59"/>
      <c r="BT1020" s="59"/>
      <c r="BU1020" s="59"/>
      <c r="BV1020" s="59"/>
      <c r="BW1020" s="59"/>
      <c r="BX1020" s="59"/>
      <c r="BY1020" s="59"/>
      <c r="BZ1020" s="59"/>
      <c r="CA1020" s="59"/>
      <c r="CB1020" s="59"/>
    </row>
    <row r="1021" spans="1:80">
      <c r="A1021" s="74">
        <v>1020</v>
      </c>
      <c r="B1021" s="66" t="s">
        <v>67</v>
      </c>
      <c r="C1021" s="67" t="s">
        <v>302</v>
      </c>
      <c r="D1021" s="59" t="s">
        <v>263</v>
      </c>
      <c r="E1021" s="88"/>
      <c r="F1021" s="59"/>
      <c r="G1021" s="59"/>
      <c r="H1021" s="77" t="s">
        <v>76</v>
      </c>
      <c r="I1021" s="82">
        <v>12000</v>
      </c>
      <c r="J1021" s="59"/>
      <c r="K1021" s="85"/>
      <c r="L1021" s="86"/>
      <c r="M1021" s="87"/>
      <c r="N1021" s="59"/>
      <c r="O1021" s="59"/>
      <c r="P1021" s="59"/>
      <c r="Q1021" s="59"/>
      <c r="R1021" s="59"/>
      <c r="S1021" s="59"/>
      <c r="T1021" s="59"/>
      <c r="U1021" s="59"/>
      <c r="V1021" s="59"/>
      <c r="W1021" s="59"/>
      <c r="X1021" s="59"/>
      <c r="Y1021" s="59"/>
      <c r="Z1021" s="59"/>
      <c r="AA1021" s="59"/>
      <c r="AB1021" s="59"/>
      <c r="AC1021" s="59"/>
      <c r="AD1021" s="59"/>
      <c r="AE1021" s="59"/>
      <c r="AF1021" s="59"/>
      <c r="AG1021" s="59"/>
      <c r="AH1021" s="59"/>
      <c r="AI1021" s="59"/>
      <c r="AJ1021" s="59"/>
      <c r="AK1021" s="59"/>
      <c r="AL1021" s="59"/>
      <c r="AM1021" s="59"/>
      <c r="AN1021" s="59"/>
      <c r="AO1021" s="59"/>
      <c r="AP1021" s="59"/>
      <c r="AQ1021" s="59"/>
      <c r="AR1021" s="59"/>
      <c r="AS1021" s="59"/>
      <c r="AT1021" s="59"/>
      <c r="AU1021" s="59"/>
      <c r="AV1021" s="59"/>
      <c r="AW1021" s="59"/>
      <c r="AX1021" s="59"/>
      <c r="AY1021" s="59"/>
      <c r="AZ1021" s="59"/>
      <c r="BA1021" s="59"/>
      <c r="BB1021" s="59"/>
      <c r="BC1021" s="59"/>
      <c r="BD1021" s="59"/>
      <c r="BE1021" s="59"/>
      <c r="BF1021" s="59"/>
      <c r="BG1021" s="59"/>
      <c r="BH1021" s="59"/>
      <c r="BI1021" s="59"/>
      <c r="BJ1021" s="59"/>
      <c r="BK1021" s="59"/>
      <c r="BL1021" s="59"/>
      <c r="BM1021" s="59"/>
      <c r="BN1021" s="59"/>
      <c r="BO1021" s="59"/>
      <c r="BP1021" s="59"/>
      <c r="BQ1021" s="59"/>
      <c r="BR1021" s="59"/>
      <c r="BS1021" s="59"/>
      <c r="BT1021" s="59"/>
      <c r="BU1021" s="59"/>
      <c r="BV1021" s="59"/>
      <c r="BW1021" s="59"/>
      <c r="BX1021" s="59"/>
      <c r="BY1021" s="59"/>
      <c r="BZ1021" s="59"/>
      <c r="CA1021" s="59"/>
      <c r="CB1021" s="59"/>
    </row>
    <row r="1022" spans="1:80">
      <c r="A1022" s="74">
        <v>1021</v>
      </c>
      <c r="B1022" s="66" t="s">
        <v>67</v>
      </c>
      <c r="C1022" s="67" t="s">
        <v>302</v>
      </c>
      <c r="D1022" s="59" t="s">
        <v>264</v>
      </c>
      <c r="E1022" s="88"/>
      <c r="F1022" s="59"/>
      <c r="G1022" s="59"/>
      <c r="H1022" s="77" t="s">
        <v>76</v>
      </c>
      <c r="I1022" s="82">
        <v>12000</v>
      </c>
      <c r="J1022" s="59"/>
      <c r="K1022" s="85"/>
      <c r="L1022" s="86"/>
      <c r="M1022" s="87"/>
      <c r="N1022" s="59"/>
      <c r="O1022" s="59"/>
      <c r="P1022" s="59"/>
      <c r="Q1022" s="59"/>
      <c r="R1022" s="59"/>
      <c r="S1022" s="59"/>
      <c r="T1022" s="59"/>
      <c r="U1022" s="59"/>
      <c r="V1022" s="59"/>
      <c r="W1022" s="59"/>
      <c r="X1022" s="59"/>
      <c r="Y1022" s="59"/>
      <c r="Z1022" s="59"/>
      <c r="AA1022" s="59"/>
      <c r="AB1022" s="59"/>
      <c r="AC1022" s="59"/>
      <c r="AD1022" s="59"/>
      <c r="AE1022" s="59"/>
      <c r="AF1022" s="59"/>
      <c r="AG1022" s="59"/>
      <c r="AH1022" s="59"/>
      <c r="AI1022" s="59"/>
      <c r="AJ1022" s="59"/>
      <c r="AK1022" s="59"/>
      <c r="AL1022" s="59"/>
      <c r="AM1022" s="59"/>
      <c r="AN1022" s="59"/>
      <c r="AO1022" s="59"/>
      <c r="AP1022" s="59"/>
      <c r="AQ1022" s="59"/>
      <c r="AR1022" s="59"/>
      <c r="AS1022" s="59"/>
      <c r="AT1022" s="59"/>
      <c r="AU1022" s="59"/>
      <c r="AV1022" s="59"/>
      <c r="AW1022" s="59"/>
      <c r="AX1022" s="59"/>
      <c r="AY1022" s="59"/>
      <c r="AZ1022" s="59"/>
      <c r="BA1022" s="59"/>
      <c r="BB1022" s="59"/>
      <c r="BC1022" s="59"/>
      <c r="BD1022" s="59"/>
      <c r="BE1022" s="59"/>
      <c r="BF1022" s="59"/>
      <c r="BG1022" s="59"/>
      <c r="BH1022" s="59"/>
      <c r="BI1022" s="59"/>
      <c r="BJ1022" s="59"/>
      <c r="BK1022" s="59"/>
      <c r="BL1022" s="59"/>
      <c r="BM1022" s="59"/>
      <c r="BN1022" s="59"/>
      <c r="BO1022" s="59"/>
      <c r="BP1022" s="59"/>
      <c r="BQ1022" s="59"/>
      <c r="BR1022" s="59"/>
      <c r="BS1022" s="59"/>
      <c r="BT1022" s="59"/>
      <c r="BU1022" s="59"/>
      <c r="BV1022" s="59"/>
      <c r="BW1022" s="59"/>
      <c r="BX1022" s="59"/>
      <c r="BY1022" s="59"/>
      <c r="BZ1022" s="59"/>
      <c r="CA1022" s="59"/>
      <c r="CB1022" s="59"/>
    </row>
    <row r="1023" spans="1:80">
      <c r="A1023" s="74">
        <v>1022</v>
      </c>
      <c r="B1023" s="66" t="s">
        <v>67</v>
      </c>
      <c r="C1023" s="67" t="s">
        <v>302</v>
      </c>
      <c r="D1023" s="59" t="s">
        <v>265</v>
      </c>
      <c r="E1023" s="88"/>
      <c r="F1023" s="59"/>
      <c r="G1023" s="59"/>
      <c r="H1023" s="77" t="s">
        <v>76</v>
      </c>
      <c r="I1023" s="82">
        <v>12000</v>
      </c>
      <c r="J1023" s="59"/>
      <c r="K1023" s="85"/>
      <c r="L1023" s="86"/>
      <c r="M1023" s="87"/>
      <c r="N1023" s="59"/>
      <c r="O1023" s="59"/>
      <c r="P1023" s="59"/>
      <c r="Q1023" s="59"/>
      <c r="R1023" s="59"/>
      <c r="S1023" s="59"/>
      <c r="T1023" s="59"/>
      <c r="U1023" s="59"/>
      <c r="V1023" s="59"/>
      <c r="W1023" s="59"/>
      <c r="X1023" s="59"/>
      <c r="Y1023" s="59"/>
      <c r="Z1023" s="59"/>
      <c r="AA1023" s="59"/>
      <c r="AB1023" s="59"/>
      <c r="AC1023" s="59"/>
      <c r="AD1023" s="59"/>
      <c r="AE1023" s="59"/>
      <c r="AF1023" s="59"/>
      <c r="AG1023" s="59"/>
      <c r="AH1023" s="59"/>
      <c r="AI1023" s="59"/>
      <c r="AJ1023" s="59"/>
      <c r="AK1023" s="59"/>
      <c r="AL1023" s="59"/>
      <c r="AM1023" s="59"/>
      <c r="AN1023" s="59"/>
      <c r="AO1023" s="59"/>
      <c r="AP1023" s="59"/>
      <c r="AQ1023" s="59"/>
      <c r="AR1023" s="59"/>
      <c r="AS1023" s="59"/>
      <c r="AT1023" s="59"/>
      <c r="AU1023" s="59"/>
      <c r="AV1023" s="59"/>
      <c r="AW1023" s="59"/>
      <c r="AX1023" s="59"/>
      <c r="AY1023" s="59"/>
      <c r="AZ1023" s="59"/>
      <c r="BA1023" s="59"/>
      <c r="BB1023" s="59"/>
      <c r="BC1023" s="59"/>
      <c r="BD1023" s="59"/>
      <c r="BE1023" s="59"/>
      <c r="BF1023" s="59"/>
      <c r="BG1023" s="59"/>
      <c r="BH1023" s="59"/>
      <c r="BI1023" s="59"/>
      <c r="BJ1023" s="59"/>
      <c r="BK1023" s="59"/>
      <c r="BL1023" s="59"/>
      <c r="BM1023" s="59"/>
      <c r="BN1023" s="59"/>
      <c r="BO1023" s="59"/>
      <c r="BP1023" s="59"/>
      <c r="BQ1023" s="59"/>
      <c r="BR1023" s="59"/>
      <c r="BS1023" s="59"/>
      <c r="BT1023" s="59"/>
      <c r="BU1023" s="59"/>
      <c r="BV1023" s="59"/>
      <c r="BW1023" s="59"/>
      <c r="BX1023" s="59"/>
      <c r="BY1023" s="59"/>
      <c r="BZ1023" s="59"/>
      <c r="CA1023" s="59"/>
      <c r="CB1023" s="59"/>
    </row>
    <row r="1024" spans="1:80">
      <c r="A1024" s="74">
        <v>1023</v>
      </c>
      <c r="B1024" s="66" t="s">
        <v>67</v>
      </c>
      <c r="C1024" s="67" t="s">
        <v>302</v>
      </c>
      <c r="D1024" s="59" t="s">
        <v>266</v>
      </c>
      <c r="E1024" s="88"/>
      <c r="F1024" s="59"/>
      <c r="G1024" s="59"/>
      <c r="H1024" s="77" t="s">
        <v>76</v>
      </c>
      <c r="I1024" s="82">
        <v>12000</v>
      </c>
      <c r="J1024" s="59"/>
      <c r="K1024" s="85"/>
      <c r="L1024" s="86"/>
      <c r="M1024" s="87"/>
      <c r="N1024" s="59"/>
      <c r="O1024" s="59"/>
      <c r="P1024" s="59"/>
      <c r="Q1024" s="59"/>
      <c r="R1024" s="59"/>
      <c r="S1024" s="59"/>
      <c r="T1024" s="59"/>
      <c r="U1024" s="59"/>
      <c r="V1024" s="59"/>
      <c r="W1024" s="59"/>
      <c r="X1024" s="59"/>
      <c r="Y1024" s="59"/>
      <c r="Z1024" s="59"/>
      <c r="AA1024" s="59"/>
      <c r="AB1024" s="59"/>
      <c r="AC1024" s="59"/>
      <c r="AD1024" s="59"/>
      <c r="AE1024" s="59"/>
      <c r="AF1024" s="59"/>
      <c r="AG1024" s="59"/>
      <c r="AH1024" s="59"/>
      <c r="AI1024" s="59"/>
      <c r="AJ1024" s="59"/>
      <c r="AK1024" s="59"/>
      <c r="AL1024" s="59"/>
      <c r="AM1024" s="59"/>
      <c r="AN1024" s="59"/>
      <c r="AO1024" s="59"/>
      <c r="AP1024" s="59"/>
      <c r="AQ1024" s="59"/>
      <c r="AR1024" s="59"/>
      <c r="AS1024" s="59"/>
      <c r="AT1024" s="59"/>
      <c r="AU1024" s="59"/>
      <c r="AV1024" s="59"/>
      <c r="AW1024" s="59"/>
      <c r="AX1024" s="59"/>
      <c r="AY1024" s="59"/>
      <c r="AZ1024" s="59"/>
      <c r="BA1024" s="59"/>
      <c r="BB1024" s="59"/>
      <c r="BC1024" s="59"/>
      <c r="BD1024" s="59"/>
      <c r="BE1024" s="59"/>
      <c r="BF1024" s="59"/>
      <c r="BG1024" s="59"/>
      <c r="BH1024" s="59"/>
      <c r="BI1024" s="59"/>
      <c r="BJ1024" s="59"/>
      <c r="BK1024" s="59"/>
      <c r="BL1024" s="59"/>
      <c r="BM1024" s="59"/>
      <c r="BN1024" s="59"/>
      <c r="BO1024" s="59"/>
      <c r="BP1024" s="59"/>
      <c r="BQ1024" s="59"/>
      <c r="BR1024" s="59"/>
      <c r="BS1024" s="59"/>
      <c r="BT1024" s="59"/>
      <c r="BU1024" s="59"/>
      <c r="BV1024" s="59"/>
      <c r="BW1024" s="59"/>
      <c r="BX1024" s="59"/>
      <c r="BY1024" s="59"/>
      <c r="BZ1024" s="59"/>
      <c r="CA1024" s="59"/>
      <c r="CB1024" s="59"/>
    </row>
    <row r="1025" spans="1:80">
      <c r="A1025" s="74">
        <v>1024</v>
      </c>
      <c r="B1025" s="66" t="s">
        <v>67</v>
      </c>
      <c r="C1025" s="67" t="s">
        <v>302</v>
      </c>
      <c r="D1025" s="59" t="s">
        <v>267</v>
      </c>
      <c r="E1025" s="88"/>
      <c r="F1025" s="59"/>
      <c r="G1025" s="59"/>
      <c r="H1025" s="77" t="s">
        <v>76</v>
      </c>
      <c r="I1025" s="82">
        <v>12000</v>
      </c>
      <c r="J1025" s="59"/>
      <c r="K1025" s="85"/>
      <c r="L1025" s="86"/>
      <c r="M1025" s="87"/>
      <c r="N1025" s="59"/>
      <c r="O1025" s="59"/>
      <c r="P1025" s="59"/>
      <c r="Q1025" s="59"/>
      <c r="R1025" s="59"/>
      <c r="S1025" s="59"/>
      <c r="T1025" s="59"/>
      <c r="U1025" s="59"/>
      <c r="V1025" s="59"/>
      <c r="W1025" s="59"/>
      <c r="X1025" s="59"/>
      <c r="Y1025" s="59"/>
      <c r="Z1025" s="59"/>
      <c r="AA1025" s="59"/>
      <c r="AB1025" s="59"/>
      <c r="AC1025" s="59"/>
      <c r="AD1025" s="59"/>
      <c r="AE1025" s="59"/>
      <c r="AF1025" s="59"/>
      <c r="AG1025" s="59"/>
      <c r="AH1025" s="59"/>
      <c r="AI1025" s="59"/>
      <c r="AJ1025" s="59"/>
      <c r="AK1025" s="59"/>
      <c r="AL1025" s="59"/>
      <c r="AM1025" s="59"/>
      <c r="AN1025" s="59"/>
      <c r="AO1025" s="59"/>
      <c r="AP1025" s="59"/>
      <c r="AQ1025" s="59"/>
      <c r="AR1025" s="59"/>
      <c r="AS1025" s="59"/>
      <c r="AT1025" s="59"/>
      <c r="AU1025" s="59"/>
      <c r="AV1025" s="59"/>
      <c r="AW1025" s="59"/>
      <c r="AX1025" s="59"/>
      <c r="AY1025" s="59"/>
      <c r="AZ1025" s="59"/>
      <c r="BA1025" s="59"/>
      <c r="BB1025" s="59"/>
      <c r="BC1025" s="59"/>
      <c r="BD1025" s="59"/>
      <c r="BE1025" s="59"/>
      <c r="BF1025" s="59"/>
      <c r="BG1025" s="59"/>
      <c r="BH1025" s="59"/>
      <c r="BI1025" s="59"/>
      <c r="BJ1025" s="59"/>
      <c r="BK1025" s="59"/>
      <c r="BL1025" s="59"/>
      <c r="BM1025" s="59"/>
      <c r="BN1025" s="59"/>
      <c r="BO1025" s="59"/>
      <c r="BP1025" s="59"/>
      <c r="BQ1025" s="59"/>
      <c r="BR1025" s="59"/>
      <c r="BS1025" s="59"/>
      <c r="BT1025" s="59"/>
      <c r="BU1025" s="59"/>
      <c r="BV1025" s="59"/>
      <c r="BW1025" s="59"/>
      <c r="BX1025" s="59"/>
      <c r="BY1025" s="59"/>
      <c r="BZ1025" s="59"/>
      <c r="CA1025" s="59"/>
      <c r="CB1025" s="59"/>
    </row>
    <row r="1026" spans="1:80">
      <c r="A1026" s="74">
        <v>1025</v>
      </c>
      <c r="B1026" s="66" t="s">
        <v>67</v>
      </c>
      <c r="C1026" s="67" t="s">
        <v>302</v>
      </c>
      <c r="D1026" s="59" t="s">
        <v>268</v>
      </c>
      <c r="E1026" s="88"/>
      <c r="F1026" s="59"/>
      <c r="G1026" s="59"/>
      <c r="H1026" s="77" t="s">
        <v>76</v>
      </c>
      <c r="I1026" s="82">
        <v>12000</v>
      </c>
      <c r="J1026" s="59"/>
      <c r="K1026" s="85"/>
      <c r="L1026" s="86"/>
      <c r="M1026" s="87"/>
      <c r="N1026" s="59"/>
      <c r="O1026" s="59"/>
      <c r="P1026" s="59"/>
      <c r="Q1026" s="59"/>
      <c r="R1026" s="59"/>
      <c r="S1026" s="59"/>
      <c r="T1026" s="59"/>
      <c r="U1026" s="59"/>
      <c r="V1026" s="59"/>
      <c r="W1026" s="59"/>
      <c r="X1026" s="59"/>
      <c r="Y1026" s="59"/>
      <c r="Z1026" s="59"/>
      <c r="AA1026" s="59"/>
      <c r="AB1026" s="59"/>
      <c r="AC1026" s="59"/>
      <c r="AD1026" s="59"/>
      <c r="AE1026" s="59"/>
      <c r="AF1026" s="59"/>
      <c r="AG1026" s="59"/>
      <c r="AH1026" s="59"/>
      <c r="AI1026" s="59"/>
      <c r="AJ1026" s="59"/>
      <c r="AK1026" s="59"/>
      <c r="AL1026" s="59"/>
      <c r="AM1026" s="59"/>
      <c r="AN1026" s="59"/>
      <c r="AO1026" s="59"/>
      <c r="AP1026" s="59"/>
      <c r="AQ1026" s="59"/>
      <c r="AR1026" s="59"/>
      <c r="AS1026" s="59"/>
      <c r="AT1026" s="59"/>
      <c r="AU1026" s="59"/>
      <c r="AV1026" s="59"/>
      <c r="AW1026" s="59"/>
      <c r="AX1026" s="59"/>
      <c r="AY1026" s="59"/>
      <c r="AZ1026" s="59"/>
      <c r="BA1026" s="59"/>
      <c r="BB1026" s="59"/>
      <c r="BC1026" s="59"/>
      <c r="BD1026" s="59"/>
      <c r="BE1026" s="59"/>
      <c r="BF1026" s="59"/>
      <c r="BG1026" s="59"/>
      <c r="BH1026" s="59"/>
      <c r="BI1026" s="59"/>
      <c r="BJ1026" s="59"/>
      <c r="BK1026" s="59"/>
      <c r="BL1026" s="59"/>
      <c r="BM1026" s="59"/>
      <c r="BN1026" s="59"/>
      <c r="BO1026" s="59"/>
      <c r="BP1026" s="59"/>
      <c r="BQ1026" s="59"/>
      <c r="BR1026" s="59"/>
      <c r="BS1026" s="59"/>
      <c r="BT1026" s="59"/>
      <c r="BU1026" s="59"/>
      <c r="BV1026" s="59"/>
      <c r="BW1026" s="59"/>
      <c r="BX1026" s="59"/>
      <c r="BY1026" s="59"/>
      <c r="BZ1026" s="59"/>
      <c r="CA1026" s="59"/>
      <c r="CB1026" s="59"/>
    </row>
    <row r="1027" spans="1:80">
      <c r="A1027" s="74">
        <v>1026</v>
      </c>
      <c r="B1027" s="66" t="s">
        <v>67</v>
      </c>
      <c r="C1027" s="67" t="s">
        <v>302</v>
      </c>
      <c r="D1027" s="59" t="s">
        <v>269</v>
      </c>
      <c r="E1027" s="88"/>
      <c r="F1027" s="59"/>
      <c r="G1027" s="59"/>
      <c r="H1027" s="77" t="s">
        <v>76</v>
      </c>
      <c r="I1027" s="82">
        <v>12000</v>
      </c>
      <c r="J1027" s="59"/>
      <c r="K1027" s="85"/>
      <c r="L1027" s="86"/>
      <c r="M1027" s="87"/>
      <c r="N1027" s="59"/>
      <c r="O1027" s="59"/>
      <c r="P1027" s="59"/>
      <c r="Q1027" s="59"/>
      <c r="R1027" s="59"/>
      <c r="S1027" s="59"/>
      <c r="T1027" s="59"/>
      <c r="U1027" s="59"/>
      <c r="V1027" s="59"/>
      <c r="W1027" s="59"/>
      <c r="X1027" s="59"/>
      <c r="Y1027" s="59"/>
      <c r="Z1027" s="59"/>
      <c r="AA1027" s="59"/>
      <c r="AB1027" s="59"/>
      <c r="AC1027" s="59"/>
      <c r="AD1027" s="59"/>
      <c r="AE1027" s="59"/>
      <c r="AF1027" s="59"/>
      <c r="AG1027" s="59"/>
      <c r="AH1027" s="59"/>
      <c r="AI1027" s="59"/>
      <c r="AJ1027" s="59"/>
      <c r="AK1027" s="59"/>
      <c r="AL1027" s="59"/>
      <c r="AM1027" s="59"/>
      <c r="AN1027" s="59"/>
      <c r="AO1027" s="59"/>
      <c r="AP1027" s="59"/>
      <c r="AQ1027" s="59"/>
      <c r="AR1027" s="59"/>
      <c r="AS1027" s="59"/>
      <c r="AT1027" s="59"/>
      <c r="AU1027" s="59"/>
      <c r="AV1027" s="59"/>
      <c r="AW1027" s="59"/>
      <c r="AX1027" s="59"/>
      <c r="AY1027" s="59"/>
      <c r="AZ1027" s="59"/>
      <c r="BA1027" s="59"/>
      <c r="BB1027" s="59"/>
      <c r="BC1027" s="59"/>
      <c r="BD1027" s="59"/>
      <c r="BE1027" s="59"/>
      <c r="BF1027" s="59"/>
      <c r="BG1027" s="59"/>
      <c r="BH1027" s="59"/>
      <c r="BI1027" s="59"/>
      <c r="BJ1027" s="59"/>
      <c r="BK1027" s="59"/>
      <c r="BL1027" s="59"/>
      <c r="BM1027" s="59"/>
      <c r="BN1027" s="59"/>
      <c r="BO1027" s="59"/>
      <c r="BP1027" s="59"/>
      <c r="BQ1027" s="59"/>
      <c r="BR1027" s="59"/>
      <c r="BS1027" s="59"/>
      <c r="BT1027" s="59"/>
      <c r="BU1027" s="59"/>
      <c r="BV1027" s="59"/>
      <c r="BW1027" s="59"/>
      <c r="BX1027" s="59"/>
      <c r="BY1027" s="59"/>
      <c r="BZ1027" s="59"/>
      <c r="CA1027" s="59"/>
      <c r="CB1027" s="59"/>
    </row>
    <row r="1028" spans="1:80">
      <c r="A1028" s="74">
        <v>1027</v>
      </c>
      <c r="B1028" s="66" t="s">
        <v>67</v>
      </c>
      <c r="C1028" s="67" t="s">
        <v>302</v>
      </c>
      <c r="D1028" s="59" t="s">
        <v>270</v>
      </c>
      <c r="E1028" s="88"/>
      <c r="F1028" s="59"/>
      <c r="G1028" s="59"/>
      <c r="H1028" s="77" t="s">
        <v>76</v>
      </c>
      <c r="I1028" s="82">
        <v>12000</v>
      </c>
      <c r="J1028" s="59"/>
      <c r="K1028" s="85"/>
      <c r="L1028" s="86"/>
      <c r="M1028" s="87"/>
      <c r="N1028" s="59"/>
      <c r="O1028" s="59"/>
      <c r="P1028" s="59"/>
      <c r="Q1028" s="59"/>
      <c r="R1028" s="59"/>
      <c r="S1028" s="59"/>
      <c r="T1028" s="59"/>
      <c r="U1028" s="59"/>
      <c r="V1028" s="59"/>
      <c r="W1028" s="59"/>
      <c r="X1028" s="59"/>
      <c r="Y1028" s="59"/>
      <c r="Z1028" s="59"/>
      <c r="AA1028" s="59"/>
      <c r="AB1028" s="59"/>
      <c r="AC1028" s="59"/>
      <c r="AD1028" s="59"/>
      <c r="AE1028" s="59"/>
      <c r="AF1028" s="59"/>
      <c r="AG1028" s="59"/>
      <c r="AH1028" s="59"/>
      <c r="AI1028" s="59"/>
      <c r="AJ1028" s="59"/>
      <c r="AK1028" s="59"/>
      <c r="AL1028" s="59"/>
      <c r="AM1028" s="59"/>
      <c r="AN1028" s="59"/>
      <c r="AO1028" s="59"/>
      <c r="AP1028" s="59"/>
      <c r="AQ1028" s="59"/>
      <c r="AR1028" s="59"/>
      <c r="AS1028" s="59"/>
      <c r="AT1028" s="59"/>
      <c r="AU1028" s="59"/>
      <c r="AV1028" s="59"/>
      <c r="AW1028" s="59"/>
      <c r="AX1028" s="59"/>
      <c r="AY1028" s="59"/>
      <c r="AZ1028" s="59"/>
      <c r="BA1028" s="59"/>
      <c r="BB1028" s="59"/>
      <c r="BC1028" s="59"/>
      <c r="BD1028" s="59"/>
      <c r="BE1028" s="59"/>
      <c r="BF1028" s="59"/>
      <c r="BG1028" s="59"/>
      <c r="BH1028" s="59"/>
      <c r="BI1028" s="59"/>
      <c r="BJ1028" s="59"/>
      <c r="BK1028" s="59"/>
      <c r="BL1028" s="59"/>
      <c r="BM1028" s="59"/>
      <c r="BN1028" s="59"/>
      <c r="BO1028" s="59"/>
      <c r="BP1028" s="59"/>
      <c r="BQ1028" s="59"/>
      <c r="BR1028" s="59"/>
      <c r="BS1028" s="59"/>
      <c r="BT1028" s="59"/>
      <c r="BU1028" s="59"/>
      <c r="BV1028" s="59"/>
      <c r="BW1028" s="59"/>
      <c r="BX1028" s="59"/>
      <c r="BY1028" s="59"/>
      <c r="BZ1028" s="59"/>
      <c r="CA1028" s="59"/>
      <c r="CB1028" s="59"/>
    </row>
    <row r="1029" spans="1:80">
      <c r="A1029" s="74">
        <v>1028</v>
      </c>
      <c r="B1029" s="66" t="s">
        <v>67</v>
      </c>
      <c r="C1029" s="67" t="s">
        <v>302</v>
      </c>
      <c r="D1029" s="59" t="s">
        <v>271</v>
      </c>
      <c r="E1029" s="88"/>
      <c r="F1029" s="59"/>
      <c r="G1029" s="59"/>
      <c r="H1029" s="77" t="s">
        <v>76</v>
      </c>
      <c r="I1029" s="82">
        <v>12000</v>
      </c>
      <c r="J1029" s="59"/>
      <c r="K1029" s="85"/>
      <c r="L1029" s="86"/>
      <c r="M1029" s="87"/>
      <c r="N1029" s="59"/>
      <c r="O1029" s="59"/>
      <c r="P1029" s="59"/>
      <c r="Q1029" s="59"/>
      <c r="R1029" s="59"/>
      <c r="S1029" s="59"/>
      <c r="T1029" s="59"/>
      <c r="U1029" s="59"/>
      <c r="V1029" s="59"/>
      <c r="W1029" s="59"/>
      <c r="X1029" s="59"/>
      <c r="Y1029" s="59"/>
      <c r="Z1029" s="59"/>
      <c r="AA1029" s="59"/>
      <c r="AB1029" s="59"/>
      <c r="AC1029" s="59"/>
      <c r="AD1029" s="59"/>
      <c r="AE1029" s="59"/>
      <c r="AF1029" s="59"/>
      <c r="AG1029" s="59"/>
      <c r="AH1029" s="59"/>
      <c r="AI1029" s="59"/>
      <c r="AJ1029" s="59"/>
      <c r="AK1029" s="59"/>
      <c r="AL1029" s="59"/>
      <c r="AM1029" s="59"/>
      <c r="AN1029" s="59"/>
      <c r="AO1029" s="59"/>
      <c r="AP1029" s="59"/>
      <c r="AQ1029" s="59"/>
      <c r="AR1029" s="59"/>
      <c r="AS1029" s="59"/>
      <c r="AT1029" s="59"/>
      <c r="AU1029" s="59"/>
      <c r="AV1029" s="59"/>
      <c r="AW1029" s="59"/>
      <c r="AX1029" s="59"/>
      <c r="AY1029" s="59"/>
      <c r="AZ1029" s="59"/>
      <c r="BA1029" s="59"/>
      <c r="BB1029" s="59"/>
      <c r="BC1029" s="59"/>
      <c r="BD1029" s="59"/>
      <c r="BE1029" s="59"/>
      <c r="BF1029" s="59"/>
      <c r="BG1029" s="59"/>
      <c r="BH1029" s="59"/>
      <c r="BI1029" s="59"/>
      <c r="BJ1029" s="59"/>
      <c r="BK1029" s="59"/>
      <c r="BL1029" s="59"/>
      <c r="BM1029" s="59"/>
      <c r="BN1029" s="59"/>
      <c r="BO1029" s="59"/>
      <c r="BP1029" s="59"/>
      <c r="BQ1029" s="59"/>
      <c r="BR1029" s="59"/>
      <c r="BS1029" s="59"/>
      <c r="BT1029" s="59"/>
      <c r="BU1029" s="59"/>
      <c r="BV1029" s="59"/>
      <c r="BW1029" s="59"/>
      <c r="BX1029" s="59"/>
      <c r="BY1029" s="59"/>
      <c r="BZ1029" s="59"/>
      <c r="CA1029" s="59"/>
      <c r="CB1029" s="59"/>
    </row>
    <row r="1030" spans="1:80">
      <c r="A1030" s="74">
        <v>1029</v>
      </c>
      <c r="B1030" s="66" t="s">
        <v>67</v>
      </c>
      <c r="C1030" s="67" t="s">
        <v>302</v>
      </c>
      <c r="D1030" s="59" t="s">
        <v>272</v>
      </c>
      <c r="E1030" s="88"/>
      <c r="F1030" s="59"/>
      <c r="G1030" s="59"/>
      <c r="H1030" s="77" t="s">
        <v>76</v>
      </c>
      <c r="I1030" s="82">
        <v>12000</v>
      </c>
      <c r="J1030" s="59"/>
      <c r="K1030" s="85"/>
      <c r="L1030" s="86"/>
      <c r="M1030" s="98"/>
      <c r="N1030" s="59"/>
      <c r="O1030" s="59"/>
      <c r="P1030" s="59"/>
      <c r="Q1030" s="59"/>
      <c r="R1030" s="59"/>
      <c r="S1030" s="59"/>
      <c r="T1030" s="59"/>
      <c r="U1030" s="59"/>
      <c r="V1030" s="59"/>
      <c r="W1030" s="59"/>
      <c r="X1030" s="59"/>
      <c r="Y1030" s="59"/>
      <c r="Z1030" s="59"/>
      <c r="AA1030" s="59"/>
      <c r="AB1030" s="59"/>
      <c r="AC1030" s="59"/>
      <c r="AD1030" s="59"/>
      <c r="AE1030" s="59"/>
      <c r="AF1030" s="59"/>
      <c r="AG1030" s="59"/>
      <c r="AH1030" s="59"/>
      <c r="AI1030" s="59"/>
      <c r="AJ1030" s="59"/>
      <c r="AK1030" s="59"/>
      <c r="AL1030" s="59"/>
      <c r="AM1030" s="59"/>
      <c r="AN1030" s="59"/>
      <c r="AO1030" s="59"/>
      <c r="AP1030" s="59"/>
      <c r="AQ1030" s="59"/>
      <c r="AR1030" s="59"/>
      <c r="AS1030" s="59"/>
      <c r="AT1030" s="59"/>
      <c r="AU1030" s="59"/>
      <c r="AV1030" s="59"/>
      <c r="AW1030" s="59"/>
      <c r="AX1030" s="59"/>
      <c r="AY1030" s="59"/>
      <c r="AZ1030" s="59"/>
      <c r="BA1030" s="59"/>
      <c r="BB1030" s="59"/>
      <c r="BC1030" s="59"/>
      <c r="BD1030" s="59"/>
      <c r="BE1030" s="59"/>
      <c r="BF1030" s="59"/>
      <c r="BG1030" s="59"/>
      <c r="BH1030" s="59"/>
      <c r="BI1030" s="59"/>
      <c r="BJ1030" s="59"/>
      <c r="BK1030" s="59"/>
      <c r="BL1030" s="59"/>
      <c r="BM1030" s="59"/>
      <c r="BN1030" s="59"/>
      <c r="BO1030" s="59"/>
      <c r="BP1030" s="59"/>
      <c r="BQ1030" s="59"/>
      <c r="BR1030" s="59"/>
      <c r="BS1030" s="59"/>
      <c r="BT1030" s="59"/>
      <c r="BU1030" s="59"/>
      <c r="BV1030" s="59"/>
      <c r="BW1030" s="59"/>
      <c r="BX1030" s="59"/>
      <c r="BY1030" s="59"/>
      <c r="BZ1030" s="59"/>
      <c r="CA1030" s="59"/>
      <c r="CB1030" s="59"/>
    </row>
    <row r="1031" spans="1:80">
      <c r="A1031" s="74">
        <v>1030</v>
      </c>
      <c r="B1031" s="66" t="s">
        <v>67</v>
      </c>
      <c r="C1031" s="67" t="s">
        <v>302</v>
      </c>
      <c r="D1031" s="59" t="s">
        <v>273</v>
      </c>
      <c r="E1031" s="88"/>
      <c r="F1031" s="59"/>
      <c r="G1031" s="59"/>
      <c r="H1031" s="77" t="s">
        <v>71</v>
      </c>
      <c r="I1031" s="78">
        <v>16000</v>
      </c>
      <c r="J1031" s="59"/>
      <c r="K1031" s="85"/>
      <c r="L1031" s="86"/>
      <c r="M1031" s="87"/>
      <c r="N1031" s="59"/>
      <c r="O1031" s="59"/>
      <c r="P1031" s="59"/>
      <c r="Q1031" s="59"/>
      <c r="R1031" s="59"/>
      <c r="S1031" s="59"/>
      <c r="T1031" s="59"/>
      <c r="U1031" s="59"/>
      <c r="V1031" s="59"/>
      <c r="W1031" s="59"/>
      <c r="X1031" s="59"/>
      <c r="Y1031" s="59"/>
      <c r="Z1031" s="59"/>
      <c r="AA1031" s="59"/>
      <c r="AB1031" s="59"/>
      <c r="AC1031" s="59"/>
      <c r="AD1031" s="59"/>
      <c r="AE1031" s="59"/>
      <c r="AF1031" s="59"/>
      <c r="AG1031" s="59"/>
      <c r="AH1031" s="59"/>
      <c r="AI1031" s="59"/>
      <c r="AJ1031" s="59"/>
      <c r="AK1031" s="59"/>
      <c r="AL1031" s="59"/>
      <c r="AM1031" s="59"/>
      <c r="AN1031" s="59"/>
      <c r="AO1031" s="59"/>
      <c r="AP1031" s="59"/>
      <c r="AQ1031" s="59"/>
      <c r="AR1031" s="59"/>
      <c r="AS1031" s="59"/>
      <c r="AT1031" s="59"/>
      <c r="AU1031" s="59"/>
      <c r="AV1031" s="59"/>
      <c r="AW1031" s="59"/>
      <c r="AX1031" s="59"/>
      <c r="AY1031" s="59"/>
      <c r="AZ1031" s="59"/>
      <c r="BA1031" s="59"/>
      <c r="BB1031" s="59"/>
      <c r="BC1031" s="59"/>
      <c r="BD1031" s="59"/>
      <c r="BE1031" s="59"/>
      <c r="BF1031" s="59"/>
      <c r="BG1031" s="59"/>
      <c r="BH1031" s="59"/>
      <c r="BI1031" s="59"/>
      <c r="BJ1031" s="59"/>
      <c r="BK1031" s="59"/>
      <c r="BL1031" s="59"/>
      <c r="BM1031" s="59"/>
      <c r="BN1031" s="59"/>
      <c r="BO1031" s="59"/>
      <c r="BP1031" s="59"/>
      <c r="BQ1031" s="59"/>
      <c r="BR1031" s="59"/>
      <c r="BS1031" s="59"/>
      <c r="BT1031" s="59"/>
      <c r="BU1031" s="59"/>
      <c r="BV1031" s="59"/>
      <c r="BW1031" s="59"/>
      <c r="BX1031" s="59"/>
      <c r="BY1031" s="59"/>
      <c r="BZ1031" s="59"/>
      <c r="CA1031" s="59"/>
      <c r="CB1031" s="59"/>
    </row>
    <row r="1032" spans="1:80">
      <c r="A1032" s="74">
        <v>1031</v>
      </c>
      <c r="B1032" s="66" t="s">
        <v>67</v>
      </c>
      <c r="C1032" s="67" t="s">
        <v>302</v>
      </c>
      <c r="D1032" s="59" t="s">
        <v>274</v>
      </c>
      <c r="E1032" s="88"/>
      <c r="F1032" s="59"/>
      <c r="G1032" s="59"/>
      <c r="H1032" s="77" t="s">
        <v>76</v>
      </c>
      <c r="I1032" s="82">
        <v>12000</v>
      </c>
      <c r="J1032" s="59"/>
      <c r="K1032" s="85"/>
      <c r="L1032" s="86"/>
      <c r="M1032" s="99"/>
      <c r="N1032" s="59"/>
      <c r="O1032" s="59"/>
      <c r="P1032" s="59"/>
      <c r="Q1032" s="59"/>
      <c r="R1032" s="59"/>
      <c r="S1032" s="59"/>
      <c r="T1032" s="59"/>
      <c r="U1032" s="59"/>
      <c r="V1032" s="59"/>
      <c r="W1032" s="59"/>
      <c r="X1032" s="59"/>
      <c r="Y1032" s="59"/>
      <c r="Z1032" s="59"/>
      <c r="AA1032" s="59"/>
      <c r="AB1032" s="59"/>
      <c r="AC1032" s="59"/>
      <c r="AD1032" s="59"/>
      <c r="AE1032" s="59"/>
      <c r="AF1032" s="59"/>
      <c r="AG1032" s="59"/>
      <c r="AH1032" s="59"/>
      <c r="AI1032" s="59"/>
      <c r="AJ1032" s="59"/>
      <c r="AK1032" s="59"/>
      <c r="AL1032" s="59"/>
      <c r="AM1032" s="59"/>
      <c r="AN1032" s="59"/>
      <c r="AO1032" s="59"/>
      <c r="AP1032" s="59"/>
      <c r="AQ1032" s="59"/>
      <c r="AR1032" s="59"/>
      <c r="AS1032" s="59"/>
      <c r="AT1032" s="59"/>
      <c r="AU1032" s="59"/>
      <c r="AV1032" s="59"/>
      <c r="AW1032" s="59"/>
      <c r="AX1032" s="59"/>
      <c r="AY1032" s="59"/>
      <c r="AZ1032" s="59"/>
      <c r="BA1032" s="59"/>
      <c r="BB1032" s="59"/>
      <c r="BC1032" s="59"/>
      <c r="BD1032" s="59"/>
      <c r="BE1032" s="59"/>
      <c r="BF1032" s="59"/>
      <c r="BG1032" s="59"/>
      <c r="BH1032" s="59"/>
      <c r="BI1032" s="59"/>
      <c r="BJ1032" s="59"/>
      <c r="BK1032" s="59"/>
      <c r="BL1032" s="59"/>
      <c r="BM1032" s="59"/>
      <c r="BN1032" s="59"/>
      <c r="BO1032" s="59"/>
      <c r="BP1032" s="59"/>
      <c r="BQ1032" s="59"/>
      <c r="BR1032" s="59"/>
      <c r="BS1032" s="59"/>
      <c r="BT1032" s="59"/>
      <c r="BU1032" s="59"/>
      <c r="BV1032" s="59"/>
      <c r="BW1032" s="59"/>
      <c r="BX1032" s="59"/>
      <c r="BY1032" s="59"/>
      <c r="BZ1032" s="59"/>
      <c r="CA1032" s="59"/>
      <c r="CB1032" s="59"/>
    </row>
    <row r="1033" spans="1:80">
      <c r="A1033" s="74">
        <v>1032</v>
      </c>
      <c r="B1033" s="66" t="s">
        <v>67</v>
      </c>
      <c r="C1033" s="67" t="s">
        <v>302</v>
      </c>
      <c r="D1033" s="59" t="s">
        <v>275</v>
      </c>
      <c r="E1033" s="88"/>
      <c r="F1033" s="59"/>
      <c r="G1033" s="59"/>
      <c r="H1033" s="77" t="s">
        <v>76</v>
      </c>
      <c r="I1033" s="82">
        <v>12000</v>
      </c>
      <c r="J1033" s="59"/>
      <c r="K1033" s="85"/>
      <c r="L1033" s="86"/>
      <c r="M1033" s="87"/>
      <c r="N1033" s="59"/>
      <c r="O1033" s="59"/>
      <c r="P1033" s="59"/>
      <c r="Q1033" s="59"/>
      <c r="R1033" s="59"/>
      <c r="S1033" s="59"/>
      <c r="T1033" s="59"/>
      <c r="U1033" s="59"/>
      <c r="V1033" s="59"/>
      <c r="W1033" s="59"/>
      <c r="X1033" s="59"/>
      <c r="Y1033" s="59"/>
      <c r="Z1033" s="59"/>
      <c r="AA1033" s="59"/>
      <c r="AB1033" s="59"/>
      <c r="AC1033" s="59"/>
      <c r="AD1033" s="59"/>
      <c r="AE1033" s="59"/>
      <c r="AF1033" s="59"/>
      <c r="AG1033" s="59"/>
      <c r="AH1033" s="59"/>
      <c r="AI1033" s="59"/>
      <c r="AJ1033" s="59"/>
      <c r="AK1033" s="59"/>
      <c r="AL1033" s="59"/>
      <c r="AM1033" s="59"/>
      <c r="AN1033" s="59"/>
      <c r="AO1033" s="59"/>
      <c r="AP1033" s="59"/>
      <c r="AQ1033" s="59"/>
      <c r="AR1033" s="59"/>
      <c r="AS1033" s="59"/>
      <c r="AT1033" s="59"/>
      <c r="AU1033" s="59"/>
      <c r="AV1033" s="59"/>
      <c r="AW1033" s="59"/>
      <c r="AX1033" s="59"/>
      <c r="AY1033" s="59"/>
      <c r="AZ1033" s="59"/>
      <c r="BA1033" s="59"/>
      <c r="BB1033" s="59"/>
      <c r="BC1033" s="59"/>
      <c r="BD1033" s="59"/>
      <c r="BE1033" s="59"/>
      <c r="BF1033" s="59"/>
      <c r="BG1033" s="59"/>
      <c r="BH1033" s="59"/>
      <c r="BI1033" s="59"/>
      <c r="BJ1033" s="59"/>
      <c r="BK1033" s="59"/>
      <c r="BL1033" s="59"/>
      <c r="BM1033" s="59"/>
      <c r="BN1033" s="59"/>
      <c r="BO1033" s="59"/>
      <c r="BP1033" s="59"/>
      <c r="BQ1033" s="59"/>
      <c r="BR1033" s="59"/>
      <c r="BS1033" s="59"/>
      <c r="BT1033" s="59"/>
      <c r="BU1033" s="59"/>
      <c r="BV1033" s="59"/>
      <c r="BW1033" s="59"/>
      <c r="BX1033" s="59"/>
      <c r="BY1033" s="59"/>
      <c r="BZ1033" s="59"/>
      <c r="CA1033" s="59"/>
      <c r="CB1033" s="59"/>
    </row>
    <row r="1034" spans="1:80">
      <c r="A1034" s="74">
        <v>1033</v>
      </c>
      <c r="B1034" s="66" t="s">
        <v>67</v>
      </c>
      <c r="C1034" s="67" t="s">
        <v>302</v>
      </c>
      <c r="D1034" s="59" t="s">
        <v>276</v>
      </c>
      <c r="E1034" s="88"/>
      <c r="F1034" s="59"/>
      <c r="G1034" s="59"/>
      <c r="H1034" s="77" t="s">
        <v>76</v>
      </c>
      <c r="I1034" s="82">
        <v>12000</v>
      </c>
      <c r="J1034" s="59"/>
      <c r="K1034" s="85"/>
      <c r="L1034" s="86"/>
      <c r="M1034" s="87"/>
      <c r="N1034" s="59"/>
      <c r="O1034" s="59"/>
      <c r="P1034" s="59"/>
      <c r="Q1034" s="59"/>
      <c r="R1034" s="59"/>
      <c r="S1034" s="59"/>
      <c r="T1034" s="59"/>
      <c r="U1034" s="59"/>
      <c r="V1034" s="59"/>
      <c r="W1034" s="59"/>
      <c r="X1034" s="59"/>
      <c r="Y1034" s="59"/>
      <c r="Z1034" s="59"/>
      <c r="AA1034" s="59"/>
      <c r="AB1034" s="59"/>
      <c r="AC1034" s="59"/>
      <c r="AD1034" s="59"/>
      <c r="AE1034" s="59"/>
      <c r="AF1034" s="59"/>
      <c r="AG1034" s="59"/>
      <c r="AH1034" s="59"/>
      <c r="AI1034" s="59"/>
      <c r="AJ1034" s="59"/>
      <c r="AK1034" s="59"/>
      <c r="AL1034" s="59"/>
      <c r="AM1034" s="59"/>
      <c r="AN1034" s="59"/>
      <c r="AO1034" s="59"/>
      <c r="AP1034" s="59"/>
      <c r="AQ1034" s="59"/>
      <c r="AR1034" s="59"/>
      <c r="AS1034" s="59"/>
      <c r="AT1034" s="59"/>
      <c r="AU1034" s="59"/>
      <c r="AV1034" s="59"/>
      <c r="AW1034" s="59"/>
      <c r="AX1034" s="59"/>
      <c r="AY1034" s="59"/>
      <c r="AZ1034" s="59"/>
      <c r="BA1034" s="59"/>
      <c r="BB1034" s="59"/>
      <c r="BC1034" s="59"/>
      <c r="BD1034" s="59"/>
      <c r="BE1034" s="59"/>
      <c r="BF1034" s="59"/>
      <c r="BG1034" s="59"/>
      <c r="BH1034" s="59"/>
      <c r="BI1034" s="59"/>
      <c r="BJ1034" s="59"/>
      <c r="BK1034" s="59"/>
      <c r="BL1034" s="59"/>
      <c r="BM1034" s="59"/>
      <c r="BN1034" s="59"/>
      <c r="BO1034" s="59"/>
      <c r="BP1034" s="59"/>
      <c r="BQ1034" s="59"/>
      <c r="BR1034" s="59"/>
      <c r="BS1034" s="59"/>
      <c r="BT1034" s="59"/>
      <c r="BU1034" s="59"/>
      <c r="BV1034" s="59"/>
      <c r="BW1034" s="59"/>
      <c r="BX1034" s="59"/>
      <c r="BY1034" s="59"/>
      <c r="BZ1034" s="59"/>
      <c r="CA1034" s="59"/>
      <c r="CB1034" s="59"/>
    </row>
    <row r="1035" spans="1:80">
      <c r="A1035" s="74">
        <v>1034</v>
      </c>
      <c r="B1035" s="66" t="s">
        <v>67</v>
      </c>
      <c r="C1035" s="67" t="s">
        <v>302</v>
      </c>
      <c r="D1035" s="59" t="s">
        <v>277</v>
      </c>
      <c r="E1035" s="88"/>
      <c r="F1035" s="59"/>
      <c r="G1035" s="59"/>
      <c r="H1035" s="77" t="s">
        <v>76</v>
      </c>
      <c r="I1035" s="82">
        <v>12000</v>
      </c>
      <c r="J1035" s="59"/>
      <c r="K1035" s="85"/>
      <c r="L1035" s="86"/>
      <c r="M1035" s="87"/>
      <c r="N1035" s="59"/>
      <c r="O1035" s="59"/>
      <c r="P1035" s="59"/>
      <c r="Q1035" s="59"/>
      <c r="R1035" s="59"/>
      <c r="S1035" s="59"/>
      <c r="T1035" s="59"/>
      <c r="U1035" s="59"/>
      <c r="V1035" s="59"/>
      <c r="W1035" s="59"/>
      <c r="X1035" s="59"/>
      <c r="Y1035" s="59"/>
      <c r="Z1035" s="59"/>
      <c r="AA1035" s="59"/>
      <c r="AB1035" s="59"/>
      <c r="AC1035" s="59"/>
      <c r="AD1035" s="59"/>
      <c r="AE1035" s="59"/>
      <c r="AF1035" s="59"/>
      <c r="AG1035" s="59"/>
      <c r="AH1035" s="59"/>
      <c r="AI1035" s="59"/>
      <c r="AJ1035" s="59"/>
      <c r="AK1035" s="59"/>
      <c r="AL1035" s="59"/>
      <c r="AM1035" s="59"/>
      <c r="AN1035" s="59"/>
      <c r="AO1035" s="59"/>
      <c r="AP1035" s="59"/>
      <c r="AQ1035" s="59"/>
      <c r="AR1035" s="59"/>
      <c r="AS1035" s="59"/>
      <c r="AT1035" s="59"/>
      <c r="AU1035" s="59"/>
      <c r="AV1035" s="59"/>
      <c r="AW1035" s="59"/>
      <c r="AX1035" s="59"/>
      <c r="AY1035" s="59"/>
      <c r="AZ1035" s="59"/>
      <c r="BA1035" s="59"/>
      <c r="BB1035" s="59"/>
      <c r="BC1035" s="59"/>
      <c r="BD1035" s="59"/>
      <c r="BE1035" s="59"/>
      <c r="BF1035" s="59"/>
      <c r="BG1035" s="59"/>
      <c r="BH1035" s="59"/>
      <c r="BI1035" s="59"/>
      <c r="BJ1035" s="59"/>
      <c r="BK1035" s="59"/>
      <c r="BL1035" s="59"/>
      <c r="BM1035" s="59"/>
      <c r="BN1035" s="59"/>
      <c r="BO1035" s="59"/>
      <c r="BP1035" s="59"/>
      <c r="BQ1035" s="59"/>
      <c r="BR1035" s="59"/>
      <c r="BS1035" s="59"/>
      <c r="BT1035" s="59"/>
      <c r="BU1035" s="59"/>
      <c r="BV1035" s="59"/>
      <c r="BW1035" s="59"/>
      <c r="BX1035" s="59"/>
      <c r="BY1035" s="59"/>
      <c r="BZ1035" s="59"/>
      <c r="CA1035" s="59"/>
      <c r="CB1035" s="59"/>
    </row>
    <row r="1036" spans="1:80">
      <c r="A1036" s="74">
        <v>1035</v>
      </c>
      <c r="B1036" s="66" t="s">
        <v>67</v>
      </c>
      <c r="C1036" s="67" t="s">
        <v>302</v>
      </c>
      <c r="D1036" s="59" t="s">
        <v>278</v>
      </c>
      <c r="E1036" s="88"/>
      <c r="F1036" s="59"/>
      <c r="G1036" s="59"/>
      <c r="H1036" s="77" t="s">
        <v>76</v>
      </c>
      <c r="I1036" s="82">
        <v>12000</v>
      </c>
      <c r="J1036" s="59"/>
      <c r="K1036" s="85"/>
      <c r="L1036" s="86"/>
      <c r="M1036" s="87"/>
      <c r="N1036" s="59"/>
      <c r="O1036" s="59"/>
      <c r="P1036" s="59"/>
      <c r="Q1036" s="59"/>
      <c r="R1036" s="59"/>
      <c r="S1036" s="59"/>
      <c r="T1036" s="59"/>
      <c r="U1036" s="59"/>
      <c r="V1036" s="59"/>
      <c r="W1036" s="59"/>
      <c r="X1036" s="59"/>
      <c r="Y1036" s="59"/>
      <c r="Z1036" s="59"/>
      <c r="AA1036" s="59"/>
      <c r="AB1036" s="59"/>
      <c r="AC1036" s="59"/>
      <c r="AD1036" s="59"/>
      <c r="AE1036" s="59"/>
      <c r="AF1036" s="59"/>
      <c r="AG1036" s="59"/>
      <c r="AH1036" s="59"/>
      <c r="AI1036" s="59"/>
      <c r="AJ1036" s="59"/>
      <c r="AK1036" s="59"/>
      <c r="AL1036" s="59"/>
      <c r="AM1036" s="59"/>
      <c r="AN1036" s="59"/>
      <c r="AO1036" s="59"/>
      <c r="AP1036" s="59"/>
      <c r="AQ1036" s="59"/>
      <c r="AR1036" s="59"/>
      <c r="AS1036" s="59"/>
      <c r="AT1036" s="59"/>
      <c r="AU1036" s="59"/>
      <c r="AV1036" s="59"/>
      <c r="AW1036" s="59"/>
      <c r="AX1036" s="59"/>
      <c r="AY1036" s="59"/>
      <c r="AZ1036" s="59"/>
      <c r="BA1036" s="59"/>
      <c r="BB1036" s="59"/>
      <c r="BC1036" s="59"/>
      <c r="BD1036" s="59"/>
      <c r="BE1036" s="59"/>
      <c r="BF1036" s="59"/>
      <c r="BG1036" s="59"/>
      <c r="BH1036" s="59"/>
      <c r="BI1036" s="59"/>
      <c r="BJ1036" s="59"/>
      <c r="BK1036" s="59"/>
      <c r="BL1036" s="59"/>
      <c r="BM1036" s="59"/>
      <c r="BN1036" s="59"/>
      <c r="BO1036" s="59"/>
      <c r="BP1036" s="59"/>
      <c r="BQ1036" s="59"/>
      <c r="BR1036" s="59"/>
      <c r="BS1036" s="59"/>
      <c r="BT1036" s="59"/>
      <c r="BU1036" s="59"/>
      <c r="BV1036" s="59"/>
      <c r="BW1036" s="59"/>
      <c r="BX1036" s="59"/>
      <c r="BY1036" s="59"/>
      <c r="BZ1036" s="59"/>
      <c r="CA1036" s="59"/>
      <c r="CB1036" s="59"/>
    </row>
    <row r="1037" spans="1:80">
      <c r="A1037" s="74">
        <v>1036</v>
      </c>
      <c r="B1037" s="66" t="s">
        <v>67</v>
      </c>
      <c r="C1037" s="67" t="s">
        <v>302</v>
      </c>
      <c r="D1037" s="59" t="s">
        <v>279</v>
      </c>
      <c r="E1037" s="88"/>
      <c r="F1037" s="59"/>
      <c r="G1037" s="59"/>
      <c r="H1037" s="77" t="s">
        <v>76</v>
      </c>
      <c r="I1037" s="82">
        <v>12000</v>
      </c>
      <c r="J1037" s="59"/>
      <c r="K1037" s="85"/>
      <c r="L1037" s="86"/>
      <c r="M1037" s="87"/>
      <c r="N1037" s="59"/>
      <c r="O1037" s="59"/>
      <c r="P1037" s="59"/>
      <c r="Q1037" s="59"/>
      <c r="R1037" s="59"/>
      <c r="S1037" s="59"/>
      <c r="T1037" s="59"/>
      <c r="U1037" s="59"/>
      <c r="V1037" s="59"/>
      <c r="W1037" s="59"/>
      <c r="X1037" s="59"/>
      <c r="Y1037" s="59"/>
      <c r="Z1037" s="59"/>
      <c r="AA1037" s="59"/>
      <c r="AB1037" s="59"/>
      <c r="AC1037" s="59"/>
      <c r="AD1037" s="59"/>
      <c r="AE1037" s="59"/>
      <c r="AF1037" s="59"/>
      <c r="AG1037" s="59"/>
      <c r="AH1037" s="59"/>
      <c r="AI1037" s="59"/>
      <c r="AJ1037" s="59"/>
      <c r="AK1037" s="59"/>
      <c r="AL1037" s="59"/>
      <c r="AM1037" s="59"/>
      <c r="AN1037" s="59"/>
      <c r="AO1037" s="59"/>
      <c r="AP1037" s="59"/>
      <c r="AQ1037" s="59"/>
      <c r="AR1037" s="59"/>
      <c r="AS1037" s="59"/>
      <c r="AT1037" s="59"/>
      <c r="AU1037" s="59"/>
      <c r="AV1037" s="59"/>
      <c r="AW1037" s="59"/>
      <c r="AX1037" s="59"/>
      <c r="AY1037" s="59"/>
      <c r="AZ1037" s="59"/>
      <c r="BA1037" s="59"/>
      <c r="BB1037" s="59"/>
      <c r="BC1037" s="59"/>
      <c r="BD1037" s="59"/>
      <c r="BE1037" s="59"/>
      <c r="BF1037" s="59"/>
      <c r="BG1037" s="59"/>
      <c r="BH1037" s="59"/>
      <c r="BI1037" s="59"/>
      <c r="BJ1037" s="59"/>
      <c r="BK1037" s="59"/>
      <c r="BL1037" s="59"/>
      <c r="BM1037" s="59"/>
      <c r="BN1037" s="59"/>
      <c r="BO1037" s="59"/>
      <c r="BP1037" s="59"/>
      <c r="BQ1037" s="59"/>
      <c r="BR1037" s="59"/>
      <c r="BS1037" s="59"/>
      <c r="BT1037" s="59"/>
      <c r="BU1037" s="59"/>
      <c r="BV1037" s="59"/>
      <c r="BW1037" s="59"/>
      <c r="BX1037" s="59"/>
      <c r="BY1037" s="59"/>
      <c r="BZ1037" s="59"/>
      <c r="CA1037" s="59"/>
      <c r="CB1037" s="59"/>
    </row>
    <row r="1038" spans="1:80">
      <c r="A1038" s="74">
        <v>1037</v>
      </c>
      <c r="B1038" s="66" t="s">
        <v>67</v>
      </c>
      <c r="C1038" s="67" t="s">
        <v>302</v>
      </c>
      <c r="D1038" s="59" t="s">
        <v>280</v>
      </c>
      <c r="E1038" s="88"/>
      <c r="F1038" s="59"/>
      <c r="G1038" s="59"/>
      <c r="H1038" s="77" t="s">
        <v>76</v>
      </c>
      <c r="I1038" s="82">
        <v>12000</v>
      </c>
      <c r="J1038" s="59"/>
      <c r="K1038" s="85"/>
      <c r="L1038" s="86"/>
      <c r="M1038" s="87"/>
      <c r="N1038" s="59"/>
      <c r="O1038" s="59"/>
      <c r="P1038" s="59"/>
      <c r="Q1038" s="59"/>
      <c r="R1038" s="59"/>
      <c r="S1038" s="59"/>
      <c r="T1038" s="59"/>
      <c r="U1038" s="59"/>
      <c r="V1038" s="59"/>
      <c r="W1038" s="59"/>
      <c r="X1038" s="59"/>
      <c r="Y1038" s="59"/>
      <c r="Z1038" s="59"/>
      <c r="AA1038" s="59"/>
      <c r="AB1038" s="59"/>
      <c r="AC1038" s="59"/>
      <c r="AD1038" s="59"/>
      <c r="AE1038" s="59"/>
      <c r="AF1038" s="59"/>
      <c r="AG1038" s="59"/>
      <c r="AH1038" s="59"/>
      <c r="AI1038" s="59"/>
      <c r="AJ1038" s="59"/>
      <c r="AK1038" s="59"/>
      <c r="AL1038" s="59"/>
      <c r="AM1038" s="59"/>
      <c r="AN1038" s="59"/>
      <c r="AO1038" s="59"/>
      <c r="AP1038" s="59"/>
      <c r="AQ1038" s="59"/>
      <c r="AR1038" s="59"/>
      <c r="AS1038" s="59"/>
      <c r="AT1038" s="59"/>
      <c r="AU1038" s="59"/>
      <c r="AV1038" s="59"/>
      <c r="AW1038" s="59"/>
      <c r="AX1038" s="59"/>
      <c r="AY1038" s="59"/>
      <c r="AZ1038" s="59"/>
      <c r="BA1038" s="59"/>
      <c r="BB1038" s="59"/>
      <c r="BC1038" s="59"/>
      <c r="BD1038" s="59"/>
      <c r="BE1038" s="59"/>
      <c r="BF1038" s="59"/>
      <c r="BG1038" s="59"/>
      <c r="BH1038" s="59"/>
      <c r="BI1038" s="59"/>
      <c r="BJ1038" s="59"/>
      <c r="BK1038" s="59"/>
      <c r="BL1038" s="59"/>
      <c r="BM1038" s="59"/>
      <c r="BN1038" s="59"/>
      <c r="BO1038" s="59"/>
      <c r="BP1038" s="59"/>
      <c r="BQ1038" s="59"/>
      <c r="BR1038" s="59"/>
      <c r="BS1038" s="59"/>
      <c r="BT1038" s="59"/>
      <c r="BU1038" s="59"/>
      <c r="BV1038" s="59"/>
      <c r="BW1038" s="59"/>
      <c r="BX1038" s="59"/>
      <c r="BY1038" s="59"/>
      <c r="BZ1038" s="59"/>
      <c r="CA1038" s="59"/>
      <c r="CB1038" s="59"/>
    </row>
    <row r="1039" spans="1:80">
      <c r="A1039" s="74">
        <v>1038</v>
      </c>
      <c r="B1039" s="66" t="s">
        <v>67</v>
      </c>
      <c r="C1039" s="67" t="s">
        <v>302</v>
      </c>
      <c r="D1039" s="59" t="s">
        <v>281</v>
      </c>
      <c r="E1039" s="88"/>
      <c r="F1039" s="59"/>
      <c r="G1039" s="59"/>
      <c r="H1039" s="77" t="s">
        <v>76</v>
      </c>
      <c r="I1039" s="82">
        <v>12000</v>
      </c>
      <c r="J1039" s="59"/>
      <c r="K1039" s="85"/>
      <c r="L1039" s="86"/>
      <c r="M1039" s="87"/>
      <c r="N1039" s="59"/>
      <c r="O1039" s="59"/>
      <c r="P1039" s="59"/>
      <c r="Q1039" s="59"/>
      <c r="R1039" s="59"/>
      <c r="S1039" s="59"/>
      <c r="T1039" s="59"/>
      <c r="U1039" s="59"/>
      <c r="V1039" s="59"/>
      <c r="W1039" s="59"/>
      <c r="X1039" s="59"/>
      <c r="Y1039" s="59"/>
      <c r="Z1039" s="59"/>
      <c r="AA1039" s="59"/>
      <c r="AB1039" s="59"/>
      <c r="AC1039" s="59"/>
      <c r="AD1039" s="59"/>
      <c r="AE1039" s="59"/>
      <c r="AF1039" s="59"/>
      <c r="AG1039" s="59"/>
      <c r="AH1039" s="59"/>
      <c r="AI1039" s="59"/>
      <c r="AJ1039" s="59"/>
      <c r="AK1039" s="59"/>
      <c r="AL1039" s="59"/>
      <c r="AM1039" s="59"/>
      <c r="AN1039" s="59"/>
      <c r="AO1039" s="59"/>
      <c r="AP1039" s="59"/>
      <c r="AQ1039" s="59"/>
      <c r="AR1039" s="59"/>
      <c r="AS1039" s="59"/>
      <c r="AT1039" s="59"/>
      <c r="AU1039" s="59"/>
      <c r="AV1039" s="59"/>
      <c r="AW1039" s="59"/>
      <c r="AX1039" s="59"/>
      <c r="AY1039" s="59"/>
      <c r="AZ1039" s="59"/>
      <c r="BA1039" s="59"/>
      <c r="BB1039" s="59"/>
      <c r="BC1039" s="59"/>
      <c r="BD1039" s="59"/>
      <c r="BE1039" s="59"/>
      <c r="BF1039" s="59"/>
      <c r="BG1039" s="59"/>
      <c r="BH1039" s="59"/>
      <c r="BI1039" s="59"/>
      <c r="BJ1039" s="59"/>
      <c r="BK1039" s="59"/>
      <c r="BL1039" s="59"/>
      <c r="BM1039" s="59"/>
      <c r="BN1039" s="59"/>
      <c r="BO1039" s="59"/>
      <c r="BP1039" s="59"/>
      <c r="BQ1039" s="59"/>
      <c r="BR1039" s="59"/>
      <c r="BS1039" s="59"/>
      <c r="BT1039" s="59"/>
      <c r="BU1039" s="59"/>
      <c r="BV1039" s="59"/>
      <c r="BW1039" s="59"/>
      <c r="BX1039" s="59"/>
      <c r="BY1039" s="59"/>
      <c r="BZ1039" s="59"/>
      <c r="CA1039" s="59"/>
      <c r="CB1039" s="59"/>
    </row>
    <row r="1040" spans="1:80">
      <c r="A1040" s="74">
        <v>1039</v>
      </c>
      <c r="B1040" s="66" t="s">
        <v>67</v>
      </c>
      <c r="C1040" s="67" t="s">
        <v>302</v>
      </c>
      <c r="D1040" s="59" t="s">
        <v>282</v>
      </c>
      <c r="E1040" s="88"/>
      <c r="F1040" s="59"/>
      <c r="G1040" s="59"/>
      <c r="H1040" s="77" t="s">
        <v>76</v>
      </c>
      <c r="I1040" s="82">
        <v>12000</v>
      </c>
      <c r="J1040" s="59"/>
      <c r="K1040" s="85"/>
      <c r="L1040" s="86"/>
      <c r="M1040" s="87"/>
      <c r="N1040" s="59"/>
      <c r="O1040" s="59"/>
      <c r="P1040" s="59"/>
      <c r="Q1040" s="59"/>
      <c r="R1040" s="59"/>
      <c r="S1040" s="59"/>
      <c r="T1040" s="59"/>
      <c r="U1040" s="59"/>
      <c r="V1040" s="59"/>
      <c r="W1040" s="59"/>
      <c r="X1040" s="59"/>
      <c r="Y1040" s="59"/>
      <c r="Z1040" s="59"/>
      <c r="AA1040" s="59"/>
      <c r="AB1040" s="59"/>
      <c r="AC1040" s="59"/>
      <c r="AD1040" s="59"/>
      <c r="AE1040" s="59"/>
      <c r="AF1040" s="59"/>
      <c r="AG1040" s="59"/>
      <c r="AH1040" s="59"/>
      <c r="AI1040" s="59"/>
      <c r="AJ1040" s="59"/>
      <c r="AK1040" s="59"/>
      <c r="AL1040" s="59"/>
      <c r="AM1040" s="59"/>
      <c r="AN1040" s="59"/>
      <c r="AO1040" s="59"/>
      <c r="AP1040" s="59"/>
      <c r="AQ1040" s="59"/>
      <c r="AR1040" s="59"/>
      <c r="AS1040" s="59"/>
      <c r="AT1040" s="59"/>
      <c r="AU1040" s="59"/>
      <c r="AV1040" s="59"/>
      <c r="AW1040" s="59"/>
      <c r="AX1040" s="59"/>
      <c r="AY1040" s="59"/>
      <c r="AZ1040" s="59"/>
      <c r="BA1040" s="59"/>
      <c r="BB1040" s="59"/>
      <c r="BC1040" s="59"/>
      <c r="BD1040" s="59"/>
      <c r="BE1040" s="59"/>
      <c r="BF1040" s="59"/>
      <c r="BG1040" s="59"/>
      <c r="BH1040" s="59"/>
      <c r="BI1040" s="59"/>
      <c r="BJ1040" s="59"/>
      <c r="BK1040" s="59"/>
      <c r="BL1040" s="59"/>
      <c r="BM1040" s="59"/>
      <c r="BN1040" s="59"/>
      <c r="BO1040" s="59"/>
      <c r="BP1040" s="59"/>
      <c r="BQ1040" s="59"/>
      <c r="BR1040" s="59"/>
      <c r="BS1040" s="59"/>
      <c r="BT1040" s="59"/>
      <c r="BU1040" s="59"/>
      <c r="BV1040" s="59"/>
      <c r="BW1040" s="59"/>
      <c r="BX1040" s="59"/>
      <c r="BY1040" s="59"/>
      <c r="BZ1040" s="59"/>
      <c r="CA1040" s="59"/>
      <c r="CB1040" s="59"/>
    </row>
    <row r="1041" spans="1:80">
      <c r="A1041" s="74">
        <v>1040</v>
      </c>
      <c r="B1041" s="66" t="s">
        <v>67</v>
      </c>
      <c r="C1041" s="67" t="s">
        <v>302</v>
      </c>
      <c r="D1041" s="59" t="s">
        <v>283</v>
      </c>
      <c r="E1041" s="88"/>
      <c r="F1041" s="59"/>
      <c r="G1041" s="59"/>
      <c r="H1041" s="77" t="s">
        <v>76</v>
      </c>
      <c r="I1041" s="82">
        <v>12000</v>
      </c>
      <c r="J1041" s="59"/>
      <c r="K1041" s="85"/>
      <c r="L1041" s="86"/>
      <c r="M1041" s="87"/>
      <c r="N1041" s="59"/>
      <c r="O1041" s="59"/>
      <c r="P1041" s="59"/>
      <c r="Q1041" s="59"/>
      <c r="R1041" s="59"/>
      <c r="S1041" s="59"/>
      <c r="T1041" s="59"/>
      <c r="U1041" s="59"/>
      <c r="V1041" s="59"/>
      <c r="W1041" s="59"/>
      <c r="X1041" s="59"/>
      <c r="Y1041" s="59"/>
      <c r="Z1041" s="59"/>
      <c r="AA1041" s="59"/>
      <c r="AB1041" s="59"/>
      <c r="AC1041" s="59"/>
      <c r="AD1041" s="59"/>
      <c r="AE1041" s="59"/>
      <c r="AF1041" s="59"/>
      <c r="AG1041" s="59"/>
      <c r="AH1041" s="59"/>
      <c r="AI1041" s="59"/>
      <c r="AJ1041" s="59"/>
      <c r="AK1041" s="59"/>
      <c r="AL1041" s="59"/>
      <c r="AM1041" s="59"/>
      <c r="AN1041" s="59"/>
      <c r="AO1041" s="59"/>
      <c r="AP1041" s="59"/>
      <c r="AQ1041" s="59"/>
      <c r="AR1041" s="59"/>
      <c r="AS1041" s="59"/>
      <c r="AT1041" s="59"/>
      <c r="AU1041" s="59"/>
      <c r="AV1041" s="59"/>
      <c r="AW1041" s="59"/>
      <c r="AX1041" s="59"/>
      <c r="AY1041" s="59"/>
      <c r="AZ1041" s="59"/>
      <c r="BA1041" s="59"/>
      <c r="BB1041" s="59"/>
      <c r="BC1041" s="59"/>
      <c r="BD1041" s="59"/>
      <c r="BE1041" s="59"/>
      <c r="BF1041" s="59"/>
      <c r="BG1041" s="59"/>
      <c r="BH1041" s="59"/>
      <c r="BI1041" s="59"/>
      <c r="BJ1041" s="59"/>
      <c r="BK1041" s="59"/>
      <c r="BL1041" s="59"/>
      <c r="BM1041" s="59"/>
      <c r="BN1041" s="59"/>
      <c r="BO1041" s="59"/>
      <c r="BP1041" s="59"/>
      <c r="BQ1041" s="59"/>
      <c r="BR1041" s="59"/>
      <c r="BS1041" s="59"/>
      <c r="BT1041" s="59"/>
      <c r="BU1041" s="59"/>
      <c r="BV1041" s="59"/>
      <c r="BW1041" s="59"/>
      <c r="BX1041" s="59"/>
      <c r="BY1041" s="59"/>
      <c r="BZ1041" s="59"/>
      <c r="CA1041" s="59"/>
      <c r="CB1041" s="59"/>
    </row>
    <row r="1042" spans="1:80">
      <c r="A1042" s="74">
        <v>1041</v>
      </c>
      <c r="B1042" s="66" t="s">
        <v>67</v>
      </c>
      <c r="C1042" s="67" t="s">
        <v>302</v>
      </c>
      <c r="D1042" s="59" t="s">
        <v>284</v>
      </c>
      <c r="E1042" s="88"/>
      <c r="F1042" s="59"/>
      <c r="G1042" s="59"/>
      <c r="H1042" s="77" t="s">
        <v>76</v>
      </c>
      <c r="I1042" s="82">
        <v>12000</v>
      </c>
      <c r="J1042" s="59"/>
      <c r="K1042" s="85"/>
      <c r="L1042" s="86"/>
      <c r="M1042" s="87"/>
      <c r="N1042" s="59"/>
      <c r="O1042" s="59"/>
      <c r="P1042" s="59"/>
      <c r="Q1042" s="59"/>
      <c r="R1042" s="59"/>
      <c r="S1042" s="59"/>
      <c r="T1042" s="59"/>
      <c r="U1042" s="59"/>
      <c r="V1042" s="59"/>
      <c r="W1042" s="59"/>
      <c r="X1042" s="59"/>
      <c r="Y1042" s="59"/>
      <c r="Z1042" s="59"/>
      <c r="AA1042" s="59"/>
      <c r="AB1042" s="59"/>
      <c r="AC1042" s="59"/>
      <c r="AD1042" s="59"/>
      <c r="AE1042" s="59"/>
      <c r="AF1042" s="59"/>
      <c r="AG1042" s="59"/>
      <c r="AH1042" s="59"/>
      <c r="AI1042" s="59"/>
      <c r="AJ1042" s="59"/>
      <c r="AK1042" s="59"/>
      <c r="AL1042" s="59"/>
      <c r="AM1042" s="59"/>
      <c r="AN1042" s="59"/>
      <c r="AO1042" s="59"/>
      <c r="AP1042" s="59"/>
      <c r="AQ1042" s="59"/>
      <c r="AR1042" s="59"/>
      <c r="AS1042" s="59"/>
      <c r="AT1042" s="59"/>
      <c r="AU1042" s="59"/>
      <c r="AV1042" s="59"/>
      <c r="AW1042" s="59"/>
      <c r="AX1042" s="59"/>
      <c r="AY1042" s="59"/>
      <c r="AZ1042" s="59"/>
      <c r="BA1042" s="59"/>
      <c r="BB1042" s="59"/>
      <c r="BC1042" s="59"/>
      <c r="BD1042" s="59"/>
      <c r="BE1042" s="59"/>
      <c r="BF1042" s="59"/>
      <c r="BG1042" s="59"/>
      <c r="BH1042" s="59"/>
      <c r="BI1042" s="59"/>
      <c r="BJ1042" s="59"/>
      <c r="BK1042" s="59"/>
      <c r="BL1042" s="59"/>
      <c r="BM1042" s="59"/>
      <c r="BN1042" s="59"/>
      <c r="BO1042" s="59"/>
      <c r="BP1042" s="59"/>
      <c r="BQ1042" s="59"/>
      <c r="BR1042" s="59"/>
      <c r="BS1042" s="59"/>
      <c r="BT1042" s="59"/>
      <c r="BU1042" s="59"/>
      <c r="BV1042" s="59"/>
      <c r="BW1042" s="59"/>
      <c r="BX1042" s="59"/>
      <c r="BY1042" s="59"/>
      <c r="BZ1042" s="59"/>
      <c r="CA1042" s="59"/>
      <c r="CB1042" s="59"/>
    </row>
    <row r="1043" spans="1:80">
      <c r="A1043" s="74">
        <v>1042</v>
      </c>
      <c r="B1043" s="66" t="s">
        <v>67</v>
      </c>
      <c r="C1043" s="67" t="s">
        <v>302</v>
      </c>
      <c r="D1043" s="59" t="s">
        <v>285</v>
      </c>
      <c r="E1043" s="88"/>
      <c r="F1043" s="59"/>
      <c r="G1043" s="59"/>
      <c r="H1043" s="77" t="s">
        <v>76</v>
      </c>
      <c r="I1043" s="82">
        <v>12000</v>
      </c>
      <c r="J1043" s="59"/>
      <c r="K1043" s="85"/>
      <c r="L1043" s="86"/>
      <c r="M1043" s="87"/>
      <c r="N1043" s="59"/>
      <c r="O1043" s="59"/>
      <c r="P1043" s="59"/>
      <c r="Q1043" s="59"/>
      <c r="R1043" s="59"/>
      <c r="S1043" s="59"/>
      <c r="T1043" s="59"/>
      <c r="U1043" s="59"/>
      <c r="V1043" s="59"/>
      <c r="W1043" s="59"/>
      <c r="X1043" s="59"/>
      <c r="Y1043" s="59"/>
      <c r="Z1043" s="59"/>
      <c r="AA1043" s="59"/>
      <c r="AB1043" s="59"/>
      <c r="AC1043" s="59"/>
      <c r="AD1043" s="59"/>
      <c r="AE1043" s="59"/>
      <c r="AF1043" s="59"/>
      <c r="AG1043" s="59"/>
      <c r="AH1043" s="59"/>
      <c r="AI1043" s="59"/>
      <c r="AJ1043" s="59"/>
      <c r="AK1043" s="59"/>
      <c r="AL1043" s="59"/>
      <c r="AM1043" s="59"/>
      <c r="AN1043" s="59"/>
      <c r="AO1043" s="59"/>
      <c r="AP1043" s="59"/>
      <c r="AQ1043" s="59"/>
      <c r="AR1043" s="59"/>
      <c r="AS1043" s="59"/>
      <c r="AT1043" s="59"/>
      <c r="AU1043" s="59"/>
      <c r="AV1043" s="59"/>
      <c r="AW1043" s="59"/>
      <c r="AX1043" s="59"/>
      <c r="AY1043" s="59"/>
      <c r="AZ1043" s="59"/>
      <c r="BA1043" s="59"/>
      <c r="BB1043" s="59"/>
      <c r="BC1043" s="59"/>
      <c r="BD1043" s="59"/>
      <c r="BE1043" s="59"/>
      <c r="BF1043" s="59"/>
      <c r="BG1043" s="59"/>
      <c r="BH1043" s="59"/>
      <c r="BI1043" s="59"/>
      <c r="BJ1043" s="59"/>
      <c r="BK1043" s="59"/>
      <c r="BL1043" s="59"/>
      <c r="BM1043" s="59"/>
      <c r="BN1043" s="59"/>
      <c r="BO1043" s="59"/>
      <c r="BP1043" s="59"/>
      <c r="BQ1043" s="59"/>
      <c r="BR1043" s="59"/>
      <c r="BS1043" s="59"/>
      <c r="BT1043" s="59"/>
      <c r="BU1043" s="59"/>
      <c r="BV1043" s="59"/>
      <c r="BW1043" s="59"/>
      <c r="BX1043" s="59"/>
      <c r="BY1043" s="59"/>
      <c r="BZ1043" s="59"/>
      <c r="CA1043" s="59"/>
      <c r="CB1043" s="59"/>
    </row>
    <row r="1044" spans="1:80">
      <c r="A1044" s="74">
        <v>1043</v>
      </c>
      <c r="B1044" s="66" t="s">
        <v>67</v>
      </c>
      <c r="C1044" s="67" t="s">
        <v>302</v>
      </c>
      <c r="D1044" s="59" t="s">
        <v>286</v>
      </c>
      <c r="E1044" s="88"/>
      <c r="F1044" s="59"/>
      <c r="G1044" s="59"/>
      <c r="H1044" s="77" t="s">
        <v>76</v>
      </c>
      <c r="I1044" s="82">
        <v>12000</v>
      </c>
      <c r="J1044" s="59"/>
      <c r="K1044" s="85"/>
      <c r="L1044" s="86"/>
      <c r="M1044" s="87"/>
      <c r="N1044" s="59"/>
      <c r="O1044" s="59"/>
      <c r="P1044" s="59"/>
      <c r="Q1044" s="59"/>
      <c r="R1044" s="59"/>
      <c r="S1044" s="59"/>
      <c r="T1044" s="59"/>
      <c r="U1044" s="59"/>
      <c r="V1044" s="59"/>
      <c r="W1044" s="59"/>
      <c r="X1044" s="59"/>
      <c r="Y1044" s="59"/>
      <c r="Z1044" s="59"/>
      <c r="AA1044" s="59"/>
      <c r="AB1044" s="59"/>
      <c r="AC1044" s="59"/>
      <c r="AD1044" s="59"/>
      <c r="AE1044" s="59"/>
      <c r="AF1044" s="59"/>
      <c r="AG1044" s="59"/>
      <c r="AH1044" s="59"/>
      <c r="AI1044" s="59"/>
      <c r="AJ1044" s="59"/>
      <c r="AK1044" s="59"/>
      <c r="AL1044" s="59"/>
      <c r="AM1044" s="59"/>
      <c r="AN1044" s="59"/>
      <c r="AO1044" s="59"/>
      <c r="AP1044" s="59"/>
      <c r="AQ1044" s="59"/>
      <c r="AR1044" s="59"/>
      <c r="AS1044" s="59"/>
      <c r="AT1044" s="59"/>
      <c r="AU1044" s="59"/>
      <c r="AV1044" s="59"/>
      <c r="AW1044" s="59"/>
      <c r="AX1044" s="59"/>
      <c r="AY1044" s="59"/>
      <c r="AZ1044" s="59"/>
      <c r="BA1044" s="59"/>
      <c r="BB1044" s="59"/>
      <c r="BC1044" s="59"/>
      <c r="BD1044" s="59"/>
      <c r="BE1044" s="59"/>
      <c r="BF1044" s="59"/>
      <c r="BG1044" s="59"/>
      <c r="BH1044" s="59"/>
      <c r="BI1044" s="59"/>
      <c r="BJ1044" s="59"/>
      <c r="BK1044" s="59"/>
      <c r="BL1044" s="59"/>
      <c r="BM1044" s="59"/>
      <c r="BN1044" s="59"/>
      <c r="BO1044" s="59"/>
      <c r="BP1044" s="59"/>
      <c r="BQ1044" s="59"/>
      <c r="BR1044" s="59"/>
      <c r="BS1044" s="59"/>
      <c r="BT1044" s="59"/>
      <c r="BU1044" s="59"/>
      <c r="BV1044" s="59"/>
      <c r="BW1044" s="59"/>
      <c r="BX1044" s="59"/>
      <c r="BY1044" s="59"/>
      <c r="BZ1044" s="59"/>
      <c r="CA1044" s="59"/>
      <c r="CB1044" s="59"/>
    </row>
    <row r="1045" spans="1:80">
      <c r="A1045" s="74">
        <v>1044</v>
      </c>
      <c r="B1045" s="66" t="s">
        <v>67</v>
      </c>
      <c r="C1045" s="67" t="s">
        <v>302</v>
      </c>
      <c r="D1045" s="59" t="s">
        <v>287</v>
      </c>
      <c r="E1045" s="88"/>
      <c r="F1045" s="59"/>
      <c r="G1045" s="59"/>
      <c r="H1045" s="77" t="s">
        <v>76</v>
      </c>
      <c r="I1045" s="82">
        <v>12000</v>
      </c>
      <c r="J1045" s="59"/>
      <c r="K1045" s="85"/>
      <c r="L1045" s="86"/>
      <c r="M1045" s="87"/>
      <c r="N1045" s="59"/>
      <c r="O1045" s="59"/>
      <c r="P1045" s="59"/>
      <c r="Q1045" s="59"/>
      <c r="R1045" s="59"/>
      <c r="S1045" s="59"/>
      <c r="T1045" s="59"/>
      <c r="U1045" s="59"/>
      <c r="V1045" s="59"/>
      <c r="W1045" s="59"/>
      <c r="X1045" s="59"/>
      <c r="Y1045" s="59"/>
      <c r="Z1045" s="59"/>
      <c r="AA1045" s="59"/>
      <c r="AB1045" s="59"/>
      <c r="AC1045" s="59"/>
      <c r="AD1045" s="59"/>
      <c r="AE1045" s="59"/>
      <c r="AF1045" s="59"/>
      <c r="AG1045" s="59"/>
      <c r="AH1045" s="59"/>
      <c r="AI1045" s="59"/>
      <c r="AJ1045" s="59"/>
      <c r="AK1045" s="59"/>
      <c r="AL1045" s="59"/>
      <c r="AM1045" s="59"/>
      <c r="AN1045" s="59"/>
      <c r="AO1045" s="59"/>
      <c r="AP1045" s="59"/>
      <c r="AQ1045" s="59"/>
      <c r="AR1045" s="59"/>
      <c r="AS1045" s="59"/>
      <c r="AT1045" s="59"/>
      <c r="AU1045" s="59"/>
      <c r="AV1045" s="59"/>
      <c r="AW1045" s="59"/>
      <c r="AX1045" s="59"/>
      <c r="AY1045" s="59"/>
      <c r="AZ1045" s="59"/>
      <c r="BA1045" s="59"/>
      <c r="BB1045" s="59"/>
      <c r="BC1045" s="59"/>
      <c r="BD1045" s="59"/>
      <c r="BE1045" s="59"/>
      <c r="BF1045" s="59"/>
      <c r="BG1045" s="59"/>
      <c r="BH1045" s="59"/>
      <c r="BI1045" s="59"/>
      <c r="BJ1045" s="59"/>
      <c r="BK1045" s="59"/>
      <c r="BL1045" s="59"/>
      <c r="BM1045" s="59"/>
      <c r="BN1045" s="59"/>
      <c r="BO1045" s="59"/>
      <c r="BP1045" s="59"/>
      <c r="BQ1045" s="59"/>
      <c r="BR1045" s="59"/>
      <c r="BS1045" s="59"/>
      <c r="BT1045" s="59"/>
      <c r="BU1045" s="59"/>
      <c r="BV1045" s="59"/>
      <c r="BW1045" s="59"/>
      <c r="BX1045" s="59"/>
      <c r="BY1045" s="59"/>
      <c r="BZ1045" s="59"/>
      <c r="CA1045" s="59"/>
      <c r="CB1045" s="59"/>
    </row>
    <row r="1046" spans="1:80">
      <c r="A1046" s="74">
        <v>1045</v>
      </c>
      <c r="B1046" s="66" t="s">
        <v>67</v>
      </c>
      <c r="C1046" s="67" t="s">
        <v>302</v>
      </c>
      <c r="D1046" s="59" t="s">
        <v>288</v>
      </c>
      <c r="E1046" s="88"/>
      <c r="F1046" s="59"/>
      <c r="G1046" s="59"/>
      <c r="H1046" s="77" t="s">
        <v>76</v>
      </c>
      <c r="I1046" s="82">
        <v>12000</v>
      </c>
      <c r="J1046" s="59"/>
      <c r="K1046" s="85"/>
      <c r="L1046" s="86"/>
      <c r="M1046" s="87"/>
      <c r="N1046" s="59"/>
      <c r="O1046" s="59"/>
      <c r="P1046" s="59"/>
      <c r="Q1046" s="59"/>
      <c r="R1046" s="59"/>
      <c r="S1046" s="59"/>
      <c r="T1046" s="59"/>
      <c r="U1046" s="59"/>
      <c r="V1046" s="59"/>
      <c r="W1046" s="59"/>
      <c r="X1046" s="59"/>
      <c r="Y1046" s="59"/>
      <c r="Z1046" s="59"/>
      <c r="AA1046" s="59"/>
      <c r="AB1046" s="59"/>
      <c r="AC1046" s="59"/>
      <c r="AD1046" s="59"/>
      <c r="AE1046" s="59"/>
      <c r="AF1046" s="59"/>
      <c r="AG1046" s="59"/>
      <c r="AH1046" s="59"/>
      <c r="AI1046" s="59"/>
      <c r="AJ1046" s="59"/>
      <c r="AK1046" s="59"/>
      <c r="AL1046" s="59"/>
      <c r="AM1046" s="59"/>
      <c r="AN1046" s="59"/>
      <c r="AO1046" s="59"/>
      <c r="AP1046" s="59"/>
      <c r="AQ1046" s="59"/>
      <c r="AR1046" s="59"/>
      <c r="AS1046" s="59"/>
      <c r="AT1046" s="59"/>
      <c r="AU1046" s="59"/>
      <c r="AV1046" s="59"/>
      <c r="AW1046" s="59"/>
      <c r="AX1046" s="59"/>
      <c r="AY1046" s="59"/>
      <c r="AZ1046" s="59"/>
      <c r="BA1046" s="59"/>
      <c r="BB1046" s="59"/>
      <c r="BC1046" s="59"/>
      <c r="BD1046" s="59"/>
      <c r="BE1046" s="59"/>
      <c r="BF1046" s="59"/>
      <c r="BG1046" s="59"/>
      <c r="BH1046" s="59"/>
      <c r="BI1046" s="59"/>
      <c r="BJ1046" s="59"/>
      <c r="BK1046" s="59"/>
      <c r="BL1046" s="59"/>
      <c r="BM1046" s="59"/>
      <c r="BN1046" s="59"/>
      <c r="BO1046" s="59"/>
      <c r="BP1046" s="59"/>
      <c r="BQ1046" s="59"/>
      <c r="BR1046" s="59"/>
      <c r="BS1046" s="59"/>
      <c r="BT1046" s="59"/>
      <c r="BU1046" s="59"/>
      <c r="BV1046" s="59"/>
      <c r="BW1046" s="59"/>
      <c r="BX1046" s="59"/>
      <c r="BY1046" s="59"/>
      <c r="BZ1046" s="59"/>
      <c r="CA1046" s="59"/>
      <c r="CB1046" s="59"/>
    </row>
    <row r="1047" spans="1:80">
      <c r="A1047" s="74">
        <v>1046</v>
      </c>
      <c r="B1047" s="66" t="s">
        <v>67</v>
      </c>
      <c r="C1047" s="67" t="s">
        <v>302</v>
      </c>
      <c r="D1047" s="59" t="s">
        <v>289</v>
      </c>
      <c r="E1047" s="88"/>
      <c r="F1047" s="59"/>
      <c r="G1047" s="59"/>
      <c r="H1047" s="77" t="s">
        <v>76</v>
      </c>
      <c r="I1047" s="82">
        <v>12000</v>
      </c>
      <c r="J1047" s="59"/>
      <c r="K1047" s="85"/>
      <c r="L1047" s="86"/>
      <c r="M1047" s="87"/>
      <c r="N1047" s="59"/>
      <c r="O1047" s="59"/>
      <c r="P1047" s="59"/>
      <c r="Q1047" s="59"/>
      <c r="R1047" s="59"/>
      <c r="S1047" s="59"/>
      <c r="T1047" s="59"/>
      <c r="U1047" s="59"/>
      <c r="V1047" s="59"/>
      <c r="W1047" s="59"/>
      <c r="X1047" s="59"/>
      <c r="Y1047" s="59"/>
      <c r="Z1047" s="59"/>
      <c r="AA1047" s="59"/>
      <c r="AB1047" s="59"/>
      <c r="AC1047" s="59"/>
      <c r="AD1047" s="59"/>
      <c r="AE1047" s="59"/>
      <c r="AF1047" s="59"/>
      <c r="AG1047" s="59"/>
      <c r="AH1047" s="59"/>
      <c r="AI1047" s="59"/>
      <c r="AJ1047" s="59"/>
      <c r="AK1047" s="59"/>
      <c r="AL1047" s="59"/>
      <c r="AM1047" s="59"/>
      <c r="AN1047" s="59"/>
      <c r="AO1047" s="59"/>
      <c r="AP1047" s="59"/>
      <c r="AQ1047" s="59"/>
      <c r="AR1047" s="59"/>
      <c r="AS1047" s="59"/>
      <c r="AT1047" s="59"/>
      <c r="AU1047" s="59"/>
      <c r="AV1047" s="59"/>
      <c r="AW1047" s="59"/>
      <c r="AX1047" s="59"/>
      <c r="AY1047" s="59"/>
      <c r="AZ1047" s="59"/>
      <c r="BA1047" s="59"/>
      <c r="BB1047" s="59"/>
      <c r="BC1047" s="59"/>
      <c r="BD1047" s="59"/>
      <c r="BE1047" s="59"/>
      <c r="BF1047" s="59"/>
      <c r="BG1047" s="59"/>
      <c r="BH1047" s="59"/>
      <c r="BI1047" s="59"/>
      <c r="BJ1047" s="59"/>
      <c r="BK1047" s="59"/>
      <c r="BL1047" s="59"/>
      <c r="BM1047" s="59"/>
      <c r="BN1047" s="59"/>
      <c r="BO1047" s="59"/>
      <c r="BP1047" s="59"/>
      <c r="BQ1047" s="59"/>
      <c r="BR1047" s="59"/>
      <c r="BS1047" s="59"/>
      <c r="BT1047" s="59"/>
      <c r="BU1047" s="59"/>
      <c r="BV1047" s="59"/>
      <c r="BW1047" s="59"/>
      <c r="BX1047" s="59"/>
      <c r="BY1047" s="59"/>
      <c r="BZ1047" s="59"/>
      <c r="CA1047" s="59"/>
      <c r="CB1047" s="59"/>
    </row>
    <row r="1048" spans="1:80">
      <c r="A1048" s="74">
        <v>1047</v>
      </c>
      <c r="B1048" s="66" t="s">
        <v>67</v>
      </c>
      <c r="C1048" s="67" t="s">
        <v>302</v>
      </c>
      <c r="D1048" s="59" t="s">
        <v>290</v>
      </c>
      <c r="E1048" s="88"/>
      <c r="F1048" s="59"/>
      <c r="G1048" s="59"/>
      <c r="H1048" s="77" t="s">
        <v>76</v>
      </c>
      <c r="I1048" s="82">
        <v>12000</v>
      </c>
      <c r="J1048" s="59"/>
      <c r="K1048" s="85"/>
      <c r="L1048" s="86"/>
      <c r="M1048" s="87"/>
      <c r="N1048" s="59"/>
      <c r="O1048" s="59"/>
      <c r="P1048" s="59"/>
      <c r="Q1048" s="59"/>
      <c r="R1048" s="59"/>
      <c r="S1048" s="59"/>
      <c r="T1048" s="59"/>
      <c r="U1048" s="59"/>
      <c r="V1048" s="59"/>
      <c r="W1048" s="59"/>
      <c r="X1048" s="59"/>
      <c r="Y1048" s="59"/>
      <c r="Z1048" s="59"/>
      <c r="AA1048" s="59"/>
      <c r="AB1048" s="59"/>
      <c r="AC1048" s="59"/>
      <c r="AD1048" s="59"/>
      <c r="AE1048" s="59"/>
      <c r="AF1048" s="59"/>
      <c r="AG1048" s="59"/>
      <c r="AH1048" s="59"/>
      <c r="AI1048" s="59"/>
      <c r="AJ1048" s="59"/>
      <c r="AK1048" s="59"/>
      <c r="AL1048" s="59"/>
      <c r="AM1048" s="59"/>
      <c r="AN1048" s="59"/>
      <c r="AO1048" s="59"/>
      <c r="AP1048" s="59"/>
      <c r="AQ1048" s="59"/>
      <c r="AR1048" s="59"/>
      <c r="AS1048" s="59"/>
      <c r="AT1048" s="59"/>
      <c r="AU1048" s="59"/>
      <c r="AV1048" s="59"/>
      <c r="AW1048" s="59"/>
      <c r="AX1048" s="59"/>
      <c r="AY1048" s="59"/>
      <c r="AZ1048" s="59"/>
      <c r="BA1048" s="59"/>
      <c r="BB1048" s="59"/>
      <c r="BC1048" s="59"/>
      <c r="BD1048" s="59"/>
      <c r="BE1048" s="59"/>
      <c r="BF1048" s="59"/>
      <c r="BG1048" s="59"/>
      <c r="BH1048" s="59"/>
      <c r="BI1048" s="59"/>
      <c r="BJ1048" s="59"/>
      <c r="BK1048" s="59"/>
      <c r="BL1048" s="59"/>
      <c r="BM1048" s="59"/>
      <c r="BN1048" s="59"/>
      <c r="BO1048" s="59"/>
      <c r="BP1048" s="59"/>
      <c r="BQ1048" s="59"/>
      <c r="BR1048" s="59"/>
      <c r="BS1048" s="59"/>
      <c r="BT1048" s="59"/>
      <c r="BU1048" s="59"/>
      <c r="BV1048" s="59"/>
      <c r="BW1048" s="59"/>
      <c r="BX1048" s="59"/>
      <c r="BY1048" s="59"/>
      <c r="BZ1048" s="59"/>
      <c r="CA1048" s="59"/>
      <c r="CB1048" s="59"/>
    </row>
    <row r="1049" spans="1:80">
      <c r="A1049" s="74">
        <v>1048</v>
      </c>
      <c r="B1049" s="66" t="s">
        <v>67</v>
      </c>
      <c r="C1049" s="67" t="s">
        <v>302</v>
      </c>
      <c r="D1049" s="59" t="s">
        <v>291</v>
      </c>
      <c r="E1049" s="88"/>
      <c r="F1049" s="59"/>
      <c r="G1049" s="59"/>
      <c r="H1049" s="77" t="s">
        <v>76</v>
      </c>
      <c r="I1049" s="82">
        <v>12000</v>
      </c>
      <c r="J1049" s="59"/>
      <c r="K1049" s="85"/>
      <c r="L1049" s="86"/>
      <c r="M1049" s="87"/>
      <c r="N1049" s="59"/>
      <c r="O1049" s="59"/>
      <c r="P1049" s="59"/>
      <c r="Q1049" s="59"/>
      <c r="R1049" s="59"/>
      <c r="S1049" s="59"/>
      <c r="T1049" s="59"/>
      <c r="U1049" s="59"/>
      <c r="V1049" s="59"/>
      <c r="W1049" s="59"/>
      <c r="X1049" s="59"/>
      <c r="Y1049" s="59"/>
      <c r="Z1049" s="59"/>
      <c r="AA1049" s="59"/>
      <c r="AB1049" s="59"/>
      <c r="AC1049" s="59"/>
      <c r="AD1049" s="59"/>
      <c r="AE1049" s="59"/>
      <c r="AF1049" s="59"/>
      <c r="AG1049" s="59"/>
      <c r="AH1049" s="59"/>
      <c r="AI1049" s="59"/>
      <c r="AJ1049" s="59"/>
      <c r="AK1049" s="59"/>
      <c r="AL1049" s="59"/>
      <c r="AM1049" s="59"/>
      <c r="AN1049" s="59"/>
      <c r="AO1049" s="59"/>
      <c r="AP1049" s="59"/>
      <c r="AQ1049" s="59"/>
      <c r="AR1049" s="59"/>
      <c r="AS1049" s="59"/>
      <c r="AT1049" s="59"/>
      <c r="AU1049" s="59"/>
      <c r="AV1049" s="59"/>
      <c r="AW1049" s="59"/>
      <c r="AX1049" s="59"/>
      <c r="AY1049" s="59"/>
      <c r="AZ1049" s="59"/>
      <c r="BA1049" s="59"/>
      <c r="BB1049" s="59"/>
      <c r="BC1049" s="59"/>
      <c r="BD1049" s="59"/>
      <c r="BE1049" s="59"/>
      <c r="BF1049" s="59"/>
      <c r="BG1049" s="59"/>
      <c r="BH1049" s="59"/>
      <c r="BI1049" s="59"/>
      <c r="BJ1049" s="59"/>
      <c r="BK1049" s="59"/>
      <c r="BL1049" s="59"/>
      <c r="BM1049" s="59"/>
      <c r="BN1049" s="59"/>
      <c r="BO1049" s="59"/>
      <c r="BP1049" s="59"/>
      <c r="BQ1049" s="59"/>
      <c r="BR1049" s="59"/>
      <c r="BS1049" s="59"/>
      <c r="BT1049" s="59"/>
      <c r="BU1049" s="59"/>
      <c r="BV1049" s="59"/>
      <c r="BW1049" s="59"/>
      <c r="BX1049" s="59"/>
      <c r="BY1049" s="59"/>
      <c r="BZ1049" s="59"/>
      <c r="CA1049" s="59"/>
      <c r="CB1049" s="59"/>
    </row>
    <row r="1050" spans="1:80">
      <c r="A1050" s="74">
        <v>1049</v>
      </c>
      <c r="B1050" s="66" t="s">
        <v>67</v>
      </c>
      <c r="C1050" s="67" t="s">
        <v>302</v>
      </c>
      <c r="D1050" s="59" t="s">
        <v>292</v>
      </c>
      <c r="E1050" s="88"/>
      <c r="F1050" s="59"/>
      <c r="G1050" s="59"/>
      <c r="H1050" s="77" t="s">
        <v>76</v>
      </c>
      <c r="I1050" s="82">
        <v>12000</v>
      </c>
      <c r="J1050" s="59"/>
      <c r="K1050" s="85"/>
      <c r="L1050" s="86"/>
      <c r="M1050" s="87"/>
      <c r="N1050" s="59"/>
      <c r="O1050" s="59"/>
      <c r="P1050" s="59"/>
      <c r="Q1050" s="59"/>
      <c r="R1050" s="59"/>
      <c r="S1050" s="59"/>
      <c r="T1050" s="59"/>
      <c r="U1050" s="59"/>
      <c r="V1050" s="59"/>
      <c r="W1050" s="59"/>
      <c r="X1050" s="59"/>
      <c r="Y1050" s="59"/>
      <c r="Z1050" s="59"/>
      <c r="AA1050" s="59"/>
      <c r="AB1050" s="59"/>
      <c r="AC1050" s="59"/>
      <c r="AD1050" s="59"/>
      <c r="AE1050" s="59"/>
      <c r="AF1050" s="59"/>
      <c r="AG1050" s="59"/>
      <c r="AH1050" s="59"/>
      <c r="AI1050" s="59"/>
      <c r="AJ1050" s="59"/>
      <c r="AK1050" s="59"/>
      <c r="AL1050" s="59"/>
      <c r="AM1050" s="59"/>
      <c r="AN1050" s="59"/>
      <c r="AO1050" s="59"/>
      <c r="AP1050" s="59"/>
      <c r="AQ1050" s="59"/>
      <c r="AR1050" s="59"/>
      <c r="AS1050" s="59"/>
      <c r="AT1050" s="59"/>
      <c r="AU1050" s="59"/>
      <c r="AV1050" s="59"/>
      <c r="AW1050" s="59"/>
      <c r="AX1050" s="59"/>
      <c r="AY1050" s="59"/>
      <c r="AZ1050" s="59"/>
      <c r="BA1050" s="59"/>
      <c r="BB1050" s="59"/>
      <c r="BC1050" s="59"/>
      <c r="BD1050" s="59"/>
      <c r="BE1050" s="59"/>
      <c r="BF1050" s="59"/>
      <c r="BG1050" s="59"/>
      <c r="BH1050" s="59"/>
      <c r="BI1050" s="59"/>
      <c r="BJ1050" s="59"/>
      <c r="BK1050" s="59"/>
      <c r="BL1050" s="59"/>
      <c r="BM1050" s="59"/>
      <c r="BN1050" s="59"/>
      <c r="BO1050" s="59"/>
      <c r="BP1050" s="59"/>
      <c r="BQ1050" s="59"/>
      <c r="BR1050" s="59"/>
      <c r="BS1050" s="59"/>
      <c r="BT1050" s="59"/>
      <c r="BU1050" s="59"/>
      <c r="BV1050" s="59"/>
      <c r="BW1050" s="59"/>
      <c r="BX1050" s="59"/>
      <c r="BY1050" s="59"/>
      <c r="BZ1050" s="59"/>
      <c r="CA1050" s="59"/>
      <c r="CB1050" s="59"/>
    </row>
    <row r="1051" spans="1:80">
      <c r="A1051" s="74">
        <v>1050</v>
      </c>
      <c r="B1051" s="66" t="s">
        <v>67</v>
      </c>
      <c r="C1051" s="67" t="s">
        <v>302</v>
      </c>
      <c r="D1051" s="59" t="s">
        <v>293</v>
      </c>
      <c r="E1051" s="88"/>
      <c r="F1051" s="59"/>
      <c r="G1051" s="59"/>
      <c r="H1051" s="77" t="s">
        <v>76</v>
      </c>
      <c r="I1051" s="82">
        <v>12000</v>
      </c>
      <c r="J1051" s="59"/>
      <c r="K1051" s="85"/>
      <c r="L1051" s="86"/>
      <c r="M1051" s="87"/>
      <c r="N1051" s="59"/>
      <c r="O1051" s="59"/>
      <c r="P1051" s="59"/>
      <c r="Q1051" s="59"/>
      <c r="R1051" s="59"/>
      <c r="S1051" s="59"/>
      <c r="T1051" s="59"/>
      <c r="U1051" s="59"/>
      <c r="V1051" s="59"/>
      <c r="W1051" s="59"/>
      <c r="X1051" s="59"/>
      <c r="Y1051" s="59"/>
      <c r="Z1051" s="59"/>
      <c r="AA1051" s="59"/>
      <c r="AB1051" s="59"/>
      <c r="AC1051" s="59"/>
      <c r="AD1051" s="59"/>
      <c r="AE1051" s="59"/>
      <c r="AF1051" s="59"/>
      <c r="AG1051" s="59"/>
      <c r="AH1051" s="59"/>
      <c r="AI1051" s="59"/>
      <c r="AJ1051" s="59"/>
      <c r="AK1051" s="59"/>
      <c r="AL1051" s="59"/>
      <c r="AM1051" s="59"/>
      <c r="AN1051" s="59"/>
      <c r="AO1051" s="59"/>
      <c r="AP1051" s="59"/>
      <c r="AQ1051" s="59"/>
      <c r="AR1051" s="59"/>
      <c r="AS1051" s="59"/>
      <c r="AT1051" s="59"/>
      <c r="AU1051" s="59"/>
      <c r="AV1051" s="59"/>
      <c r="AW1051" s="59"/>
      <c r="AX1051" s="59"/>
      <c r="AY1051" s="59"/>
      <c r="AZ1051" s="59"/>
      <c r="BA1051" s="59"/>
      <c r="BB1051" s="59"/>
      <c r="BC1051" s="59"/>
      <c r="BD1051" s="59"/>
      <c r="BE1051" s="59"/>
      <c r="BF1051" s="59"/>
      <c r="BG1051" s="59"/>
      <c r="BH1051" s="59"/>
      <c r="BI1051" s="59"/>
      <c r="BJ1051" s="59"/>
      <c r="BK1051" s="59"/>
      <c r="BL1051" s="59"/>
      <c r="BM1051" s="59"/>
      <c r="BN1051" s="59"/>
      <c r="BO1051" s="59"/>
      <c r="BP1051" s="59"/>
      <c r="BQ1051" s="59"/>
      <c r="BR1051" s="59"/>
      <c r="BS1051" s="59"/>
      <c r="BT1051" s="59"/>
      <c r="BU1051" s="59"/>
      <c r="BV1051" s="59"/>
      <c r="BW1051" s="59"/>
      <c r="BX1051" s="59"/>
      <c r="BY1051" s="59"/>
      <c r="BZ1051" s="59"/>
      <c r="CA1051" s="59"/>
      <c r="CB1051" s="59"/>
    </row>
    <row r="1052" spans="1:80">
      <c r="A1052" s="74">
        <v>1051</v>
      </c>
      <c r="B1052" s="66" t="s">
        <v>67</v>
      </c>
      <c r="C1052" s="67" t="s">
        <v>302</v>
      </c>
      <c r="D1052" s="59" t="s">
        <v>294</v>
      </c>
      <c r="E1052" s="88"/>
      <c r="F1052" s="59"/>
      <c r="G1052" s="59"/>
      <c r="H1052" s="77" t="s">
        <v>76</v>
      </c>
      <c r="I1052" s="82">
        <v>12000</v>
      </c>
      <c r="J1052" s="59"/>
      <c r="K1052" s="85"/>
      <c r="L1052" s="86"/>
      <c r="M1052" s="87"/>
      <c r="N1052" s="59"/>
      <c r="O1052" s="59"/>
      <c r="P1052" s="59"/>
      <c r="Q1052" s="59"/>
      <c r="R1052" s="59"/>
      <c r="S1052" s="59"/>
      <c r="T1052" s="59"/>
      <c r="U1052" s="59"/>
      <c r="V1052" s="59"/>
      <c r="W1052" s="59"/>
      <c r="X1052" s="59"/>
      <c r="Y1052" s="59"/>
      <c r="Z1052" s="59"/>
      <c r="AA1052" s="59"/>
      <c r="AB1052" s="59"/>
      <c r="AC1052" s="59"/>
      <c r="AD1052" s="59"/>
      <c r="AE1052" s="59"/>
      <c r="AF1052" s="59"/>
      <c r="AG1052" s="59"/>
      <c r="AH1052" s="59"/>
      <c r="AI1052" s="59"/>
      <c r="AJ1052" s="59"/>
      <c r="AK1052" s="59"/>
      <c r="AL1052" s="59"/>
      <c r="AM1052" s="59"/>
      <c r="AN1052" s="59"/>
      <c r="AO1052" s="59"/>
      <c r="AP1052" s="59"/>
      <c r="AQ1052" s="59"/>
      <c r="AR1052" s="59"/>
      <c r="AS1052" s="59"/>
      <c r="AT1052" s="59"/>
      <c r="AU1052" s="59"/>
      <c r="AV1052" s="59"/>
      <c r="AW1052" s="59"/>
      <c r="AX1052" s="59"/>
      <c r="AY1052" s="59"/>
      <c r="AZ1052" s="59"/>
      <c r="BA1052" s="59"/>
      <c r="BB1052" s="59"/>
      <c r="BC1052" s="59"/>
      <c r="BD1052" s="59"/>
      <c r="BE1052" s="59"/>
      <c r="BF1052" s="59"/>
      <c r="BG1052" s="59"/>
      <c r="BH1052" s="59"/>
      <c r="BI1052" s="59"/>
      <c r="BJ1052" s="59"/>
      <c r="BK1052" s="59"/>
      <c r="BL1052" s="59"/>
      <c r="BM1052" s="59"/>
      <c r="BN1052" s="59"/>
      <c r="BO1052" s="59"/>
      <c r="BP1052" s="59"/>
      <c r="BQ1052" s="59"/>
      <c r="BR1052" s="59"/>
      <c r="BS1052" s="59"/>
      <c r="BT1052" s="59"/>
      <c r="BU1052" s="59"/>
      <c r="BV1052" s="59"/>
      <c r="BW1052" s="59"/>
      <c r="BX1052" s="59"/>
      <c r="BY1052" s="59"/>
      <c r="BZ1052" s="59"/>
      <c r="CA1052" s="59"/>
      <c r="CB1052" s="59"/>
    </row>
    <row r="1053" spans="1:80">
      <c r="A1053" s="74">
        <v>1052</v>
      </c>
      <c r="B1053" s="66" t="s">
        <v>67</v>
      </c>
      <c r="C1053" s="67" t="s">
        <v>302</v>
      </c>
      <c r="D1053" s="59" t="s">
        <v>295</v>
      </c>
      <c r="E1053" s="88"/>
      <c r="F1053" s="59"/>
      <c r="G1053" s="59"/>
      <c r="H1053" s="77" t="s">
        <v>76</v>
      </c>
      <c r="I1053" s="82">
        <v>12000</v>
      </c>
      <c r="J1053" s="59"/>
      <c r="K1053" s="85"/>
      <c r="L1053" s="86"/>
      <c r="M1053" s="98"/>
      <c r="N1053" s="59"/>
      <c r="O1053" s="59"/>
      <c r="P1053" s="59"/>
      <c r="Q1053" s="59"/>
      <c r="R1053" s="59"/>
      <c r="S1053" s="59"/>
      <c r="T1053" s="59"/>
      <c r="U1053" s="59"/>
      <c r="V1053" s="59"/>
      <c r="W1053" s="59"/>
      <c r="X1053" s="59"/>
      <c r="Y1053" s="59"/>
      <c r="Z1053" s="59"/>
      <c r="AA1053" s="59"/>
      <c r="AB1053" s="59"/>
      <c r="AC1053" s="59"/>
      <c r="AD1053" s="59"/>
      <c r="AE1053" s="59"/>
      <c r="AF1053" s="59"/>
      <c r="AG1053" s="59"/>
      <c r="AH1053" s="59"/>
      <c r="AI1053" s="59"/>
      <c r="AJ1053" s="59"/>
      <c r="AK1053" s="59"/>
      <c r="AL1053" s="59"/>
      <c r="AM1053" s="59"/>
      <c r="AN1053" s="59"/>
      <c r="AO1053" s="59"/>
      <c r="AP1053" s="59"/>
      <c r="AQ1053" s="59"/>
      <c r="AR1053" s="59"/>
      <c r="AS1053" s="59"/>
      <c r="AT1053" s="59"/>
      <c r="AU1053" s="59"/>
      <c r="AV1053" s="59"/>
      <c r="AW1053" s="59"/>
      <c r="AX1053" s="59"/>
      <c r="AY1053" s="59"/>
      <c r="AZ1053" s="59"/>
      <c r="BA1053" s="59"/>
      <c r="BB1053" s="59"/>
      <c r="BC1053" s="59"/>
      <c r="BD1053" s="59"/>
      <c r="BE1053" s="59"/>
      <c r="BF1053" s="59"/>
      <c r="BG1053" s="59"/>
      <c r="BH1053" s="59"/>
      <c r="BI1053" s="59"/>
      <c r="BJ1053" s="59"/>
      <c r="BK1053" s="59"/>
      <c r="BL1053" s="59"/>
      <c r="BM1053" s="59"/>
      <c r="BN1053" s="59"/>
      <c r="BO1053" s="59"/>
      <c r="BP1053" s="59"/>
      <c r="BQ1053" s="59"/>
      <c r="BR1053" s="59"/>
      <c r="BS1053" s="59"/>
      <c r="BT1053" s="59"/>
      <c r="BU1053" s="59"/>
      <c r="BV1053" s="59"/>
      <c r="BW1053" s="59"/>
      <c r="BX1053" s="59"/>
      <c r="BY1053" s="59"/>
      <c r="BZ1053" s="59"/>
      <c r="CA1053" s="59"/>
      <c r="CB1053" s="59"/>
    </row>
    <row r="1054" spans="1:80">
      <c r="A1054" s="74">
        <v>1053</v>
      </c>
      <c r="B1054" s="66" t="s">
        <v>67</v>
      </c>
      <c r="C1054" s="67" t="s">
        <v>303</v>
      </c>
      <c r="D1054" s="67" t="s">
        <v>69</v>
      </c>
      <c r="E1054" s="88"/>
      <c r="F1054" s="59"/>
      <c r="G1054" s="59"/>
      <c r="H1054" s="77" t="s">
        <v>71</v>
      </c>
      <c r="I1054" s="78">
        <v>16000</v>
      </c>
      <c r="J1054" s="59"/>
      <c r="K1054" s="85"/>
      <c r="L1054" s="86"/>
      <c r="M1054" s="87"/>
      <c r="N1054" s="59"/>
      <c r="O1054" s="59"/>
      <c r="P1054" s="59"/>
      <c r="Q1054" s="59"/>
      <c r="R1054" s="59"/>
      <c r="S1054" s="59"/>
      <c r="T1054" s="59"/>
      <c r="U1054" s="59"/>
      <c r="V1054" s="59"/>
      <c r="W1054" s="59"/>
      <c r="X1054" s="59"/>
      <c r="Y1054" s="59"/>
      <c r="Z1054" s="59"/>
      <c r="AA1054" s="59"/>
      <c r="AB1054" s="59"/>
      <c r="AC1054" s="59"/>
      <c r="AD1054" s="59"/>
      <c r="AE1054" s="59"/>
      <c r="AF1054" s="59"/>
      <c r="AG1054" s="59"/>
      <c r="AH1054" s="59"/>
      <c r="AI1054" s="59"/>
      <c r="AJ1054" s="59"/>
      <c r="AK1054" s="59"/>
      <c r="AL1054" s="59"/>
      <c r="AM1054" s="59"/>
      <c r="AN1054" s="59"/>
      <c r="AO1054" s="59"/>
      <c r="AP1054" s="59"/>
      <c r="AQ1054" s="59"/>
      <c r="AR1054" s="59"/>
      <c r="AS1054" s="59"/>
      <c r="AT1054" s="59"/>
      <c r="AU1054" s="59"/>
      <c r="AV1054" s="59"/>
      <c r="AW1054" s="59"/>
      <c r="AX1054" s="59"/>
      <c r="AY1054" s="59"/>
      <c r="AZ1054" s="59"/>
      <c r="BA1054" s="59"/>
      <c r="BB1054" s="59"/>
      <c r="BC1054" s="59"/>
      <c r="BD1054" s="59"/>
      <c r="BE1054" s="59"/>
      <c r="BF1054" s="59"/>
      <c r="BG1054" s="59"/>
      <c r="BH1054" s="59"/>
      <c r="BI1054" s="59"/>
      <c r="BJ1054" s="59"/>
      <c r="BK1054" s="59"/>
      <c r="BL1054" s="59"/>
      <c r="BM1054" s="59"/>
      <c r="BN1054" s="59"/>
      <c r="BO1054" s="59"/>
      <c r="BP1054" s="59"/>
      <c r="BQ1054" s="59"/>
      <c r="BR1054" s="59"/>
      <c r="BS1054" s="59"/>
      <c r="BT1054" s="59"/>
      <c r="BU1054" s="59"/>
      <c r="BV1054" s="59"/>
      <c r="BW1054" s="59"/>
      <c r="BX1054" s="59"/>
      <c r="BY1054" s="59"/>
      <c r="BZ1054" s="59"/>
      <c r="CA1054" s="59"/>
      <c r="CB1054" s="59"/>
    </row>
    <row r="1055" spans="1:80">
      <c r="A1055" s="74">
        <v>1054</v>
      </c>
      <c r="B1055" s="66" t="s">
        <v>67</v>
      </c>
      <c r="C1055" s="67" t="s">
        <v>303</v>
      </c>
      <c r="D1055" s="67" t="s">
        <v>75</v>
      </c>
      <c r="E1055" s="88"/>
      <c r="F1055" s="59"/>
      <c r="G1055" s="59"/>
      <c r="H1055" s="77" t="s">
        <v>76</v>
      </c>
      <c r="I1055" s="82">
        <v>12000</v>
      </c>
      <c r="J1055" s="59"/>
      <c r="K1055" s="85"/>
      <c r="L1055" s="86"/>
      <c r="M1055" s="99"/>
      <c r="N1055" s="59"/>
      <c r="O1055" s="59"/>
      <c r="P1055" s="59"/>
      <c r="Q1055" s="59"/>
      <c r="R1055" s="59"/>
      <c r="S1055" s="59"/>
      <c r="T1055" s="59"/>
      <c r="U1055" s="59"/>
      <c r="V1055" s="59"/>
      <c r="W1055" s="59"/>
      <c r="X1055" s="59"/>
      <c r="Y1055" s="59"/>
      <c r="Z1055" s="59"/>
      <c r="AA1055" s="59"/>
      <c r="AB1055" s="59"/>
      <c r="AC1055" s="59"/>
      <c r="AD1055" s="59"/>
      <c r="AE1055" s="59"/>
      <c r="AF1055" s="59"/>
      <c r="AG1055" s="59"/>
      <c r="AH1055" s="59"/>
      <c r="AI1055" s="59"/>
      <c r="AJ1055" s="59"/>
      <c r="AK1055" s="59"/>
      <c r="AL1055" s="59"/>
      <c r="AM1055" s="59"/>
      <c r="AN1055" s="59"/>
      <c r="AO1055" s="59"/>
      <c r="AP1055" s="59"/>
      <c r="AQ1055" s="59"/>
      <c r="AR1055" s="59"/>
      <c r="AS1055" s="59"/>
      <c r="AT1055" s="59"/>
      <c r="AU1055" s="59"/>
      <c r="AV1055" s="59"/>
      <c r="AW1055" s="59"/>
      <c r="AX1055" s="59"/>
      <c r="AY1055" s="59"/>
      <c r="AZ1055" s="59"/>
      <c r="BA1055" s="59"/>
      <c r="BB1055" s="59"/>
      <c r="BC1055" s="59"/>
      <c r="BD1055" s="59"/>
      <c r="BE1055" s="59"/>
      <c r="BF1055" s="59"/>
      <c r="BG1055" s="59"/>
      <c r="BH1055" s="59"/>
      <c r="BI1055" s="59"/>
      <c r="BJ1055" s="59"/>
      <c r="BK1055" s="59"/>
      <c r="BL1055" s="59"/>
      <c r="BM1055" s="59"/>
      <c r="BN1055" s="59"/>
      <c r="BO1055" s="59"/>
      <c r="BP1055" s="59"/>
      <c r="BQ1055" s="59"/>
      <c r="BR1055" s="59"/>
      <c r="BS1055" s="59"/>
      <c r="BT1055" s="59"/>
      <c r="BU1055" s="59"/>
      <c r="BV1055" s="59"/>
      <c r="BW1055" s="59"/>
      <c r="BX1055" s="59"/>
      <c r="BY1055" s="59"/>
      <c r="BZ1055" s="59"/>
      <c r="CA1055" s="59"/>
      <c r="CB1055" s="59"/>
    </row>
    <row r="1056" spans="1:80">
      <c r="A1056" s="74">
        <v>1055</v>
      </c>
      <c r="B1056" s="66" t="s">
        <v>67</v>
      </c>
      <c r="C1056" s="67" t="s">
        <v>303</v>
      </c>
      <c r="D1056" s="67" t="s">
        <v>77</v>
      </c>
      <c r="E1056" s="88"/>
      <c r="F1056" s="59"/>
      <c r="G1056" s="59"/>
      <c r="H1056" s="77" t="s">
        <v>76</v>
      </c>
      <c r="I1056" s="82">
        <v>12000</v>
      </c>
      <c r="J1056" s="59"/>
      <c r="K1056" s="85"/>
      <c r="L1056" s="86"/>
      <c r="M1056" s="87"/>
      <c r="N1056" s="59"/>
      <c r="O1056" s="59"/>
      <c r="P1056" s="59"/>
      <c r="Q1056" s="59"/>
      <c r="R1056" s="59"/>
      <c r="S1056" s="59"/>
      <c r="T1056" s="59"/>
      <c r="U1056" s="59"/>
      <c r="V1056" s="59"/>
      <c r="W1056" s="59"/>
      <c r="X1056" s="59"/>
      <c r="Y1056" s="59"/>
      <c r="Z1056" s="59"/>
      <c r="AA1056" s="59"/>
      <c r="AB1056" s="59"/>
      <c r="AC1056" s="59"/>
      <c r="AD1056" s="59"/>
      <c r="AE1056" s="59"/>
      <c r="AF1056" s="59"/>
      <c r="AG1056" s="59"/>
      <c r="AH1056" s="59"/>
      <c r="AI1056" s="59"/>
      <c r="AJ1056" s="59"/>
      <c r="AK1056" s="59"/>
      <c r="AL1056" s="59"/>
      <c r="AM1056" s="59"/>
      <c r="AN1056" s="59"/>
      <c r="AO1056" s="59"/>
      <c r="AP1056" s="59"/>
      <c r="AQ1056" s="59"/>
      <c r="AR1056" s="59"/>
      <c r="AS1056" s="59"/>
      <c r="AT1056" s="59"/>
      <c r="AU1056" s="59"/>
      <c r="AV1056" s="59"/>
      <c r="AW1056" s="59"/>
      <c r="AX1056" s="59"/>
      <c r="AY1056" s="59"/>
      <c r="AZ1056" s="59"/>
      <c r="BA1056" s="59"/>
      <c r="BB1056" s="59"/>
      <c r="BC1056" s="59"/>
      <c r="BD1056" s="59"/>
      <c r="BE1056" s="59"/>
      <c r="BF1056" s="59"/>
      <c r="BG1056" s="59"/>
      <c r="BH1056" s="59"/>
      <c r="BI1056" s="59"/>
      <c r="BJ1056" s="59"/>
      <c r="BK1056" s="59"/>
      <c r="BL1056" s="59"/>
      <c r="BM1056" s="59"/>
      <c r="BN1056" s="59"/>
      <c r="BO1056" s="59"/>
      <c r="BP1056" s="59"/>
      <c r="BQ1056" s="59"/>
      <c r="BR1056" s="59"/>
      <c r="BS1056" s="59"/>
      <c r="BT1056" s="59"/>
      <c r="BU1056" s="59"/>
      <c r="BV1056" s="59"/>
      <c r="BW1056" s="59"/>
      <c r="BX1056" s="59"/>
      <c r="BY1056" s="59"/>
      <c r="BZ1056" s="59"/>
      <c r="CA1056" s="59"/>
      <c r="CB1056" s="59"/>
    </row>
    <row r="1057" spans="1:80">
      <c r="A1057" s="74">
        <v>1056</v>
      </c>
      <c r="B1057" s="66" t="s">
        <v>67</v>
      </c>
      <c r="C1057" s="67" t="s">
        <v>303</v>
      </c>
      <c r="D1057" s="67" t="s">
        <v>79</v>
      </c>
      <c r="E1057" s="88"/>
      <c r="F1057" s="59"/>
      <c r="G1057" s="59"/>
      <c r="H1057" s="77" t="s">
        <v>76</v>
      </c>
      <c r="I1057" s="82">
        <v>12000</v>
      </c>
      <c r="J1057" s="59"/>
      <c r="K1057" s="85"/>
      <c r="L1057" s="86"/>
      <c r="M1057" s="87"/>
      <c r="N1057" s="59"/>
      <c r="O1057" s="59"/>
      <c r="P1057" s="59"/>
      <c r="Q1057" s="59"/>
      <c r="R1057" s="59"/>
      <c r="S1057" s="59"/>
      <c r="T1057" s="59"/>
      <c r="U1057" s="59"/>
      <c r="V1057" s="59"/>
      <c r="W1057" s="59"/>
      <c r="X1057" s="59"/>
      <c r="Y1057" s="59"/>
      <c r="Z1057" s="59"/>
      <c r="AA1057" s="59"/>
      <c r="AB1057" s="59"/>
      <c r="AC1057" s="59"/>
      <c r="AD1057" s="59"/>
      <c r="AE1057" s="59"/>
      <c r="AF1057" s="59"/>
      <c r="AG1057" s="59"/>
      <c r="AH1057" s="59"/>
      <c r="AI1057" s="59"/>
      <c r="AJ1057" s="59"/>
      <c r="AK1057" s="59"/>
      <c r="AL1057" s="59"/>
      <c r="AM1057" s="59"/>
      <c r="AN1057" s="59"/>
      <c r="AO1057" s="59"/>
      <c r="AP1057" s="59"/>
      <c r="AQ1057" s="59"/>
      <c r="AR1057" s="59"/>
      <c r="AS1057" s="59"/>
      <c r="AT1057" s="59"/>
      <c r="AU1057" s="59"/>
      <c r="AV1057" s="59"/>
      <c r="AW1057" s="59"/>
      <c r="AX1057" s="59"/>
      <c r="AY1057" s="59"/>
      <c r="AZ1057" s="59"/>
      <c r="BA1057" s="59"/>
      <c r="BB1057" s="59"/>
      <c r="BC1057" s="59"/>
      <c r="BD1057" s="59"/>
      <c r="BE1057" s="59"/>
      <c r="BF1057" s="59"/>
      <c r="BG1057" s="59"/>
      <c r="BH1057" s="59"/>
      <c r="BI1057" s="59"/>
      <c r="BJ1057" s="59"/>
      <c r="BK1057" s="59"/>
      <c r="BL1057" s="59"/>
      <c r="BM1057" s="59"/>
      <c r="BN1057" s="59"/>
      <c r="BO1057" s="59"/>
      <c r="BP1057" s="59"/>
      <c r="BQ1057" s="59"/>
      <c r="BR1057" s="59"/>
      <c r="BS1057" s="59"/>
      <c r="BT1057" s="59"/>
      <c r="BU1057" s="59"/>
      <c r="BV1057" s="59"/>
      <c r="BW1057" s="59"/>
      <c r="BX1057" s="59"/>
      <c r="BY1057" s="59"/>
      <c r="BZ1057" s="59"/>
      <c r="CA1057" s="59"/>
      <c r="CB1057" s="59"/>
    </row>
    <row r="1058" spans="1:80">
      <c r="A1058" s="74">
        <v>1057</v>
      </c>
      <c r="B1058" s="66" t="s">
        <v>67</v>
      </c>
      <c r="C1058" s="67" t="s">
        <v>303</v>
      </c>
      <c r="D1058" s="67" t="s">
        <v>80</v>
      </c>
      <c r="E1058" s="88"/>
      <c r="F1058" s="59"/>
      <c r="G1058" s="59"/>
      <c r="H1058" s="77" t="s">
        <v>76</v>
      </c>
      <c r="I1058" s="82">
        <v>12000</v>
      </c>
      <c r="J1058" s="59"/>
      <c r="K1058" s="85"/>
      <c r="L1058" s="86"/>
      <c r="M1058" s="87"/>
      <c r="N1058" s="59"/>
      <c r="O1058" s="59"/>
      <c r="P1058" s="59"/>
      <c r="Q1058" s="59"/>
      <c r="R1058" s="59"/>
      <c r="S1058" s="59"/>
      <c r="T1058" s="59"/>
      <c r="U1058" s="59"/>
      <c r="V1058" s="59"/>
      <c r="W1058" s="59"/>
      <c r="X1058" s="59"/>
      <c r="Y1058" s="59"/>
      <c r="Z1058" s="59"/>
      <c r="AA1058" s="59"/>
      <c r="AB1058" s="59"/>
      <c r="AC1058" s="59"/>
      <c r="AD1058" s="59"/>
      <c r="AE1058" s="59"/>
      <c r="AF1058" s="59"/>
      <c r="AG1058" s="59"/>
      <c r="AH1058" s="59"/>
      <c r="AI1058" s="59"/>
      <c r="AJ1058" s="59"/>
      <c r="AK1058" s="59"/>
      <c r="AL1058" s="59"/>
      <c r="AM1058" s="59"/>
      <c r="AN1058" s="59"/>
      <c r="AO1058" s="59"/>
      <c r="AP1058" s="59"/>
      <c r="AQ1058" s="59"/>
      <c r="AR1058" s="59"/>
      <c r="AS1058" s="59"/>
      <c r="AT1058" s="59"/>
      <c r="AU1058" s="59"/>
      <c r="AV1058" s="59"/>
      <c r="AW1058" s="59"/>
      <c r="AX1058" s="59"/>
      <c r="AY1058" s="59"/>
      <c r="AZ1058" s="59"/>
      <c r="BA1058" s="59"/>
      <c r="BB1058" s="59"/>
      <c r="BC1058" s="59"/>
      <c r="BD1058" s="59"/>
      <c r="BE1058" s="59"/>
      <c r="BF1058" s="59"/>
      <c r="BG1058" s="59"/>
      <c r="BH1058" s="59"/>
      <c r="BI1058" s="59"/>
      <c r="BJ1058" s="59"/>
      <c r="BK1058" s="59"/>
      <c r="BL1058" s="59"/>
      <c r="BM1058" s="59"/>
      <c r="BN1058" s="59"/>
      <c r="BO1058" s="59"/>
      <c r="BP1058" s="59"/>
      <c r="BQ1058" s="59"/>
      <c r="BR1058" s="59"/>
      <c r="BS1058" s="59"/>
      <c r="BT1058" s="59"/>
      <c r="BU1058" s="59"/>
      <c r="BV1058" s="59"/>
      <c r="BW1058" s="59"/>
      <c r="BX1058" s="59"/>
      <c r="BY1058" s="59"/>
      <c r="BZ1058" s="59"/>
      <c r="CA1058" s="59"/>
      <c r="CB1058" s="59"/>
    </row>
    <row r="1059" spans="1:80">
      <c r="A1059" s="74">
        <v>1058</v>
      </c>
      <c r="B1059" s="66" t="s">
        <v>67</v>
      </c>
      <c r="C1059" s="67" t="s">
        <v>303</v>
      </c>
      <c r="D1059" s="67" t="s">
        <v>81</v>
      </c>
      <c r="E1059" s="88"/>
      <c r="F1059" s="59"/>
      <c r="G1059" s="59"/>
      <c r="H1059" s="77" t="s">
        <v>76</v>
      </c>
      <c r="I1059" s="82">
        <v>12000</v>
      </c>
      <c r="J1059" s="59"/>
      <c r="K1059" s="85"/>
      <c r="L1059" s="86"/>
      <c r="M1059" s="87"/>
      <c r="N1059" s="59"/>
      <c r="O1059" s="59"/>
      <c r="P1059" s="59"/>
      <c r="Q1059" s="59"/>
      <c r="R1059" s="59"/>
      <c r="S1059" s="59"/>
      <c r="T1059" s="59"/>
      <c r="U1059" s="59"/>
      <c r="V1059" s="59"/>
      <c r="W1059" s="59"/>
      <c r="X1059" s="59"/>
      <c r="Y1059" s="59"/>
      <c r="Z1059" s="59"/>
      <c r="AA1059" s="59"/>
      <c r="AB1059" s="59"/>
      <c r="AC1059" s="59"/>
      <c r="AD1059" s="59"/>
      <c r="AE1059" s="59"/>
      <c r="AF1059" s="59"/>
      <c r="AG1059" s="59"/>
      <c r="AH1059" s="59"/>
      <c r="AI1059" s="59"/>
      <c r="AJ1059" s="59"/>
      <c r="AK1059" s="59"/>
      <c r="AL1059" s="59"/>
      <c r="AM1059" s="59"/>
      <c r="AN1059" s="59"/>
      <c r="AO1059" s="59"/>
      <c r="AP1059" s="59"/>
      <c r="AQ1059" s="59"/>
      <c r="AR1059" s="59"/>
      <c r="AS1059" s="59"/>
      <c r="AT1059" s="59"/>
      <c r="AU1059" s="59"/>
      <c r="AV1059" s="59"/>
      <c r="AW1059" s="59"/>
      <c r="AX1059" s="59"/>
      <c r="AY1059" s="59"/>
      <c r="AZ1059" s="59"/>
      <c r="BA1059" s="59"/>
      <c r="BB1059" s="59"/>
      <c r="BC1059" s="59"/>
      <c r="BD1059" s="59"/>
      <c r="BE1059" s="59"/>
      <c r="BF1059" s="59"/>
      <c r="BG1059" s="59"/>
      <c r="BH1059" s="59"/>
      <c r="BI1059" s="59"/>
      <c r="BJ1059" s="59"/>
      <c r="BK1059" s="59"/>
      <c r="BL1059" s="59"/>
      <c r="BM1059" s="59"/>
      <c r="BN1059" s="59"/>
      <c r="BO1059" s="59"/>
      <c r="BP1059" s="59"/>
      <c r="BQ1059" s="59"/>
      <c r="BR1059" s="59"/>
      <c r="BS1059" s="59"/>
      <c r="BT1059" s="59"/>
      <c r="BU1059" s="59"/>
      <c r="BV1059" s="59"/>
      <c r="BW1059" s="59"/>
      <c r="BX1059" s="59"/>
      <c r="BY1059" s="59"/>
      <c r="BZ1059" s="59"/>
      <c r="CA1059" s="59"/>
      <c r="CB1059" s="59"/>
    </row>
    <row r="1060" spans="1:80">
      <c r="A1060" s="74">
        <v>1059</v>
      </c>
      <c r="B1060" s="66" t="s">
        <v>67</v>
      </c>
      <c r="C1060" s="67" t="s">
        <v>303</v>
      </c>
      <c r="D1060" s="67" t="s">
        <v>82</v>
      </c>
      <c r="E1060" s="88"/>
      <c r="F1060" s="59"/>
      <c r="G1060" s="59"/>
      <c r="H1060" s="77" t="s">
        <v>76</v>
      </c>
      <c r="I1060" s="82">
        <v>12000</v>
      </c>
      <c r="J1060" s="59"/>
      <c r="K1060" s="85"/>
      <c r="L1060" s="86"/>
      <c r="M1060" s="87"/>
      <c r="N1060" s="59"/>
      <c r="O1060" s="59"/>
      <c r="P1060" s="59"/>
      <c r="Q1060" s="59"/>
      <c r="R1060" s="59"/>
      <c r="S1060" s="59"/>
      <c r="T1060" s="59"/>
      <c r="U1060" s="59"/>
      <c r="V1060" s="59"/>
      <c r="W1060" s="59"/>
      <c r="X1060" s="59"/>
      <c r="Y1060" s="59"/>
      <c r="Z1060" s="59"/>
      <c r="AA1060" s="59"/>
      <c r="AB1060" s="59"/>
      <c r="AC1060" s="59"/>
      <c r="AD1060" s="59"/>
      <c r="AE1060" s="59"/>
      <c r="AF1060" s="59"/>
      <c r="AG1060" s="59"/>
      <c r="AH1060" s="59"/>
      <c r="AI1060" s="59"/>
      <c r="AJ1060" s="59"/>
      <c r="AK1060" s="59"/>
      <c r="AL1060" s="59"/>
      <c r="AM1060" s="59"/>
      <c r="AN1060" s="59"/>
      <c r="AO1060" s="59"/>
      <c r="AP1060" s="59"/>
      <c r="AQ1060" s="59"/>
      <c r="AR1060" s="59"/>
      <c r="AS1060" s="59"/>
      <c r="AT1060" s="59"/>
      <c r="AU1060" s="59"/>
      <c r="AV1060" s="59"/>
      <c r="AW1060" s="59"/>
      <c r="AX1060" s="59"/>
      <c r="AY1060" s="59"/>
      <c r="AZ1060" s="59"/>
      <c r="BA1060" s="59"/>
      <c r="BB1060" s="59"/>
      <c r="BC1060" s="59"/>
      <c r="BD1060" s="59"/>
      <c r="BE1060" s="59"/>
      <c r="BF1060" s="59"/>
      <c r="BG1060" s="59"/>
      <c r="BH1060" s="59"/>
      <c r="BI1060" s="59"/>
      <c r="BJ1060" s="59"/>
      <c r="BK1060" s="59"/>
      <c r="BL1060" s="59"/>
      <c r="BM1060" s="59"/>
      <c r="BN1060" s="59"/>
      <c r="BO1060" s="59"/>
      <c r="BP1060" s="59"/>
      <c r="BQ1060" s="59"/>
      <c r="BR1060" s="59"/>
      <c r="BS1060" s="59"/>
      <c r="BT1060" s="59"/>
      <c r="BU1060" s="59"/>
      <c r="BV1060" s="59"/>
      <c r="BW1060" s="59"/>
      <c r="BX1060" s="59"/>
      <c r="BY1060" s="59"/>
      <c r="BZ1060" s="59"/>
      <c r="CA1060" s="59"/>
      <c r="CB1060" s="59"/>
    </row>
    <row r="1061" spans="1:80">
      <c r="A1061" s="74">
        <v>1060</v>
      </c>
      <c r="B1061" s="66" t="s">
        <v>67</v>
      </c>
      <c r="C1061" s="67" t="s">
        <v>303</v>
      </c>
      <c r="D1061" s="67" t="s">
        <v>83</v>
      </c>
      <c r="E1061" s="88"/>
      <c r="F1061" s="59"/>
      <c r="G1061" s="59"/>
      <c r="H1061" s="77" t="s">
        <v>76</v>
      </c>
      <c r="I1061" s="82">
        <v>12000</v>
      </c>
      <c r="J1061" s="59"/>
      <c r="K1061" s="85"/>
      <c r="L1061" s="86"/>
      <c r="M1061" s="87"/>
      <c r="N1061" s="59"/>
      <c r="O1061" s="59"/>
      <c r="P1061" s="59"/>
      <c r="Q1061" s="59"/>
      <c r="R1061" s="59"/>
      <c r="S1061" s="59"/>
      <c r="T1061" s="59"/>
      <c r="U1061" s="59"/>
      <c r="V1061" s="59"/>
      <c r="W1061" s="59"/>
      <c r="X1061" s="59"/>
      <c r="Y1061" s="59"/>
      <c r="Z1061" s="59"/>
      <c r="AA1061" s="59"/>
      <c r="AB1061" s="59"/>
      <c r="AC1061" s="59"/>
      <c r="AD1061" s="59"/>
      <c r="AE1061" s="59"/>
      <c r="AF1061" s="59"/>
      <c r="AG1061" s="59"/>
      <c r="AH1061" s="59"/>
      <c r="AI1061" s="59"/>
      <c r="AJ1061" s="59"/>
      <c r="AK1061" s="59"/>
      <c r="AL1061" s="59"/>
      <c r="AM1061" s="59"/>
      <c r="AN1061" s="59"/>
      <c r="AO1061" s="59"/>
      <c r="AP1061" s="59"/>
      <c r="AQ1061" s="59"/>
      <c r="AR1061" s="59"/>
      <c r="AS1061" s="59"/>
      <c r="AT1061" s="59"/>
      <c r="AU1061" s="59"/>
      <c r="AV1061" s="59"/>
      <c r="AW1061" s="59"/>
      <c r="AX1061" s="59"/>
      <c r="AY1061" s="59"/>
      <c r="AZ1061" s="59"/>
      <c r="BA1061" s="59"/>
      <c r="BB1061" s="59"/>
      <c r="BC1061" s="59"/>
      <c r="BD1061" s="59"/>
      <c r="BE1061" s="59"/>
      <c r="BF1061" s="59"/>
      <c r="BG1061" s="59"/>
      <c r="BH1061" s="59"/>
      <c r="BI1061" s="59"/>
      <c r="BJ1061" s="59"/>
      <c r="BK1061" s="59"/>
      <c r="BL1061" s="59"/>
      <c r="BM1061" s="59"/>
      <c r="BN1061" s="59"/>
      <c r="BO1061" s="59"/>
      <c r="BP1061" s="59"/>
      <c r="BQ1061" s="59"/>
      <c r="BR1061" s="59"/>
      <c r="BS1061" s="59"/>
      <c r="BT1061" s="59"/>
      <c r="BU1061" s="59"/>
      <c r="BV1061" s="59"/>
      <c r="BW1061" s="59"/>
      <c r="BX1061" s="59"/>
      <c r="BY1061" s="59"/>
      <c r="BZ1061" s="59"/>
      <c r="CA1061" s="59"/>
      <c r="CB1061" s="59"/>
    </row>
    <row r="1062" spans="1:80">
      <c r="A1062" s="74">
        <v>1061</v>
      </c>
      <c r="B1062" s="66" t="s">
        <v>67</v>
      </c>
      <c r="C1062" s="67" t="s">
        <v>303</v>
      </c>
      <c r="D1062" s="67" t="s">
        <v>84</v>
      </c>
      <c r="E1062" s="88"/>
      <c r="F1062" s="59"/>
      <c r="G1062" s="59"/>
      <c r="H1062" s="77" t="s">
        <v>76</v>
      </c>
      <c r="I1062" s="82">
        <v>12000</v>
      </c>
      <c r="J1062" s="59"/>
      <c r="K1062" s="85"/>
      <c r="L1062" s="86"/>
      <c r="M1062" s="87"/>
      <c r="N1062" s="59"/>
      <c r="O1062" s="59"/>
      <c r="P1062" s="59"/>
      <c r="Q1062" s="59"/>
      <c r="R1062" s="59"/>
      <c r="S1062" s="59"/>
      <c r="T1062" s="59"/>
      <c r="U1062" s="59"/>
      <c r="V1062" s="59"/>
      <c r="W1062" s="59"/>
      <c r="X1062" s="59"/>
      <c r="Y1062" s="59"/>
      <c r="Z1062" s="59"/>
      <c r="AA1062" s="59"/>
      <c r="AB1062" s="59"/>
      <c r="AC1062" s="59"/>
      <c r="AD1062" s="59"/>
      <c r="AE1062" s="59"/>
      <c r="AF1062" s="59"/>
      <c r="AG1062" s="59"/>
      <c r="AH1062" s="59"/>
      <c r="AI1062" s="59"/>
      <c r="AJ1062" s="59"/>
      <c r="AK1062" s="59"/>
      <c r="AL1062" s="59"/>
      <c r="AM1062" s="59"/>
      <c r="AN1062" s="59"/>
      <c r="AO1062" s="59"/>
      <c r="AP1062" s="59"/>
      <c r="AQ1062" s="59"/>
      <c r="AR1062" s="59"/>
      <c r="AS1062" s="59"/>
      <c r="AT1062" s="59"/>
      <c r="AU1062" s="59"/>
      <c r="AV1062" s="59"/>
      <c r="AW1062" s="59"/>
      <c r="AX1062" s="59"/>
      <c r="AY1062" s="59"/>
      <c r="AZ1062" s="59"/>
      <c r="BA1062" s="59"/>
      <c r="BB1062" s="59"/>
      <c r="BC1062" s="59"/>
      <c r="BD1062" s="59"/>
      <c r="BE1062" s="59"/>
      <c r="BF1062" s="59"/>
      <c r="BG1062" s="59"/>
      <c r="BH1062" s="59"/>
      <c r="BI1062" s="59"/>
      <c r="BJ1062" s="59"/>
      <c r="BK1062" s="59"/>
      <c r="BL1062" s="59"/>
      <c r="BM1062" s="59"/>
      <c r="BN1062" s="59"/>
      <c r="BO1062" s="59"/>
      <c r="BP1062" s="59"/>
      <c r="BQ1062" s="59"/>
      <c r="BR1062" s="59"/>
      <c r="BS1062" s="59"/>
      <c r="BT1062" s="59"/>
      <c r="BU1062" s="59"/>
      <c r="BV1062" s="59"/>
      <c r="BW1062" s="59"/>
      <c r="BX1062" s="59"/>
      <c r="BY1062" s="59"/>
      <c r="BZ1062" s="59"/>
      <c r="CA1062" s="59"/>
      <c r="CB1062" s="59"/>
    </row>
    <row r="1063" spans="1:80">
      <c r="A1063" s="74">
        <v>1062</v>
      </c>
      <c r="B1063" s="66" t="s">
        <v>67</v>
      </c>
      <c r="C1063" s="67" t="s">
        <v>303</v>
      </c>
      <c r="D1063" s="67" t="s">
        <v>85</v>
      </c>
      <c r="E1063" s="88"/>
      <c r="F1063" s="59"/>
      <c r="G1063" s="59"/>
      <c r="H1063" s="77" t="s">
        <v>76</v>
      </c>
      <c r="I1063" s="82">
        <v>12000</v>
      </c>
      <c r="J1063" s="59"/>
      <c r="K1063" s="85"/>
      <c r="L1063" s="86"/>
      <c r="M1063" s="87"/>
      <c r="N1063" s="59"/>
      <c r="O1063" s="59"/>
      <c r="P1063" s="59"/>
      <c r="Q1063" s="59"/>
      <c r="R1063" s="59"/>
      <c r="S1063" s="59"/>
      <c r="T1063" s="59"/>
      <c r="U1063" s="59"/>
      <c r="V1063" s="59"/>
      <c r="W1063" s="59"/>
      <c r="X1063" s="59"/>
      <c r="Y1063" s="59"/>
      <c r="Z1063" s="59"/>
      <c r="AA1063" s="59"/>
      <c r="AB1063" s="59"/>
      <c r="AC1063" s="59"/>
      <c r="AD1063" s="59"/>
      <c r="AE1063" s="59"/>
      <c r="AF1063" s="59"/>
      <c r="AG1063" s="59"/>
      <c r="AH1063" s="59"/>
      <c r="AI1063" s="59"/>
      <c r="AJ1063" s="59"/>
      <c r="AK1063" s="59"/>
      <c r="AL1063" s="59"/>
      <c r="AM1063" s="59"/>
      <c r="AN1063" s="59"/>
      <c r="AO1063" s="59"/>
      <c r="AP1063" s="59"/>
      <c r="AQ1063" s="59"/>
      <c r="AR1063" s="59"/>
      <c r="AS1063" s="59"/>
      <c r="AT1063" s="59"/>
      <c r="AU1063" s="59"/>
      <c r="AV1063" s="59"/>
      <c r="AW1063" s="59"/>
      <c r="AX1063" s="59"/>
      <c r="AY1063" s="59"/>
      <c r="AZ1063" s="59"/>
      <c r="BA1063" s="59"/>
      <c r="BB1063" s="59"/>
      <c r="BC1063" s="59"/>
      <c r="BD1063" s="59"/>
      <c r="BE1063" s="59"/>
      <c r="BF1063" s="59"/>
      <c r="BG1063" s="59"/>
      <c r="BH1063" s="59"/>
      <c r="BI1063" s="59"/>
      <c r="BJ1063" s="59"/>
      <c r="BK1063" s="59"/>
      <c r="BL1063" s="59"/>
      <c r="BM1063" s="59"/>
      <c r="BN1063" s="59"/>
      <c r="BO1063" s="59"/>
      <c r="BP1063" s="59"/>
      <c r="BQ1063" s="59"/>
      <c r="BR1063" s="59"/>
      <c r="BS1063" s="59"/>
      <c r="BT1063" s="59"/>
      <c r="BU1063" s="59"/>
      <c r="BV1063" s="59"/>
      <c r="BW1063" s="59"/>
      <c r="BX1063" s="59"/>
      <c r="BY1063" s="59"/>
      <c r="BZ1063" s="59"/>
      <c r="CA1063" s="59"/>
      <c r="CB1063" s="59"/>
    </row>
    <row r="1064" spans="1:80">
      <c r="A1064" s="74">
        <v>1063</v>
      </c>
      <c r="B1064" s="66" t="s">
        <v>67</v>
      </c>
      <c r="C1064" s="67" t="s">
        <v>303</v>
      </c>
      <c r="D1064" s="67" t="s">
        <v>86</v>
      </c>
      <c r="E1064" s="88"/>
      <c r="F1064" s="59"/>
      <c r="G1064" s="59"/>
      <c r="H1064" s="77" t="s">
        <v>76</v>
      </c>
      <c r="I1064" s="82">
        <v>12000</v>
      </c>
      <c r="J1064" s="59"/>
      <c r="K1064" s="85"/>
      <c r="L1064" s="86"/>
      <c r="M1064" s="87"/>
      <c r="N1064" s="59"/>
      <c r="O1064" s="59"/>
      <c r="P1064" s="59"/>
      <c r="Q1064" s="59"/>
      <c r="R1064" s="59"/>
      <c r="S1064" s="59"/>
      <c r="T1064" s="59"/>
      <c r="U1064" s="59"/>
      <c r="V1064" s="59"/>
      <c r="W1064" s="59"/>
      <c r="X1064" s="59"/>
      <c r="Y1064" s="59"/>
      <c r="Z1064" s="59"/>
      <c r="AA1064" s="59"/>
      <c r="AB1064" s="59"/>
      <c r="AC1064" s="59"/>
      <c r="AD1064" s="59"/>
      <c r="AE1064" s="59"/>
      <c r="AF1064" s="59"/>
      <c r="AG1064" s="59"/>
      <c r="AH1064" s="59"/>
      <c r="AI1064" s="59"/>
      <c r="AJ1064" s="59"/>
      <c r="AK1064" s="59"/>
      <c r="AL1064" s="59"/>
      <c r="AM1064" s="59"/>
      <c r="AN1064" s="59"/>
      <c r="AO1064" s="59"/>
      <c r="AP1064" s="59"/>
      <c r="AQ1064" s="59"/>
      <c r="AR1064" s="59"/>
      <c r="AS1064" s="59"/>
      <c r="AT1064" s="59"/>
      <c r="AU1064" s="59"/>
      <c r="AV1064" s="59"/>
      <c r="AW1064" s="59"/>
      <c r="AX1064" s="59"/>
      <c r="AY1064" s="59"/>
      <c r="AZ1064" s="59"/>
      <c r="BA1064" s="59"/>
      <c r="BB1064" s="59"/>
      <c r="BC1064" s="59"/>
      <c r="BD1064" s="59"/>
      <c r="BE1064" s="59"/>
      <c r="BF1064" s="59"/>
      <c r="BG1064" s="59"/>
      <c r="BH1064" s="59"/>
      <c r="BI1064" s="59"/>
      <c r="BJ1064" s="59"/>
      <c r="BK1064" s="59"/>
      <c r="BL1064" s="59"/>
      <c r="BM1064" s="59"/>
      <c r="BN1064" s="59"/>
      <c r="BO1064" s="59"/>
      <c r="BP1064" s="59"/>
      <c r="BQ1064" s="59"/>
      <c r="BR1064" s="59"/>
      <c r="BS1064" s="59"/>
      <c r="BT1064" s="59"/>
      <c r="BU1064" s="59"/>
      <c r="BV1064" s="59"/>
      <c r="BW1064" s="59"/>
      <c r="BX1064" s="59"/>
      <c r="BY1064" s="59"/>
      <c r="BZ1064" s="59"/>
      <c r="CA1064" s="59"/>
      <c r="CB1064" s="59"/>
    </row>
    <row r="1065" spans="1:80">
      <c r="A1065" s="74">
        <v>1064</v>
      </c>
      <c r="B1065" s="66" t="s">
        <v>67</v>
      </c>
      <c r="C1065" s="67" t="s">
        <v>303</v>
      </c>
      <c r="D1065" s="67" t="s">
        <v>87</v>
      </c>
      <c r="E1065" s="88"/>
      <c r="F1065" s="59"/>
      <c r="G1065" s="59"/>
      <c r="H1065" s="77" t="s">
        <v>76</v>
      </c>
      <c r="I1065" s="82">
        <v>12000</v>
      </c>
      <c r="J1065" s="59"/>
      <c r="K1065" s="85"/>
      <c r="L1065" s="86"/>
      <c r="M1065" s="87"/>
      <c r="N1065" s="59"/>
      <c r="O1065" s="59"/>
      <c r="P1065" s="59"/>
      <c r="Q1065" s="59"/>
      <c r="R1065" s="59"/>
      <c r="S1065" s="59"/>
      <c r="T1065" s="59"/>
      <c r="U1065" s="59"/>
      <c r="V1065" s="59"/>
      <c r="W1065" s="59"/>
      <c r="X1065" s="59"/>
      <c r="Y1065" s="59"/>
      <c r="Z1065" s="59"/>
      <c r="AA1065" s="59"/>
      <c r="AB1065" s="59"/>
      <c r="AC1065" s="59"/>
      <c r="AD1065" s="59"/>
      <c r="AE1065" s="59"/>
      <c r="AF1065" s="59"/>
      <c r="AG1065" s="59"/>
      <c r="AH1065" s="59"/>
      <c r="AI1065" s="59"/>
      <c r="AJ1065" s="59"/>
      <c r="AK1065" s="59"/>
      <c r="AL1065" s="59"/>
      <c r="AM1065" s="59"/>
      <c r="AN1065" s="59"/>
      <c r="AO1065" s="59"/>
      <c r="AP1065" s="59"/>
      <c r="AQ1065" s="59"/>
      <c r="AR1065" s="59"/>
      <c r="AS1065" s="59"/>
      <c r="AT1065" s="59"/>
      <c r="AU1065" s="59"/>
      <c r="AV1065" s="59"/>
      <c r="AW1065" s="59"/>
      <c r="AX1065" s="59"/>
      <c r="AY1065" s="59"/>
      <c r="AZ1065" s="59"/>
      <c r="BA1065" s="59"/>
      <c r="BB1065" s="59"/>
      <c r="BC1065" s="59"/>
      <c r="BD1065" s="59"/>
      <c r="BE1065" s="59"/>
      <c r="BF1065" s="59"/>
      <c r="BG1065" s="59"/>
      <c r="BH1065" s="59"/>
      <c r="BI1065" s="59"/>
      <c r="BJ1065" s="59"/>
      <c r="BK1065" s="59"/>
      <c r="BL1065" s="59"/>
      <c r="BM1065" s="59"/>
      <c r="BN1065" s="59"/>
      <c r="BO1065" s="59"/>
      <c r="BP1065" s="59"/>
      <c r="BQ1065" s="59"/>
      <c r="BR1065" s="59"/>
      <c r="BS1065" s="59"/>
      <c r="BT1065" s="59"/>
      <c r="BU1065" s="59"/>
      <c r="BV1065" s="59"/>
      <c r="BW1065" s="59"/>
      <c r="BX1065" s="59"/>
      <c r="BY1065" s="59"/>
      <c r="BZ1065" s="59"/>
      <c r="CA1065" s="59"/>
      <c r="CB1065" s="59"/>
    </row>
    <row r="1066" spans="1:80">
      <c r="A1066" s="74">
        <v>1065</v>
      </c>
      <c r="B1066" s="66" t="s">
        <v>67</v>
      </c>
      <c r="C1066" s="67" t="s">
        <v>303</v>
      </c>
      <c r="D1066" s="67" t="s">
        <v>88</v>
      </c>
      <c r="E1066" s="88"/>
      <c r="F1066" s="59"/>
      <c r="G1066" s="59"/>
      <c r="H1066" s="77" t="s">
        <v>76</v>
      </c>
      <c r="I1066" s="82">
        <v>12000</v>
      </c>
      <c r="J1066" s="59"/>
      <c r="K1066" s="85"/>
      <c r="L1066" s="86"/>
      <c r="M1066" s="87"/>
      <c r="N1066" s="59"/>
      <c r="O1066" s="59"/>
      <c r="P1066" s="59"/>
      <c r="Q1066" s="59"/>
      <c r="R1066" s="59"/>
      <c r="S1066" s="59"/>
      <c r="T1066" s="59"/>
      <c r="U1066" s="59"/>
      <c r="V1066" s="59"/>
      <c r="W1066" s="59"/>
      <c r="X1066" s="59"/>
      <c r="Y1066" s="59"/>
      <c r="Z1066" s="59"/>
      <c r="AA1066" s="59"/>
      <c r="AB1066" s="59"/>
      <c r="AC1066" s="59"/>
      <c r="AD1066" s="59"/>
      <c r="AE1066" s="59"/>
      <c r="AF1066" s="59"/>
      <c r="AG1066" s="59"/>
      <c r="AH1066" s="59"/>
      <c r="AI1066" s="59"/>
      <c r="AJ1066" s="59"/>
      <c r="AK1066" s="59"/>
      <c r="AL1066" s="59"/>
      <c r="AM1066" s="59"/>
      <c r="AN1066" s="59"/>
      <c r="AO1066" s="59"/>
      <c r="AP1066" s="59"/>
      <c r="AQ1066" s="59"/>
      <c r="AR1066" s="59"/>
      <c r="AS1066" s="59"/>
      <c r="AT1066" s="59"/>
      <c r="AU1066" s="59"/>
      <c r="AV1066" s="59"/>
      <c r="AW1066" s="59"/>
      <c r="AX1066" s="59"/>
      <c r="AY1066" s="59"/>
      <c r="AZ1066" s="59"/>
      <c r="BA1066" s="59"/>
      <c r="BB1066" s="59"/>
      <c r="BC1066" s="59"/>
      <c r="BD1066" s="59"/>
      <c r="BE1066" s="59"/>
      <c r="BF1066" s="59"/>
      <c r="BG1066" s="59"/>
      <c r="BH1066" s="59"/>
      <c r="BI1066" s="59"/>
      <c r="BJ1066" s="59"/>
      <c r="BK1066" s="59"/>
      <c r="BL1066" s="59"/>
      <c r="BM1066" s="59"/>
      <c r="BN1066" s="59"/>
      <c r="BO1066" s="59"/>
      <c r="BP1066" s="59"/>
      <c r="BQ1066" s="59"/>
      <c r="BR1066" s="59"/>
      <c r="BS1066" s="59"/>
      <c r="BT1066" s="59"/>
      <c r="BU1066" s="59"/>
      <c r="BV1066" s="59"/>
      <c r="BW1066" s="59"/>
      <c r="BX1066" s="59"/>
      <c r="BY1066" s="59"/>
      <c r="BZ1066" s="59"/>
      <c r="CA1066" s="59"/>
      <c r="CB1066" s="59"/>
    </row>
    <row r="1067" spans="1:80">
      <c r="A1067" s="74">
        <v>1066</v>
      </c>
      <c r="B1067" s="66" t="s">
        <v>67</v>
      </c>
      <c r="C1067" s="67" t="s">
        <v>303</v>
      </c>
      <c r="D1067" s="67" t="s">
        <v>89</v>
      </c>
      <c r="E1067" s="88"/>
      <c r="F1067" s="59"/>
      <c r="G1067" s="59"/>
      <c r="H1067" s="77" t="s">
        <v>76</v>
      </c>
      <c r="I1067" s="82">
        <v>12000</v>
      </c>
      <c r="J1067" s="59"/>
      <c r="K1067" s="85"/>
      <c r="L1067" s="86"/>
      <c r="M1067" s="87"/>
      <c r="N1067" s="59"/>
      <c r="O1067" s="59"/>
      <c r="P1067" s="59"/>
      <c r="Q1067" s="59"/>
      <c r="R1067" s="59"/>
      <c r="S1067" s="59"/>
      <c r="T1067" s="59"/>
      <c r="U1067" s="59"/>
      <c r="V1067" s="59"/>
      <c r="W1067" s="59"/>
      <c r="X1067" s="59"/>
      <c r="Y1067" s="59"/>
      <c r="Z1067" s="59"/>
      <c r="AA1067" s="59"/>
      <c r="AB1067" s="59"/>
      <c r="AC1067" s="59"/>
      <c r="AD1067" s="59"/>
      <c r="AE1067" s="59"/>
      <c r="AF1067" s="59"/>
      <c r="AG1067" s="59"/>
      <c r="AH1067" s="59"/>
      <c r="AI1067" s="59"/>
      <c r="AJ1067" s="59"/>
      <c r="AK1067" s="59"/>
      <c r="AL1067" s="59"/>
      <c r="AM1067" s="59"/>
      <c r="AN1067" s="59"/>
      <c r="AO1067" s="59"/>
      <c r="AP1067" s="59"/>
      <c r="AQ1067" s="59"/>
      <c r="AR1067" s="59"/>
      <c r="AS1067" s="59"/>
      <c r="AT1067" s="59"/>
      <c r="AU1067" s="59"/>
      <c r="AV1067" s="59"/>
      <c r="AW1067" s="59"/>
      <c r="AX1067" s="59"/>
      <c r="AY1067" s="59"/>
      <c r="AZ1067" s="59"/>
      <c r="BA1067" s="59"/>
      <c r="BB1067" s="59"/>
      <c r="BC1067" s="59"/>
      <c r="BD1067" s="59"/>
      <c r="BE1067" s="59"/>
      <c r="BF1067" s="59"/>
      <c r="BG1067" s="59"/>
      <c r="BH1067" s="59"/>
      <c r="BI1067" s="59"/>
      <c r="BJ1067" s="59"/>
      <c r="BK1067" s="59"/>
      <c r="BL1067" s="59"/>
      <c r="BM1067" s="59"/>
      <c r="BN1067" s="59"/>
      <c r="BO1067" s="59"/>
      <c r="BP1067" s="59"/>
      <c r="BQ1067" s="59"/>
      <c r="BR1067" s="59"/>
      <c r="BS1067" s="59"/>
      <c r="BT1067" s="59"/>
      <c r="BU1067" s="59"/>
      <c r="BV1067" s="59"/>
      <c r="BW1067" s="59"/>
      <c r="BX1067" s="59"/>
      <c r="BY1067" s="59"/>
      <c r="BZ1067" s="59"/>
      <c r="CA1067" s="59"/>
      <c r="CB1067" s="59"/>
    </row>
    <row r="1068" spans="1:80">
      <c r="A1068" s="74">
        <v>1067</v>
      </c>
      <c r="B1068" s="66" t="s">
        <v>67</v>
      </c>
      <c r="C1068" s="67" t="s">
        <v>303</v>
      </c>
      <c r="D1068" s="67" t="s">
        <v>90</v>
      </c>
      <c r="E1068" s="88"/>
      <c r="F1068" s="59"/>
      <c r="G1068" s="59"/>
      <c r="H1068" s="77" t="s">
        <v>76</v>
      </c>
      <c r="I1068" s="82">
        <v>12000</v>
      </c>
      <c r="J1068" s="59"/>
      <c r="K1068" s="85"/>
      <c r="L1068" s="86"/>
      <c r="M1068" s="87"/>
      <c r="N1068" s="59"/>
      <c r="O1068" s="59"/>
      <c r="P1068" s="59"/>
      <c r="Q1068" s="59"/>
      <c r="R1068" s="59"/>
      <c r="S1068" s="59"/>
      <c r="T1068" s="59"/>
      <c r="U1068" s="59"/>
      <c r="V1068" s="59"/>
      <c r="W1068" s="59"/>
      <c r="X1068" s="59"/>
      <c r="Y1068" s="59"/>
      <c r="Z1068" s="59"/>
      <c r="AA1068" s="59"/>
      <c r="AB1068" s="59"/>
      <c r="AC1068" s="59"/>
      <c r="AD1068" s="59"/>
      <c r="AE1068" s="59"/>
      <c r="AF1068" s="59"/>
      <c r="AG1068" s="59"/>
      <c r="AH1068" s="59"/>
      <c r="AI1068" s="59"/>
      <c r="AJ1068" s="59"/>
      <c r="AK1068" s="59"/>
      <c r="AL1068" s="59"/>
      <c r="AM1068" s="59"/>
      <c r="AN1068" s="59"/>
      <c r="AO1068" s="59"/>
      <c r="AP1068" s="59"/>
      <c r="AQ1068" s="59"/>
      <c r="AR1068" s="59"/>
      <c r="AS1068" s="59"/>
      <c r="AT1068" s="59"/>
      <c r="AU1068" s="59"/>
      <c r="AV1068" s="59"/>
      <c r="AW1068" s="59"/>
      <c r="AX1068" s="59"/>
      <c r="AY1068" s="59"/>
      <c r="AZ1068" s="59"/>
      <c r="BA1068" s="59"/>
      <c r="BB1068" s="59"/>
      <c r="BC1068" s="59"/>
      <c r="BD1068" s="59"/>
      <c r="BE1068" s="59"/>
      <c r="BF1068" s="59"/>
      <c r="BG1068" s="59"/>
      <c r="BH1068" s="59"/>
      <c r="BI1068" s="59"/>
      <c r="BJ1068" s="59"/>
      <c r="BK1068" s="59"/>
      <c r="BL1068" s="59"/>
      <c r="BM1068" s="59"/>
      <c r="BN1068" s="59"/>
      <c r="BO1068" s="59"/>
      <c r="BP1068" s="59"/>
      <c r="BQ1068" s="59"/>
      <c r="BR1068" s="59"/>
      <c r="BS1068" s="59"/>
      <c r="BT1068" s="59"/>
      <c r="BU1068" s="59"/>
      <c r="BV1068" s="59"/>
      <c r="BW1068" s="59"/>
      <c r="BX1068" s="59"/>
      <c r="BY1068" s="59"/>
      <c r="BZ1068" s="59"/>
      <c r="CA1068" s="59"/>
      <c r="CB1068" s="59"/>
    </row>
    <row r="1069" spans="1:80">
      <c r="A1069" s="74">
        <v>1068</v>
      </c>
      <c r="B1069" s="66" t="s">
        <v>67</v>
      </c>
      <c r="C1069" s="67" t="s">
        <v>303</v>
      </c>
      <c r="D1069" s="67" t="s">
        <v>91</v>
      </c>
      <c r="E1069" s="88"/>
      <c r="F1069" s="59"/>
      <c r="G1069" s="59"/>
      <c r="H1069" s="77" t="s">
        <v>76</v>
      </c>
      <c r="I1069" s="82">
        <v>12000</v>
      </c>
      <c r="J1069" s="59"/>
      <c r="K1069" s="85"/>
      <c r="L1069" s="86"/>
      <c r="M1069" s="87"/>
      <c r="N1069" s="59"/>
      <c r="O1069" s="59"/>
      <c r="P1069" s="59"/>
      <c r="Q1069" s="59"/>
      <c r="R1069" s="59"/>
      <c r="S1069" s="59"/>
      <c r="T1069" s="59"/>
      <c r="U1069" s="59"/>
      <c r="V1069" s="59"/>
      <c r="W1069" s="59"/>
      <c r="X1069" s="59"/>
      <c r="Y1069" s="59"/>
      <c r="Z1069" s="59"/>
      <c r="AA1069" s="59"/>
      <c r="AB1069" s="59"/>
      <c r="AC1069" s="59"/>
      <c r="AD1069" s="59"/>
      <c r="AE1069" s="59"/>
      <c r="AF1069" s="59"/>
      <c r="AG1069" s="59"/>
      <c r="AH1069" s="59"/>
      <c r="AI1069" s="59"/>
      <c r="AJ1069" s="59"/>
      <c r="AK1069" s="59"/>
      <c r="AL1069" s="59"/>
      <c r="AM1069" s="59"/>
      <c r="AN1069" s="59"/>
      <c r="AO1069" s="59"/>
      <c r="AP1069" s="59"/>
      <c r="AQ1069" s="59"/>
      <c r="AR1069" s="59"/>
      <c r="AS1069" s="59"/>
      <c r="AT1069" s="59"/>
      <c r="AU1069" s="59"/>
      <c r="AV1069" s="59"/>
      <c r="AW1069" s="59"/>
      <c r="AX1069" s="59"/>
      <c r="AY1069" s="59"/>
      <c r="AZ1069" s="59"/>
      <c r="BA1069" s="59"/>
      <c r="BB1069" s="59"/>
      <c r="BC1069" s="59"/>
      <c r="BD1069" s="59"/>
      <c r="BE1069" s="59"/>
      <c r="BF1069" s="59"/>
      <c r="BG1069" s="59"/>
      <c r="BH1069" s="59"/>
      <c r="BI1069" s="59"/>
      <c r="BJ1069" s="59"/>
      <c r="BK1069" s="59"/>
      <c r="BL1069" s="59"/>
      <c r="BM1069" s="59"/>
      <c r="BN1069" s="59"/>
      <c r="BO1069" s="59"/>
      <c r="BP1069" s="59"/>
      <c r="BQ1069" s="59"/>
      <c r="BR1069" s="59"/>
      <c r="BS1069" s="59"/>
      <c r="BT1069" s="59"/>
      <c r="BU1069" s="59"/>
      <c r="BV1069" s="59"/>
      <c r="BW1069" s="59"/>
      <c r="BX1069" s="59"/>
      <c r="BY1069" s="59"/>
      <c r="BZ1069" s="59"/>
      <c r="CA1069" s="59"/>
      <c r="CB1069" s="59"/>
    </row>
    <row r="1070" spans="1:80">
      <c r="A1070" s="74">
        <v>1069</v>
      </c>
      <c r="B1070" s="66" t="s">
        <v>67</v>
      </c>
      <c r="C1070" s="67" t="s">
        <v>303</v>
      </c>
      <c r="D1070" s="67" t="s">
        <v>92</v>
      </c>
      <c r="E1070" s="88"/>
      <c r="F1070" s="59"/>
      <c r="G1070" s="59"/>
      <c r="H1070" s="77" t="s">
        <v>76</v>
      </c>
      <c r="I1070" s="82">
        <v>12000</v>
      </c>
      <c r="J1070" s="59"/>
      <c r="K1070" s="85"/>
      <c r="L1070" s="86"/>
      <c r="M1070" s="87"/>
      <c r="N1070" s="59"/>
      <c r="O1070" s="59"/>
      <c r="P1070" s="59"/>
      <c r="Q1070" s="59"/>
      <c r="R1070" s="59"/>
      <c r="S1070" s="59"/>
      <c r="T1070" s="59"/>
      <c r="U1070" s="59"/>
      <c r="V1070" s="59"/>
      <c r="W1070" s="59"/>
      <c r="X1070" s="59"/>
      <c r="Y1070" s="59"/>
      <c r="Z1070" s="59"/>
      <c r="AA1070" s="59"/>
      <c r="AB1070" s="59"/>
      <c r="AC1070" s="59"/>
      <c r="AD1070" s="59"/>
      <c r="AE1070" s="59"/>
      <c r="AF1070" s="59"/>
      <c r="AG1070" s="59"/>
      <c r="AH1070" s="59"/>
      <c r="AI1070" s="59"/>
      <c r="AJ1070" s="59"/>
      <c r="AK1070" s="59"/>
      <c r="AL1070" s="59"/>
      <c r="AM1070" s="59"/>
      <c r="AN1070" s="59"/>
      <c r="AO1070" s="59"/>
      <c r="AP1070" s="59"/>
      <c r="AQ1070" s="59"/>
      <c r="AR1070" s="59"/>
      <c r="AS1070" s="59"/>
      <c r="AT1070" s="59"/>
      <c r="AU1070" s="59"/>
      <c r="AV1070" s="59"/>
      <c r="AW1070" s="59"/>
      <c r="AX1070" s="59"/>
      <c r="AY1070" s="59"/>
      <c r="AZ1070" s="59"/>
      <c r="BA1070" s="59"/>
      <c r="BB1070" s="59"/>
      <c r="BC1070" s="59"/>
      <c r="BD1070" s="59"/>
      <c r="BE1070" s="59"/>
      <c r="BF1070" s="59"/>
      <c r="BG1070" s="59"/>
      <c r="BH1070" s="59"/>
      <c r="BI1070" s="59"/>
      <c r="BJ1070" s="59"/>
      <c r="BK1070" s="59"/>
      <c r="BL1070" s="59"/>
      <c r="BM1070" s="59"/>
      <c r="BN1070" s="59"/>
      <c r="BO1070" s="59"/>
      <c r="BP1070" s="59"/>
      <c r="BQ1070" s="59"/>
      <c r="BR1070" s="59"/>
      <c r="BS1070" s="59"/>
      <c r="BT1070" s="59"/>
      <c r="BU1070" s="59"/>
      <c r="BV1070" s="59"/>
      <c r="BW1070" s="59"/>
      <c r="BX1070" s="59"/>
      <c r="BY1070" s="59"/>
      <c r="BZ1070" s="59"/>
      <c r="CA1070" s="59"/>
      <c r="CB1070" s="59"/>
    </row>
    <row r="1071" spans="1:80">
      <c r="A1071" s="74">
        <v>1070</v>
      </c>
      <c r="B1071" s="66" t="s">
        <v>67</v>
      </c>
      <c r="C1071" s="67" t="s">
        <v>303</v>
      </c>
      <c r="D1071" s="67" t="s">
        <v>93</v>
      </c>
      <c r="E1071" s="88"/>
      <c r="F1071" s="59"/>
      <c r="G1071" s="59"/>
      <c r="H1071" s="77" t="s">
        <v>76</v>
      </c>
      <c r="I1071" s="82">
        <v>12000</v>
      </c>
      <c r="J1071" s="59"/>
      <c r="K1071" s="85"/>
      <c r="L1071" s="86"/>
      <c r="M1071" s="87"/>
      <c r="N1071" s="59"/>
      <c r="O1071" s="59"/>
      <c r="P1071" s="59"/>
      <c r="Q1071" s="59"/>
      <c r="R1071" s="59"/>
      <c r="S1071" s="59"/>
      <c r="T1071" s="59"/>
      <c r="U1071" s="59"/>
      <c r="V1071" s="59"/>
      <c r="W1071" s="59"/>
      <c r="X1071" s="59"/>
      <c r="Y1071" s="59"/>
      <c r="Z1071" s="59"/>
      <c r="AA1071" s="59"/>
      <c r="AB1071" s="59"/>
      <c r="AC1071" s="59"/>
      <c r="AD1071" s="59"/>
      <c r="AE1071" s="59"/>
      <c r="AF1071" s="59"/>
      <c r="AG1071" s="59"/>
      <c r="AH1071" s="59"/>
      <c r="AI1071" s="59"/>
      <c r="AJ1071" s="59"/>
      <c r="AK1071" s="59"/>
      <c r="AL1071" s="59"/>
      <c r="AM1071" s="59"/>
      <c r="AN1071" s="59"/>
      <c r="AO1071" s="59"/>
      <c r="AP1071" s="59"/>
      <c r="AQ1071" s="59"/>
      <c r="AR1071" s="59"/>
      <c r="AS1071" s="59"/>
      <c r="AT1071" s="59"/>
      <c r="AU1071" s="59"/>
      <c r="AV1071" s="59"/>
      <c r="AW1071" s="59"/>
      <c r="AX1071" s="59"/>
      <c r="AY1071" s="59"/>
      <c r="AZ1071" s="59"/>
      <c r="BA1071" s="59"/>
      <c r="BB1071" s="59"/>
      <c r="BC1071" s="59"/>
      <c r="BD1071" s="59"/>
      <c r="BE1071" s="59"/>
      <c r="BF1071" s="59"/>
      <c r="BG1071" s="59"/>
      <c r="BH1071" s="59"/>
      <c r="BI1071" s="59"/>
      <c r="BJ1071" s="59"/>
      <c r="BK1071" s="59"/>
      <c r="BL1071" s="59"/>
      <c r="BM1071" s="59"/>
      <c r="BN1071" s="59"/>
      <c r="BO1071" s="59"/>
      <c r="BP1071" s="59"/>
      <c r="BQ1071" s="59"/>
      <c r="BR1071" s="59"/>
      <c r="BS1071" s="59"/>
      <c r="BT1071" s="59"/>
      <c r="BU1071" s="59"/>
      <c r="BV1071" s="59"/>
      <c r="BW1071" s="59"/>
      <c r="BX1071" s="59"/>
      <c r="BY1071" s="59"/>
      <c r="BZ1071" s="59"/>
      <c r="CA1071" s="59"/>
      <c r="CB1071" s="59"/>
    </row>
    <row r="1072" spans="1:80">
      <c r="A1072" s="74">
        <v>1071</v>
      </c>
      <c r="B1072" s="66" t="s">
        <v>67</v>
      </c>
      <c r="C1072" s="67" t="s">
        <v>303</v>
      </c>
      <c r="D1072" s="67" t="s">
        <v>94</v>
      </c>
      <c r="E1072" s="88"/>
      <c r="F1072" s="59"/>
      <c r="G1072" s="59"/>
      <c r="H1072" s="77" t="s">
        <v>76</v>
      </c>
      <c r="I1072" s="82">
        <v>12000</v>
      </c>
      <c r="J1072" s="59"/>
      <c r="K1072" s="85"/>
      <c r="L1072" s="86"/>
      <c r="M1072" s="87"/>
      <c r="N1072" s="59"/>
      <c r="O1072" s="59"/>
      <c r="P1072" s="59"/>
      <c r="Q1072" s="59"/>
      <c r="R1072" s="59"/>
      <c r="S1072" s="59"/>
      <c r="T1072" s="59"/>
      <c r="U1072" s="59"/>
      <c r="V1072" s="59"/>
      <c r="W1072" s="59"/>
      <c r="X1072" s="59"/>
      <c r="Y1072" s="59"/>
      <c r="Z1072" s="59"/>
      <c r="AA1072" s="59"/>
      <c r="AB1072" s="59"/>
      <c r="AC1072" s="59"/>
      <c r="AD1072" s="59"/>
      <c r="AE1072" s="59"/>
      <c r="AF1072" s="59"/>
      <c r="AG1072" s="59"/>
      <c r="AH1072" s="59"/>
      <c r="AI1072" s="59"/>
      <c r="AJ1072" s="59"/>
      <c r="AK1072" s="59"/>
      <c r="AL1072" s="59"/>
      <c r="AM1072" s="59"/>
      <c r="AN1072" s="59"/>
      <c r="AO1072" s="59"/>
      <c r="AP1072" s="59"/>
      <c r="AQ1072" s="59"/>
      <c r="AR1072" s="59"/>
      <c r="AS1072" s="59"/>
      <c r="AT1072" s="59"/>
      <c r="AU1072" s="59"/>
      <c r="AV1072" s="59"/>
      <c r="AW1072" s="59"/>
      <c r="AX1072" s="59"/>
      <c r="AY1072" s="59"/>
      <c r="AZ1072" s="59"/>
      <c r="BA1072" s="59"/>
      <c r="BB1072" s="59"/>
      <c r="BC1072" s="59"/>
      <c r="BD1072" s="59"/>
      <c r="BE1072" s="59"/>
      <c r="BF1072" s="59"/>
      <c r="BG1072" s="59"/>
      <c r="BH1072" s="59"/>
      <c r="BI1072" s="59"/>
      <c r="BJ1072" s="59"/>
      <c r="BK1072" s="59"/>
      <c r="BL1072" s="59"/>
      <c r="BM1072" s="59"/>
      <c r="BN1072" s="59"/>
      <c r="BO1072" s="59"/>
      <c r="BP1072" s="59"/>
      <c r="BQ1072" s="59"/>
      <c r="BR1072" s="59"/>
      <c r="BS1072" s="59"/>
      <c r="BT1072" s="59"/>
      <c r="BU1072" s="59"/>
      <c r="BV1072" s="59"/>
      <c r="BW1072" s="59"/>
      <c r="BX1072" s="59"/>
      <c r="BY1072" s="59"/>
      <c r="BZ1072" s="59"/>
      <c r="CA1072" s="59"/>
      <c r="CB1072" s="59"/>
    </row>
    <row r="1073" spans="1:80">
      <c r="A1073" s="74">
        <v>1072</v>
      </c>
      <c r="B1073" s="66" t="s">
        <v>67</v>
      </c>
      <c r="C1073" s="67" t="s">
        <v>303</v>
      </c>
      <c r="D1073" s="67" t="s">
        <v>95</v>
      </c>
      <c r="E1073" s="88"/>
      <c r="F1073" s="59"/>
      <c r="G1073" s="59"/>
      <c r="H1073" s="77" t="s">
        <v>76</v>
      </c>
      <c r="I1073" s="82">
        <v>12000</v>
      </c>
      <c r="J1073" s="59"/>
      <c r="K1073" s="85"/>
      <c r="L1073" s="86"/>
      <c r="M1073" s="87"/>
      <c r="N1073" s="59"/>
      <c r="O1073" s="59"/>
      <c r="P1073" s="59"/>
      <c r="Q1073" s="59"/>
      <c r="R1073" s="59"/>
      <c r="S1073" s="59"/>
      <c r="T1073" s="59"/>
      <c r="U1073" s="59"/>
      <c r="V1073" s="59"/>
      <c r="W1073" s="59"/>
      <c r="X1073" s="59"/>
      <c r="Y1073" s="59"/>
      <c r="Z1073" s="59"/>
      <c r="AA1073" s="59"/>
      <c r="AB1073" s="59"/>
      <c r="AC1073" s="59"/>
      <c r="AD1073" s="59"/>
      <c r="AE1073" s="59"/>
      <c r="AF1073" s="59"/>
      <c r="AG1073" s="59"/>
      <c r="AH1073" s="59"/>
      <c r="AI1073" s="59"/>
      <c r="AJ1073" s="59"/>
      <c r="AK1073" s="59"/>
      <c r="AL1073" s="59"/>
      <c r="AM1073" s="59"/>
      <c r="AN1073" s="59"/>
      <c r="AO1073" s="59"/>
      <c r="AP1073" s="59"/>
      <c r="AQ1073" s="59"/>
      <c r="AR1073" s="59"/>
      <c r="AS1073" s="59"/>
      <c r="AT1073" s="59"/>
      <c r="AU1073" s="59"/>
      <c r="AV1073" s="59"/>
      <c r="AW1073" s="59"/>
      <c r="AX1073" s="59"/>
      <c r="AY1073" s="59"/>
      <c r="AZ1073" s="59"/>
      <c r="BA1073" s="59"/>
      <c r="BB1073" s="59"/>
      <c r="BC1073" s="59"/>
      <c r="BD1073" s="59"/>
      <c r="BE1073" s="59"/>
      <c r="BF1073" s="59"/>
      <c r="BG1073" s="59"/>
      <c r="BH1073" s="59"/>
      <c r="BI1073" s="59"/>
      <c r="BJ1073" s="59"/>
      <c r="BK1073" s="59"/>
      <c r="BL1073" s="59"/>
      <c r="BM1073" s="59"/>
      <c r="BN1073" s="59"/>
      <c r="BO1073" s="59"/>
      <c r="BP1073" s="59"/>
      <c r="BQ1073" s="59"/>
      <c r="BR1073" s="59"/>
      <c r="BS1073" s="59"/>
      <c r="BT1073" s="59"/>
      <c r="BU1073" s="59"/>
      <c r="BV1073" s="59"/>
      <c r="BW1073" s="59"/>
      <c r="BX1073" s="59"/>
      <c r="BY1073" s="59"/>
      <c r="BZ1073" s="59"/>
      <c r="CA1073" s="59"/>
      <c r="CB1073" s="59"/>
    </row>
    <row r="1074" spans="1:80">
      <c r="A1074" s="74">
        <v>1073</v>
      </c>
      <c r="B1074" s="66" t="s">
        <v>67</v>
      </c>
      <c r="C1074" s="67" t="s">
        <v>303</v>
      </c>
      <c r="D1074" s="67" t="s">
        <v>96</v>
      </c>
      <c r="E1074" s="88"/>
      <c r="F1074" s="59"/>
      <c r="G1074" s="59"/>
      <c r="H1074" s="77" t="s">
        <v>76</v>
      </c>
      <c r="I1074" s="82">
        <v>12000</v>
      </c>
      <c r="J1074" s="59"/>
      <c r="K1074" s="85"/>
      <c r="L1074" s="86"/>
      <c r="M1074" s="98"/>
      <c r="N1074" s="59"/>
      <c r="O1074" s="59"/>
      <c r="P1074" s="59"/>
      <c r="Q1074" s="59"/>
      <c r="R1074" s="59"/>
      <c r="S1074" s="59"/>
      <c r="T1074" s="59"/>
      <c r="U1074" s="59"/>
      <c r="V1074" s="59"/>
      <c r="W1074" s="59"/>
      <c r="X1074" s="59"/>
      <c r="Y1074" s="59"/>
      <c r="Z1074" s="59"/>
      <c r="AA1074" s="59"/>
      <c r="AB1074" s="59"/>
      <c r="AC1074" s="59"/>
      <c r="AD1074" s="59"/>
      <c r="AE1074" s="59"/>
      <c r="AF1074" s="59"/>
      <c r="AG1074" s="59"/>
      <c r="AH1074" s="59"/>
      <c r="AI1074" s="59"/>
      <c r="AJ1074" s="59"/>
      <c r="AK1074" s="59"/>
      <c r="AL1074" s="59"/>
      <c r="AM1074" s="59"/>
      <c r="AN1074" s="59"/>
      <c r="AO1074" s="59"/>
      <c r="AP1074" s="59"/>
      <c r="AQ1074" s="59"/>
      <c r="AR1074" s="59"/>
      <c r="AS1074" s="59"/>
      <c r="AT1074" s="59"/>
      <c r="AU1074" s="59"/>
      <c r="AV1074" s="59"/>
      <c r="AW1074" s="59"/>
      <c r="AX1074" s="59"/>
      <c r="AY1074" s="59"/>
      <c r="AZ1074" s="59"/>
      <c r="BA1074" s="59"/>
      <c r="BB1074" s="59"/>
      <c r="BC1074" s="59"/>
      <c r="BD1074" s="59"/>
      <c r="BE1074" s="59"/>
      <c r="BF1074" s="59"/>
      <c r="BG1074" s="59"/>
      <c r="BH1074" s="59"/>
      <c r="BI1074" s="59"/>
      <c r="BJ1074" s="59"/>
      <c r="BK1074" s="59"/>
      <c r="BL1074" s="59"/>
      <c r="BM1074" s="59"/>
      <c r="BN1074" s="59"/>
      <c r="BO1074" s="59"/>
      <c r="BP1074" s="59"/>
      <c r="BQ1074" s="59"/>
      <c r="BR1074" s="59"/>
      <c r="BS1074" s="59"/>
      <c r="BT1074" s="59"/>
      <c r="BU1074" s="59"/>
      <c r="BV1074" s="59"/>
      <c r="BW1074" s="59"/>
      <c r="BX1074" s="59"/>
      <c r="BY1074" s="59"/>
      <c r="BZ1074" s="59"/>
      <c r="CA1074" s="59"/>
      <c r="CB1074" s="59"/>
    </row>
    <row r="1075" ht="16.5" spans="1:80">
      <c r="A1075" s="74">
        <v>1074</v>
      </c>
      <c r="B1075" s="66" t="s">
        <v>67</v>
      </c>
      <c r="C1075" s="67" t="s">
        <v>303</v>
      </c>
      <c r="D1075" s="67" t="s">
        <v>97</v>
      </c>
      <c r="E1075" s="75" t="s">
        <v>70</v>
      </c>
      <c r="F1075" s="76">
        <v>46168.8821990741</v>
      </c>
      <c r="G1075" s="76">
        <v>46167.8824074074</v>
      </c>
      <c r="H1075" s="77" t="s">
        <v>71</v>
      </c>
      <c r="I1075" s="78">
        <v>16000</v>
      </c>
      <c r="J1075" s="79" t="s">
        <v>72</v>
      </c>
      <c r="K1075" s="80" t="s">
        <v>73</v>
      </c>
      <c r="L1075" s="76">
        <v>46152.7271643519</v>
      </c>
      <c r="M1075" s="76">
        <v>46153.6621643519</v>
      </c>
      <c r="N1075" s="96" t="s">
        <v>74</v>
      </c>
      <c r="O1075" s="76">
        <v>46159.9167708333</v>
      </c>
      <c r="P1075" s="76">
        <v>46158.9169791667</v>
      </c>
      <c r="Q1075" s="59"/>
      <c r="R1075" s="59"/>
      <c r="S1075" s="59"/>
      <c r="T1075" s="59"/>
      <c r="U1075" s="59"/>
      <c r="V1075" s="59"/>
      <c r="W1075" s="59"/>
      <c r="X1075" s="59"/>
      <c r="Y1075" s="59"/>
      <c r="Z1075" s="59"/>
      <c r="AA1075" s="59"/>
      <c r="AB1075" s="59"/>
      <c r="AC1075" s="59"/>
      <c r="AD1075" s="59"/>
      <c r="AE1075" s="59"/>
      <c r="AF1075" s="59"/>
      <c r="AG1075" s="59"/>
      <c r="AH1075" s="59"/>
      <c r="AI1075" s="59"/>
      <c r="AJ1075" s="59"/>
      <c r="AK1075" s="59"/>
      <c r="AL1075" s="59"/>
      <c r="AM1075" s="59"/>
      <c r="AN1075" s="59"/>
      <c r="AO1075" s="59"/>
      <c r="AP1075" s="59"/>
      <c r="AQ1075" s="59"/>
      <c r="AR1075" s="59"/>
      <c r="AS1075" s="59"/>
      <c r="AT1075" s="59"/>
      <c r="AU1075" s="59"/>
      <c r="AV1075" s="59"/>
      <c r="AW1075" s="59"/>
      <c r="AX1075" s="59"/>
      <c r="AY1075" s="59"/>
      <c r="AZ1075" s="59"/>
      <c r="BA1075" s="59"/>
      <c r="BB1075" s="59"/>
      <c r="BC1075" s="59"/>
      <c r="BD1075" s="59"/>
      <c r="BE1075" s="59"/>
      <c r="BF1075" s="59"/>
      <c r="BG1075" s="59"/>
      <c r="BH1075" s="59"/>
      <c r="BI1075" s="59"/>
      <c r="BJ1075" s="59"/>
      <c r="BK1075" s="59"/>
      <c r="BL1075" s="59"/>
      <c r="BM1075" s="59"/>
      <c r="BN1075" s="59"/>
      <c r="BO1075" s="59"/>
      <c r="BP1075" s="59"/>
      <c r="BQ1075" s="59"/>
      <c r="BR1075" s="59"/>
      <c r="BS1075" s="59"/>
      <c r="BT1075" s="59"/>
      <c r="BU1075" s="59"/>
      <c r="BV1075" s="59"/>
      <c r="BW1075" s="59"/>
      <c r="BX1075" s="59"/>
      <c r="BY1075" s="59"/>
      <c r="BZ1075" s="59"/>
      <c r="CA1075" s="59"/>
      <c r="CB1075" s="59"/>
    </row>
    <row r="1076" spans="1:80">
      <c r="A1076" s="74">
        <v>1075</v>
      </c>
      <c r="B1076" s="66" t="s">
        <v>67</v>
      </c>
      <c r="C1076" s="67" t="s">
        <v>303</v>
      </c>
      <c r="D1076" s="67" t="s">
        <v>98</v>
      </c>
      <c r="E1076" s="88"/>
      <c r="F1076" s="59"/>
      <c r="G1076" s="59"/>
      <c r="H1076" s="77" t="s">
        <v>76</v>
      </c>
      <c r="I1076" s="82">
        <v>12000</v>
      </c>
      <c r="J1076" s="59"/>
      <c r="K1076" s="85"/>
      <c r="L1076" s="86"/>
      <c r="M1076" s="99"/>
      <c r="N1076" s="59"/>
      <c r="O1076" s="59"/>
      <c r="P1076" s="59"/>
      <c r="Q1076" s="59"/>
      <c r="R1076" s="59"/>
      <c r="S1076" s="59"/>
      <c r="T1076" s="59"/>
      <c r="U1076" s="59"/>
      <c r="V1076" s="59"/>
      <c r="W1076" s="59"/>
      <c r="X1076" s="59"/>
      <c r="Y1076" s="59"/>
      <c r="Z1076" s="59"/>
      <c r="AA1076" s="59"/>
      <c r="AB1076" s="59"/>
      <c r="AC1076" s="59"/>
      <c r="AD1076" s="59"/>
      <c r="AE1076" s="59"/>
      <c r="AF1076" s="59"/>
      <c r="AG1076" s="59"/>
      <c r="AH1076" s="59"/>
      <c r="AI1076" s="59"/>
      <c r="AJ1076" s="59"/>
      <c r="AK1076" s="59"/>
      <c r="AL1076" s="59"/>
      <c r="AM1076" s="59"/>
      <c r="AN1076" s="59"/>
      <c r="AO1076" s="59"/>
      <c r="AP1076" s="59"/>
      <c r="AQ1076" s="59"/>
      <c r="AR1076" s="59"/>
      <c r="AS1076" s="59"/>
      <c r="AT1076" s="59"/>
      <c r="AU1076" s="59"/>
      <c r="AV1076" s="59"/>
      <c r="AW1076" s="59"/>
      <c r="AX1076" s="59"/>
      <c r="AY1076" s="59"/>
      <c r="AZ1076" s="59"/>
      <c r="BA1076" s="59"/>
      <c r="BB1076" s="59"/>
      <c r="BC1076" s="59"/>
      <c r="BD1076" s="59"/>
      <c r="BE1076" s="59"/>
      <c r="BF1076" s="59"/>
      <c r="BG1076" s="59"/>
      <c r="BH1076" s="59"/>
      <c r="BI1076" s="59"/>
      <c r="BJ1076" s="59"/>
      <c r="BK1076" s="59"/>
      <c r="BL1076" s="59"/>
      <c r="BM1076" s="59"/>
      <c r="BN1076" s="59"/>
      <c r="BO1076" s="59"/>
      <c r="BP1076" s="59"/>
      <c r="BQ1076" s="59"/>
      <c r="BR1076" s="59"/>
      <c r="BS1076" s="59"/>
      <c r="BT1076" s="59"/>
      <c r="BU1076" s="59"/>
      <c r="BV1076" s="59"/>
      <c r="BW1076" s="59"/>
      <c r="BX1076" s="59"/>
      <c r="BY1076" s="59"/>
      <c r="BZ1076" s="59"/>
      <c r="CA1076" s="59"/>
      <c r="CB1076" s="59"/>
    </row>
    <row r="1077" spans="1:80">
      <c r="A1077" s="74">
        <v>1076</v>
      </c>
      <c r="B1077" s="66" t="s">
        <v>67</v>
      </c>
      <c r="C1077" s="67" t="s">
        <v>303</v>
      </c>
      <c r="D1077" s="67" t="s">
        <v>99</v>
      </c>
      <c r="E1077" s="88"/>
      <c r="F1077" s="59"/>
      <c r="G1077" s="59"/>
      <c r="H1077" s="77" t="s">
        <v>76</v>
      </c>
      <c r="I1077" s="82">
        <v>12000</v>
      </c>
      <c r="J1077" s="59"/>
      <c r="K1077" s="85"/>
      <c r="L1077" s="86"/>
      <c r="M1077" s="87"/>
      <c r="N1077" s="59"/>
      <c r="O1077" s="59"/>
      <c r="P1077" s="59"/>
      <c r="Q1077" s="59"/>
      <c r="R1077" s="59"/>
      <c r="S1077" s="59"/>
      <c r="T1077" s="59"/>
      <c r="U1077" s="59"/>
      <c r="V1077" s="59"/>
      <c r="W1077" s="59"/>
      <c r="X1077" s="59"/>
      <c r="Y1077" s="59"/>
      <c r="Z1077" s="59"/>
      <c r="AA1077" s="59"/>
      <c r="AB1077" s="59"/>
      <c r="AC1077" s="59"/>
      <c r="AD1077" s="59"/>
      <c r="AE1077" s="59"/>
      <c r="AF1077" s="59"/>
      <c r="AG1077" s="59"/>
      <c r="AH1077" s="59"/>
      <c r="AI1077" s="59"/>
      <c r="AJ1077" s="59"/>
      <c r="AK1077" s="59"/>
      <c r="AL1077" s="59"/>
      <c r="AM1077" s="59"/>
      <c r="AN1077" s="59"/>
      <c r="AO1077" s="59"/>
      <c r="AP1077" s="59"/>
      <c r="AQ1077" s="59"/>
      <c r="AR1077" s="59"/>
      <c r="AS1077" s="59"/>
      <c r="AT1077" s="59"/>
      <c r="AU1077" s="59"/>
      <c r="AV1077" s="59"/>
      <c r="AW1077" s="59"/>
      <c r="AX1077" s="59"/>
      <c r="AY1077" s="59"/>
      <c r="AZ1077" s="59"/>
      <c r="BA1077" s="59"/>
      <c r="BB1077" s="59"/>
      <c r="BC1077" s="59"/>
      <c r="BD1077" s="59"/>
      <c r="BE1077" s="59"/>
      <c r="BF1077" s="59"/>
      <c r="BG1077" s="59"/>
      <c r="BH1077" s="59"/>
      <c r="BI1077" s="59"/>
      <c r="BJ1077" s="59"/>
      <c r="BK1077" s="59"/>
      <c r="BL1077" s="59"/>
      <c r="BM1077" s="59"/>
      <c r="BN1077" s="59"/>
      <c r="BO1077" s="59"/>
      <c r="BP1077" s="59"/>
      <c r="BQ1077" s="59"/>
      <c r="BR1077" s="59"/>
      <c r="BS1077" s="59"/>
      <c r="BT1077" s="59"/>
      <c r="BU1077" s="59"/>
      <c r="BV1077" s="59"/>
      <c r="BW1077" s="59"/>
      <c r="BX1077" s="59"/>
      <c r="BY1077" s="59"/>
      <c r="BZ1077" s="59"/>
      <c r="CA1077" s="59"/>
      <c r="CB1077" s="59"/>
    </row>
    <row r="1078" spans="1:80">
      <c r="A1078" s="74">
        <v>1077</v>
      </c>
      <c r="B1078" s="66" t="s">
        <v>67</v>
      </c>
      <c r="C1078" s="67" t="s">
        <v>303</v>
      </c>
      <c r="D1078" s="67" t="s">
        <v>100</v>
      </c>
      <c r="E1078" s="88"/>
      <c r="F1078" s="59"/>
      <c r="G1078" s="59"/>
      <c r="H1078" s="77" t="s">
        <v>76</v>
      </c>
      <c r="I1078" s="82">
        <v>12000</v>
      </c>
      <c r="J1078" s="59"/>
      <c r="K1078" s="85"/>
      <c r="L1078" s="86"/>
      <c r="M1078" s="87"/>
      <c r="N1078" s="59"/>
      <c r="O1078" s="59"/>
      <c r="P1078" s="59"/>
      <c r="Q1078" s="59"/>
      <c r="R1078" s="59"/>
      <c r="S1078" s="59"/>
      <c r="T1078" s="59"/>
      <c r="U1078" s="59"/>
      <c r="V1078" s="59"/>
      <c r="W1078" s="59"/>
      <c r="X1078" s="59"/>
      <c r="Y1078" s="59"/>
      <c r="Z1078" s="59"/>
      <c r="AA1078" s="59"/>
      <c r="AB1078" s="59"/>
      <c r="AC1078" s="59"/>
      <c r="AD1078" s="59"/>
      <c r="AE1078" s="59"/>
      <c r="AF1078" s="59"/>
      <c r="AG1078" s="59"/>
      <c r="AH1078" s="59"/>
      <c r="AI1078" s="59"/>
      <c r="AJ1078" s="59"/>
      <c r="AK1078" s="59"/>
      <c r="AL1078" s="59"/>
      <c r="AM1078" s="59"/>
      <c r="AN1078" s="59"/>
      <c r="AO1078" s="59"/>
      <c r="AP1078" s="59"/>
      <c r="AQ1078" s="59"/>
      <c r="AR1078" s="59"/>
      <c r="AS1078" s="59"/>
      <c r="AT1078" s="59"/>
      <c r="AU1078" s="59"/>
      <c r="AV1078" s="59"/>
      <c r="AW1078" s="59"/>
      <c r="AX1078" s="59"/>
      <c r="AY1078" s="59"/>
      <c r="AZ1078" s="59"/>
      <c r="BA1078" s="59"/>
      <c r="BB1078" s="59"/>
      <c r="BC1078" s="59"/>
      <c r="BD1078" s="59"/>
      <c r="BE1078" s="59"/>
      <c r="BF1078" s="59"/>
      <c r="BG1078" s="59"/>
      <c r="BH1078" s="59"/>
      <c r="BI1078" s="59"/>
      <c r="BJ1078" s="59"/>
      <c r="BK1078" s="59"/>
      <c r="BL1078" s="59"/>
      <c r="BM1078" s="59"/>
      <c r="BN1078" s="59"/>
      <c r="BO1078" s="59"/>
      <c r="BP1078" s="59"/>
      <c r="BQ1078" s="59"/>
      <c r="BR1078" s="59"/>
      <c r="BS1078" s="59"/>
      <c r="BT1078" s="59"/>
      <c r="BU1078" s="59"/>
      <c r="BV1078" s="59"/>
      <c r="BW1078" s="59"/>
      <c r="BX1078" s="59"/>
      <c r="BY1078" s="59"/>
      <c r="BZ1078" s="59"/>
      <c r="CA1078" s="59"/>
      <c r="CB1078" s="59"/>
    </row>
    <row r="1079" spans="1:80">
      <c r="A1079" s="74">
        <v>1078</v>
      </c>
      <c r="B1079" s="66" t="s">
        <v>67</v>
      </c>
      <c r="C1079" s="67" t="s">
        <v>303</v>
      </c>
      <c r="D1079" s="67" t="s">
        <v>101</v>
      </c>
      <c r="E1079" s="88"/>
      <c r="F1079" s="59"/>
      <c r="G1079" s="59"/>
      <c r="H1079" s="77" t="s">
        <v>76</v>
      </c>
      <c r="I1079" s="82">
        <v>12000</v>
      </c>
      <c r="J1079" s="59"/>
      <c r="K1079" s="85"/>
      <c r="L1079" s="86"/>
      <c r="M1079" s="87"/>
      <c r="N1079" s="59"/>
      <c r="O1079" s="59"/>
      <c r="P1079" s="59"/>
      <c r="Q1079" s="59"/>
      <c r="R1079" s="59"/>
      <c r="S1079" s="59"/>
      <c r="T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  <c r="AR1079" s="59"/>
      <c r="AS1079" s="59"/>
      <c r="AT1079" s="59"/>
      <c r="AU1079" s="59"/>
      <c r="AV1079" s="59"/>
      <c r="AW1079" s="59"/>
      <c r="AX1079" s="59"/>
      <c r="AY1079" s="59"/>
      <c r="AZ1079" s="59"/>
      <c r="BA1079" s="59"/>
      <c r="BB1079" s="59"/>
      <c r="BC1079" s="59"/>
      <c r="BD1079" s="59"/>
      <c r="BE1079" s="59"/>
      <c r="BF1079" s="59"/>
      <c r="BG1079" s="59"/>
      <c r="BH1079" s="59"/>
      <c r="BI1079" s="59"/>
      <c r="BJ1079" s="59"/>
      <c r="BK1079" s="59"/>
      <c r="BL1079" s="59"/>
      <c r="BM1079" s="59"/>
      <c r="BN1079" s="59"/>
      <c r="BO1079" s="59"/>
      <c r="BP1079" s="59"/>
      <c r="BQ1079" s="59"/>
      <c r="BR1079" s="59"/>
      <c r="BS1079" s="59"/>
      <c r="BT1079" s="59"/>
      <c r="BU1079" s="59"/>
      <c r="BV1079" s="59"/>
      <c r="BW1079" s="59"/>
      <c r="BX1079" s="59"/>
      <c r="BY1079" s="59"/>
      <c r="BZ1079" s="59"/>
      <c r="CA1079" s="59"/>
      <c r="CB1079" s="59"/>
    </row>
    <row r="1080" spans="1:80">
      <c r="A1080" s="74">
        <v>1079</v>
      </c>
      <c r="B1080" s="66" t="s">
        <v>67</v>
      </c>
      <c r="C1080" s="67" t="s">
        <v>303</v>
      </c>
      <c r="D1080" s="67" t="s">
        <v>102</v>
      </c>
      <c r="E1080" s="88"/>
      <c r="F1080" s="59"/>
      <c r="G1080" s="59"/>
      <c r="H1080" s="77" t="s">
        <v>76</v>
      </c>
      <c r="I1080" s="82">
        <v>12000</v>
      </c>
      <c r="J1080" s="59"/>
      <c r="K1080" s="85"/>
      <c r="L1080" s="86"/>
      <c r="M1080" s="87"/>
      <c r="N1080" s="59"/>
      <c r="O1080" s="59"/>
      <c r="P1080" s="59"/>
      <c r="Q1080" s="59"/>
      <c r="R1080" s="59"/>
      <c r="S1080" s="59"/>
      <c r="T1080" s="59"/>
      <c r="U1080" s="59"/>
      <c r="V1080" s="59"/>
      <c r="W1080" s="59"/>
      <c r="X1080" s="59"/>
      <c r="Y1080" s="59"/>
      <c r="Z1080" s="59"/>
      <c r="AA1080" s="59"/>
      <c r="AB1080" s="59"/>
      <c r="AC1080" s="59"/>
      <c r="AD1080" s="59"/>
      <c r="AE1080" s="59"/>
      <c r="AF1080" s="59"/>
      <c r="AG1080" s="59"/>
      <c r="AH1080" s="59"/>
      <c r="AI1080" s="59"/>
      <c r="AJ1080" s="59"/>
      <c r="AK1080" s="59"/>
      <c r="AL1080" s="59"/>
      <c r="AM1080" s="59"/>
      <c r="AN1080" s="59"/>
      <c r="AO1080" s="59"/>
      <c r="AP1080" s="59"/>
      <c r="AQ1080" s="59"/>
      <c r="AR1080" s="59"/>
      <c r="AS1080" s="59"/>
      <c r="AT1080" s="59"/>
      <c r="AU1080" s="59"/>
      <c r="AV1080" s="59"/>
      <c r="AW1080" s="59"/>
      <c r="AX1080" s="59"/>
      <c r="AY1080" s="59"/>
      <c r="AZ1080" s="59"/>
      <c r="BA1080" s="59"/>
      <c r="BB1080" s="59"/>
      <c r="BC1080" s="59"/>
      <c r="BD1080" s="59"/>
      <c r="BE1080" s="59"/>
      <c r="BF1080" s="59"/>
      <c r="BG1080" s="59"/>
      <c r="BH1080" s="59"/>
      <c r="BI1080" s="59"/>
      <c r="BJ1080" s="59"/>
      <c r="BK1080" s="59"/>
      <c r="BL1080" s="59"/>
      <c r="BM1080" s="59"/>
      <c r="BN1080" s="59"/>
      <c r="BO1080" s="59"/>
      <c r="BP1080" s="59"/>
      <c r="BQ1080" s="59"/>
      <c r="BR1080" s="59"/>
      <c r="BS1080" s="59"/>
      <c r="BT1080" s="59"/>
      <c r="BU1080" s="59"/>
      <c r="BV1080" s="59"/>
      <c r="BW1080" s="59"/>
      <c r="BX1080" s="59"/>
      <c r="BY1080" s="59"/>
      <c r="BZ1080" s="59"/>
      <c r="CA1080" s="59"/>
      <c r="CB1080" s="59"/>
    </row>
    <row r="1081" spans="1:80">
      <c r="A1081" s="74">
        <v>1080</v>
      </c>
      <c r="B1081" s="66" t="s">
        <v>67</v>
      </c>
      <c r="C1081" s="67" t="s">
        <v>303</v>
      </c>
      <c r="D1081" s="67" t="s">
        <v>103</v>
      </c>
      <c r="E1081" s="88"/>
      <c r="F1081" s="59"/>
      <c r="G1081" s="59"/>
      <c r="H1081" s="77" t="s">
        <v>76</v>
      </c>
      <c r="I1081" s="82">
        <v>12000</v>
      </c>
      <c r="J1081" s="59"/>
      <c r="K1081" s="85"/>
      <c r="L1081" s="86"/>
      <c r="M1081" s="87"/>
      <c r="N1081" s="59"/>
      <c r="O1081" s="59"/>
      <c r="P1081" s="59"/>
      <c r="Q1081" s="59"/>
      <c r="R1081" s="59"/>
      <c r="S1081" s="59"/>
      <c r="T1081" s="59"/>
      <c r="U1081" s="59"/>
      <c r="V1081" s="59"/>
      <c r="W1081" s="59"/>
      <c r="X1081" s="59"/>
      <c r="Y1081" s="59"/>
      <c r="Z1081" s="59"/>
      <c r="AA1081" s="59"/>
      <c r="AB1081" s="59"/>
      <c r="AC1081" s="59"/>
      <c r="AD1081" s="59"/>
      <c r="AE1081" s="59"/>
      <c r="AF1081" s="59"/>
      <c r="AG1081" s="59"/>
      <c r="AH1081" s="59"/>
      <c r="AI1081" s="59"/>
      <c r="AJ1081" s="59"/>
      <c r="AK1081" s="59"/>
      <c r="AL1081" s="59"/>
      <c r="AM1081" s="59"/>
      <c r="AN1081" s="59"/>
      <c r="AO1081" s="59"/>
      <c r="AP1081" s="59"/>
      <c r="AQ1081" s="59"/>
      <c r="AR1081" s="59"/>
      <c r="AS1081" s="59"/>
      <c r="AT1081" s="59"/>
      <c r="AU1081" s="59"/>
      <c r="AV1081" s="59"/>
      <c r="AW1081" s="59"/>
      <c r="AX1081" s="59"/>
      <c r="AY1081" s="59"/>
      <c r="AZ1081" s="59"/>
      <c r="BA1081" s="59"/>
      <c r="BB1081" s="59"/>
      <c r="BC1081" s="59"/>
      <c r="BD1081" s="59"/>
      <c r="BE1081" s="59"/>
      <c r="BF1081" s="59"/>
      <c r="BG1081" s="59"/>
      <c r="BH1081" s="59"/>
      <c r="BI1081" s="59"/>
      <c r="BJ1081" s="59"/>
      <c r="BK1081" s="59"/>
      <c r="BL1081" s="59"/>
      <c r="BM1081" s="59"/>
      <c r="BN1081" s="59"/>
      <c r="BO1081" s="59"/>
      <c r="BP1081" s="59"/>
      <c r="BQ1081" s="59"/>
      <c r="BR1081" s="59"/>
      <c r="BS1081" s="59"/>
      <c r="BT1081" s="59"/>
      <c r="BU1081" s="59"/>
      <c r="BV1081" s="59"/>
      <c r="BW1081" s="59"/>
      <c r="BX1081" s="59"/>
      <c r="BY1081" s="59"/>
      <c r="BZ1081" s="59"/>
      <c r="CA1081" s="59"/>
      <c r="CB1081" s="59"/>
    </row>
    <row r="1082" spans="1:80">
      <c r="A1082" s="74">
        <v>1081</v>
      </c>
      <c r="B1082" s="66" t="s">
        <v>67</v>
      </c>
      <c r="C1082" s="67" t="s">
        <v>303</v>
      </c>
      <c r="D1082" s="67" t="s">
        <v>104</v>
      </c>
      <c r="E1082" s="88"/>
      <c r="F1082" s="59"/>
      <c r="G1082" s="59"/>
      <c r="H1082" s="77" t="s">
        <v>76</v>
      </c>
      <c r="I1082" s="82">
        <v>12000</v>
      </c>
      <c r="J1082" s="59"/>
      <c r="K1082" s="85"/>
      <c r="L1082" s="86"/>
      <c r="M1082" s="87"/>
      <c r="N1082" s="59"/>
      <c r="O1082" s="59"/>
      <c r="P1082" s="59"/>
      <c r="Q1082" s="59"/>
      <c r="R1082" s="59"/>
      <c r="S1082" s="59"/>
      <c r="T1082" s="59"/>
      <c r="U1082" s="59"/>
      <c r="V1082" s="59"/>
      <c r="W1082" s="59"/>
      <c r="X1082" s="59"/>
      <c r="Y1082" s="59"/>
      <c r="Z1082" s="59"/>
      <c r="AA1082" s="59"/>
      <c r="AB1082" s="59"/>
      <c r="AC1082" s="59"/>
      <c r="AD1082" s="59"/>
      <c r="AE1082" s="59"/>
      <c r="AF1082" s="59"/>
      <c r="AG1082" s="59"/>
      <c r="AH1082" s="59"/>
      <c r="AI1082" s="59"/>
      <c r="AJ1082" s="59"/>
      <c r="AK1082" s="59"/>
      <c r="AL1082" s="59"/>
      <c r="AM1082" s="59"/>
      <c r="AN1082" s="59"/>
      <c r="AO1082" s="59"/>
      <c r="AP1082" s="59"/>
      <c r="AQ1082" s="59"/>
      <c r="AR1082" s="59"/>
      <c r="AS1082" s="59"/>
      <c r="AT1082" s="59"/>
      <c r="AU1082" s="59"/>
      <c r="AV1082" s="59"/>
      <c r="AW1082" s="59"/>
      <c r="AX1082" s="59"/>
      <c r="AY1082" s="59"/>
      <c r="AZ1082" s="59"/>
      <c r="BA1082" s="59"/>
      <c r="BB1082" s="59"/>
      <c r="BC1082" s="59"/>
      <c r="BD1082" s="59"/>
      <c r="BE1082" s="59"/>
      <c r="BF1082" s="59"/>
      <c r="BG1082" s="59"/>
      <c r="BH1082" s="59"/>
      <c r="BI1082" s="59"/>
      <c r="BJ1082" s="59"/>
      <c r="BK1082" s="59"/>
      <c r="BL1082" s="59"/>
      <c r="BM1082" s="59"/>
      <c r="BN1082" s="59"/>
      <c r="BO1082" s="59"/>
      <c r="BP1082" s="59"/>
      <c r="BQ1082" s="59"/>
      <c r="BR1082" s="59"/>
      <c r="BS1082" s="59"/>
      <c r="BT1082" s="59"/>
      <c r="BU1082" s="59"/>
      <c r="BV1082" s="59"/>
      <c r="BW1082" s="59"/>
      <c r="BX1082" s="59"/>
      <c r="BY1082" s="59"/>
      <c r="BZ1082" s="59"/>
      <c r="CA1082" s="59"/>
      <c r="CB1082" s="59"/>
    </row>
    <row r="1083" spans="1:80">
      <c r="A1083" s="74">
        <v>1082</v>
      </c>
      <c r="B1083" s="66" t="s">
        <v>67</v>
      </c>
      <c r="C1083" s="67" t="s">
        <v>303</v>
      </c>
      <c r="D1083" s="67" t="s">
        <v>105</v>
      </c>
      <c r="E1083" s="88"/>
      <c r="F1083" s="59"/>
      <c r="G1083" s="59"/>
      <c r="H1083" s="77" t="s">
        <v>76</v>
      </c>
      <c r="I1083" s="82">
        <v>12000</v>
      </c>
      <c r="J1083" s="59"/>
      <c r="K1083" s="85"/>
      <c r="L1083" s="86"/>
      <c r="M1083" s="87"/>
      <c r="N1083" s="59"/>
      <c r="O1083" s="59"/>
      <c r="P1083" s="59"/>
      <c r="Q1083" s="59"/>
      <c r="R1083" s="59"/>
      <c r="S1083" s="59"/>
      <c r="T1083" s="59"/>
      <c r="U1083" s="59"/>
      <c r="V1083" s="59"/>
      <c r="W1083" s="59"/>
      <c r="X1083" s="59"/>
      <c r="Y1083" s="59"/>
      <c r="Z1083" s="59"/>
      <c r="AA1083" s="59"/>
      <c r="AB1083" s="59"/>
      <c r="AC1083" s="59"/>
      <c r="AD1083" s="59"/>
      <c r="AE1083" s="59"/>
      <c r="AF1083" s="59"/>
      <c r="AG1083" s="59"/>
      <c r="AH1083" s="59"/>
      <c r="AI1083" s="59"/>
      <c r="AJ1083" s="59"/>
      <c r="AK1083" s="59"/>
      <c r="AL1083" s="59"/>
      <c r="AM1083" s="59"/>
      <c r="AN1083" s="59"/>
      <c r="AO1083" s="59"/>
      <c r="AP1083" s="59"/>
      <c r="AQ1083" s="59"/>
      <c r="AR1083" s="59"/>
      <c r="AS1083" s="59"/>
      <c r="AT1083" s="59"/>
      <c r="AU1083" s="59"/>
      <c r="AV1083" s="59"/>
      <c r="AW1083" s="59"/>
      <c r="AX1083" s="59"/>
      <c r="AY1083" s="59"/>
      <c r="AZ1083" s="59"/>
      <c r="BA1083" s="59"/>
      <c r="BB1083" s="59"/>
      <c r="BC1083" s="59"/>
      <c r="BD1083" s="59"/>
      <c r="BE1083" s="59"/>
      <c r="BF1083" s="59"/>
      <c r="BG1083" s="59"/>
      <c r="BH1083" s="59"/>
      <c r="BI1083" s="59"/>
      <c r="BJ1083" s="59"/>
      <c r="BK1083" s="59"/>
      <c r="BL1083" s="59"/>
      <c r="BM1083" s="59"/>
      <c r="BN1083" s="59"/>
      <c r="BO1083" s="59"/>
      <c r="BP1083" s="59"/>
      <c r="BQ1083" s="59"/>
      <c r="BR1083" s="59"/>
      <c r="BS1083" s="59"/>
      <c r="BT1083" s="59"/>
      <c r="BU1083" s="59"/>
      <c r="BV1083" s="59"/>
      <c r="BW1083" s="59"/>
      <c r="BX1083" s="59"/>
      <c r="BY1083" s="59"/>
      <c r="BZ1083" s="59"/>
      <c r="CA1083" s="59"/>
      <c r="CB1083" s="59"/>
    </row>
    <row r="1084" spans="1:80">
      <c r="A1084" s="74">
        <v>1083</v>
      </c>
      <c r="B1084" s="66" t="s">
        <v>67</v>
      </c>
      <c r="C1084" s="67" t="s">
        <v>303</v>
      </c>
      <c r="D1084" s="67" t="s">
        <v>106</v>
      </c>
      <c r="E1084" s="88"/>
      <c r="F1084" s="59"/>
      <c r="G1084" s="59"/>
      <c r="H1084" s="77" t="s">
        <v>76</v>
      </c>
      <c r="I1084" s="82">
        <v>12000</v>
      </c>
      <c r="J1084" s="59"/>
      <c r="K1084" s="85"/>
      <c r="L1084" s="86"/>
      <c r="M1084" s="87"/>
      <c r="N1084" s="59"/>
      <c r="O1084" s="59"/>
      <c r="P1084" s="59"/>
      <c r="Q1084" s="59"/>
      <c r="R1084" s="59"/>
      <c r="S1084" s="59"/>
      <c r="T1084" s="59"/>
      <c r="U1084" s="59"/>
      <c r="V1084" s="59"/>
      <c r="W1084" s="59"/>
      <c r="X1084" s="59"/>
      <c r="Y1084" s="59"/>
      <c r="Z1084" s="59"/>
      <c r="AA1084" s="59"/>
      <c r="AB1084" s="59"/>
      <c r="AC1084" s="59"/>
      <c r="AD1084" s="59"/>
      <c r="AE1084" s="59"/>
      <c r="AF1084" s="59"/>
      <c r="AG1084" s="59"/>
      <c r="AH1084" s="59"/>
      <c r="AI1084" s="59"/>
      <c r="AJ1084" s="59"/>
      <c r="AK1084" s="59"/>
      <c r="AL1084" s="59"/>
      <c r="AM1084" s="59"/>
      <c r="AN1084" s="59"/>
      <c r="AO1084" s="59"/>
      <c r="AP1084" s="59"/>
      <c r="AQ1084" s="59"/>
      <c r="AR1084" s="59"/>
      <c r="AS1084" s="59"/>
      <c r="AT1084" s="59"/>
      <c r="AU1084" s="59"/>
      <c r="AV1084" s="59"/>
      <c r="AW1084" s="59"/>
      <c r="AX1084" s="59"/>
      <c r="AY1084" s="59"/>
      <c r="AZ1084" s="59"/>
      <c r="BA1084" s="59"/>
      <c r="BB1084" s="59"/>
      <c r="BC1084" s="59"/>
      <c r="BD1084" s="59"/>
      <c r="BE1084" s="59"/>
      <c r="BF1084" s="59"/>
      <c r="BG1084" s="59"/>
      <c r="BH1084" s="59"/>
      <c r="BI1084" s="59"/>
      <c r="BJ1084" s="59"/>
      <c r="BK1084" s="59"/>
      <c r="BL1084" s="59"/>
      <c r="BM1084" s="59"/>
      <c r="BN1084" s="59"/>
      <c r="BO1084" s="59"/>
      <c r="BP1084" s="59"/>
      <c r="BQ1084" s="59"/>
      <c r="BR1084" s="59"/>
      <c r="BS1084" s="59"/>
      <c r="BT1084" s="59"/>
      <c r="BU1084" s="59"/>
      <c r="BV1084" s="59"/>
      <c r="BW1084" s="59"/>
      <c r="BX1084" s="59"/>
      <c r="BY1084" s="59"/>
      <c r="BZ1084" s="59"/>
      <c r="CA1084" s="59"/>
      <c r="CB1084" s="59"/>
    </row>
    <row r="1085" spans="1:80">
      <c r="A1085" s="74">
        <v>1084</v>
      </c>
      <c r="B1085" s="66" t="s">
        <v>67</v>
      </c>
      <c r="C1085" s="67" t="s">
        <v>303</v>
      </c>
      <c r="D1085" s="67" t="s">
        <v>107</v>
      </c>
      <c r="E1085" s="88"/>
      <c r="F1085" s="59"/>
      <c r="G1085" s="59"/>
      <c r="H1085" s="77" t="s">
        <v>76</v>
      </c>
      <c r="I1085" s="82">
        <v>12000</v>
      </c>
      <c r="J1085" s="59"/>
      <c r="K1085" s="85"/>
      <c r="L1085" s="86"/>
      <c r="M1085" s="87"/>
      <c r="N1085" s="59"/>
      <c r="O1085" s="59"/>
      <c r="P1085" s="59"/>
      <c r="Q1085" s="59"/>
      <c r="R1085" s="59"/>
      <c r="S1085" s="59"/>
      <c r="T1085" s="59"/>
      <c r="U1085" s="59"/>
      <c r="V1085" s="59"/>
      <c r="W1085" s="59"/>
      <c r="X1085" s="59"/>
      <c r="Y1085" s="59"/>
      <c r="Z1085" s="59"/>
      <c r="AA1085" s="59"/>
      <c r="AB1085" s="59"/>
      <c r="AC1085" s="59"/>
      <c r="AD1085" s="59"/>
      <c r="AE1085" s="59"/>
      <c r="AF1085" s="59"/>
      <c r="AG1085" s="59"/>
      <c r="AH1085" s="59"/>
      <c r="AI1085" s="59"/>
      <c r="AJ1085" s="59"/>
      <c r="AK1085" s="59"/>
      <c r="AL1085" s="59"/>
      <c r="AM1085" s="59"/>
      <c r="AN1085" s="59"/>
      <c r="AO1085" s="59"/>
      <c r="AP1085" s="59"/>
      <c r="AQ1085" s="59"/>
      <c r="AR1085" s="59"/>
      <c r="AS1085" s="59"/>
      <c r="AT1085" s="59"/>
      <c r="AU1085" s="59"/>
      <c r="AV1085" s="59"/>
      <c r="AW1085" s="59"/>
      <c r="AX1085" s="59"/>
      <c r="AY1085" s="59"/>
      <c r="AZ1085" s="59"/>
      <c r="BA1085" s="59"/>
      <c r="BB1085" s="59"/>
      <c r="BC1085" s="59"/>
      <c r="BD1085" s="59"/>
      <c r="BE1085" s="59"/>
      <c r="BF1085" s="59"/>
      <c r="BG1085" s="59"/>
      <c r="BH1085" s="59"/>
      <c r="BI1085" s="59"/>
      <c r="BJ1085" s="59"/>
      <c r="BK1085" s="59"/>
      <c r="BL1085" s="59"/>
      <c r="BM1085" s="59"/>
      <c r="BN1085" s="59"/>
      <c r="BO1085" s="59"/>
      <c r="BP1085" s="59"/>
      <c r="BQ1085" s="59"/>
      <c r="BR1085" s="59"/>
      <c r="BS1085" s="59"/>
      <c r="BT1085" s="59"/>
      <c r="BU1085" s="59"/>
      <c r="BV1085" s="59"/>
      <c r="BW1085" s="59"/>
      <c r="BX1085" s="59"/>
      <c r="BY1085" s="59"/>
      <c r="BZ1085" s="59"/>
      <c r="CA1085" s="59"/>
      <c r="CB1085" s="59"/>
    </row>
    <row r="1086" spans="1:80">
      <c r="A1086" s="74">
        <v>1085</v>
      </c>
      <c r="B1086" s="66" t="s">
        <v>67</v>
      </c>
      <c r="C1086" s="67" t="s">
        <v>303</v>
      </c>
      <c r="D1086" s="67" t="s">
        <v>108</v>
      </c>
      <c r="E1086" s="88"/>
      <c r="F1086" s="59"/>
      <c r="G1086" s="59"/>
      <c r="H1086" s="77" t="s">
        <v>76</v>
      </c>
      <c r="I1086" s="82">
        <v>12000</v>
      </c>
      <c r="J1086" s="59"/>
      <c r="K1086" s="85"/>
      <c r="L1086" s="86"/>
      <c r="M1086" s="87"/>
      <c r="N1086" s="59"/>
      <c r="O1086" s="59"/>
      <c r="P1086" s="59"/>
      <c r="Q1086" s="59"/>
      <c r="R1086" s="59"/>
      <c r="S1086" s="59"/>
      <c r="T1086" s="59"/>
      <c r="U1086" s="59"/>
      <c r="V1086" s="59"/>
      <c r="W1086" s="59"/>
      <c r="X1086" s="59"/>
      <c r="Y1086" s="59"/>
      <c r="Z1086" s="59"/>
      <c r="AA1086" s="59"/>
      <c r="AB1086" s="59"/>
      <c r="AC1086" s="59"/>
      <c r="AD1086" s="59"/>
      <c r="AE1086" s="59"/>
      <c r="AF1086" s="59"/>
      <c r="AG1086" s="59"/>
      <c r="AH1086" s="59"/>
      <c r="AI1086" s="59"/>
      <c r="AJ1086" s="59"/>
      <c r="AK1086" s="59"/>
      <c r="AL1086" s="59"/>
      <c r="AM1086" s="59"/>
      <c r="AN1086" s="59"/>
      <c r="AO1086" s="59"/>
      <c r="AP1086" s="59"/>
      <c r="AQ1086" s="59"/>
      <c r="AR1086" s="59"/>
      <c r="AS1086" s="59"/>
      <c r="AT1086" s="59"/>
      <c r="AU1086" s="59"/>
      <c r="AV1086" s="59"/>
      <c r="AW1086" s="59"/>
      <c r="AX1086" s="59"/>
      <c r="AY1086" s="59"/>
      <c r="AZ1086" s="59"/>
      <c r="BA1086" s="59"/>
      <c r="BB1086" s="59"/>
      <c r="BC1086" s="59"/>
      <c r="BD1086" s="59"/>
      <c r="BE1086" s="59"/>
      <c r="BF1086" s="59"/>
      <c r="BG1086" s="59"/>
      <c r="BH1086" s="59"/>
      <c r="BI1086" s="59"/>
      <c r="BJ1086" s="59"/>
      <c r="BK1086" s="59"/>
      <c r="BL1086" s="59"/>
      <c r="BM1086" s="59"/>
      <c r="BN1086" s="59"/>
      <c r="BO1086" s="59"/>
      <c r="BP1086" s="59"/>
      <c r="BQ1086" s="59"/>
      <c r="BR1086" s="59"/>
      <c r="BS1086" s="59"/>
      <c r="BT1086" s="59"/>
      <c r="BU1086" s="59"/>
      <c r="BV1086" s="59"/>
      <c r="BW1086" s="59"/>
      <c r="BX1086" s="59"/>
      <c r="BY1086" s="59"/>
      <c r="BZ1086" s="59"/>
      <c r="CA1086" s="59"/>
      <c r="CB1086" s="59"/>
    </row>
    <row r="1087" spans="1:80">
      <c r="A1087" s="74">
        <v>1086</v>
      </c>
      <c r="B1087" s="66" t="s">
        <v>67</v>
      </c>
      <c r="C1087" s="67" t="s">
        <v>303</v>
      </c>
      <c r="D1087" s="67" t="s">
        <v>109</v>
      </c>
      <c r="E1087" s="88"/>
      <c r="F1087" s="59"/>
      <c r="G1087" s="59"/>
      <c r="H1087" s="77" t="s">
        <v>76</v>
      </c>
      <c r="I1087" s="82">
        <v>12000</v>
      </c>
      <c r="J1087" s="59"/>
      <c r="K1087" s="85"/>
      <c r="L1087" s="86"/>
      <c r="M1087" s="87"/>
      <c r="N1087" s="59"/>
      <c r="O1087" s="59"/>
      <c r="P1087" s="59"/>
      <c r="Q1087" s="59"/>
      <c r="R1087" s="59"/>
      <c r="S1087" s="59"/>
      <c r="T1087" s="59"/>
      <c r="U1087" s="59"/>
      <c r="V1087" s="59"/>
      <c r="W1087" s="59"/>
      <c r="X1087" s="59"/>
      <c r="Y1087" s="59"/>
      <c r="Z1087" s="59"/>
      <c r="AA1087" s="59"/>
      <c r="AB1087" s="59"/>
      <c r="AC1087" s="59"/>
      <c r="AD1087" s="59"/>
      <c r="AE1087" s="59"/>
      <c r="AF1087" s="59"/>
      <c r="AG1087" s="59"/>
      <c r="AH1087" s="59"/>
      <c r="AI1087" s="59"/>
      <c r="AJ1087" s="59"/>
      <c r="AK1087" s="59"/>
      <c r="AL1087" s="59"/>
      <c r="AM1087" s="59"/>
      <c r="AN1087" s="59"/>
      <c r="AO1087" s="59"/>
      <c r="AP1087" s="59"/>
      <c r="AQ1087" s="59"/>
      <c r="AR1087" s="59"/>
      <c r="AS1087" s="59"/>
      <c r="AT1087" s="59"/>
      <c r="AU1087" s="59"/>
      <c r="AV1087" s="59"/>
      <c r="AW1087" s="59"/>
      <c r="AX1087" s="59"/>
      <c r="AY1087" s="59"/>
      <c r="AZ1087" s="59"/>
      <c r="BA1087" s="59"/>
      <c r="BB1087" s="59"/>
      <c r="BC1087" s="59"/>
      <c r="BD1087" s="59"/>
      <c r="BE1087" s="59"/>
      <c r="BF1087" s="59"/>
      <c r="BG1087" s="59"/>
      <c r="BH1087" s="59"/>
      <c r="BI1087" s="59"/>
      <c r="BJ1087" s="59"/>
      <c r="BK1087" s="59"/>
      <c r="BL1087" s="59"/>
      <c r="BM1087" s="59"/>
      <c r="BN1087" s="59"/>
      <c r="BO1087" s="59"/>
      <c r="BP1087" s="59"/>
      <c r="BQ1087" s="59"/>
      <c r="BR1087" s="59"/>
      <c r="BS1087" s="59"/>
      <c r="BT1087" s="59"/>
      <c r="BU1087" s="59"/>
      <c r="BV1087" s="59"/>
      <c r="BW1087" s="59"/>
      <c r="BX1087" s="59"/>
      <c r="BY1087" s="59"/>
      <c r="BZ1087" s="59"/>
      <c r="CA1087" s="59"/>
      <c r="CB1087" s="59"/>
    </row>
    <row r="1088" spans="1:80">
      <c r="A1088" s="74">
        <v>1087</v>
      </c>
      <c r="B1088" s="66" t="s">
        <v>67</v>
      </c>
      <c r="C1088" s="67" t="s">
        <v>303</v>
      </c>
      <c r="D1088" s="67" t="s">
        <v>110</v>
      </c>
      <c r="E1088" s="88"/>
      <c r="F1088" s="59"/>
      <c r="G1088" s="59"/>
      <c r="H1088" s="77" t="s">
        <v>76</v>
      </c>
      <c r="I1088" s="82">
        <v>12000</v>
      </c>
      <c r="J1088" s="59"/>
      <c r="K1088" s="85"/>
      <c r="L1088" s="86"/>
      <c r="M1088" s="87"/>
      <c r="N1088" s="59"/>
      <c r="O1088" s="59"/>
      <c r="P1088" s="59"/>
      <c r="Q1088" s="59"/>
      <c r="R1088" s="59"/>
      <c r="S1088" s="59"/>
      <c r="T1088" s="59"/>
      <c r="U1088" s="59"/>
      <c r="V1088" s="59"/>
      <c r="W1088" s="59"/>
      <c r="X1088" s="59"/>
      <c r="Y1088" s="59"/>
      <c r="Z1088" s="59"/>
      <c r="AA1088" s="59"/>
      <c r="AB1088" s="59"/>
      <c r="AC1088" s="59"/>
      <c r="AD1088" s="59"/>
      <c r="AE1088" s="59"/>
      <c r="AF1088" s="59"/>
      <c r="AG1088" s="59"/>
      <c r="AH1088" s="59"/>
      <c r="AI1088" s="59"/>
      <c r="AJ1088" s="59"/>
      <c r="AK1088" s="59"/>
      <c r="AL1088" s="59"/>
      <c r="AM1088" s="59"/>
      <c r="AN1088" s="59"/>
      <c r="AO1088" s="59"/>
      <c r="AP1088" s="59"/>
      <c r="AQ1088" s="59"/>
      <c r="AR1088" s="59"/>
      <c r="AS1088" s="59"/>
      <c r="AT1088" s="59"/>
      <c r="AU1088" s="59"/>
      <c r="AV1088" s="59"/>
      <c r="AW1088" s="59"/>
      <c r="AX1088" s="59"/>
      <c r="AY1088" s="59"/>
      <c r="AZ1088" s="59"/>
      <c r="BA1088" s="59"/>
      <c r="BB1088" s="59"/>
      <c r="BC1088" s="59"/>
      <c r="BD1088" s="59"/>
      <c r="BE1088" s="59"/>
      <c r="BF1088" s="59"/>
      <c r="BG1088" s="59"/>
      <c r="BH1088" s="59"/>
      <c r="BI1088" s="59"/>
      <c r="BJ1088" s="59"/>
      <c r="BK1088" s="59"/>
      <c r="BL1088" s="59"/>
      <c r="BM1088" s="59"/>
      <c r="BN1088" s="59"/>
      <c r="BO1088" s="59"/>
      <c r="BP1088" s="59"/>
      <c r="BQ1088" s="59"/>
      <c r="BR1088" s="59"/>
      <c r="BS1088" s="59"/>
      <c r="BT1088" s="59"/>
      <c r="BU1088" s="59"/>
      <c r="BV1088" s="59"/>
      <c r="BW1088" s="59"/>
      <c r="BX1088" s="59"/>
      <c r="BY1088" s="59"/>
      <c r="BZ1088" s="59"/>
      <c r="CA1088" s="59"/>
      <c r="CB1088" s="59"/>
    </row>
    <row r="1089" spans="1:80">
      <c r="A1089" s="74">
        <v>1088</v>
      </c>
      <c r="B1089" s="66" t="s">
        <v>67</v>
      </c>
      <c r="C1089" s="67" t="s">
        <v>303</v>
      </c>
      <c r="D1089" s="67" t="s">
        <v>111</v>
      </c>
      <c r="E1089" s="88"/>
      <c r="F1089" s="59"/>
      <c r="G1089" s="59"/>
      <c r="H1089" s="77" t="s">
        <v>76</v>
      </c>
      <c r="I1089" s="82">
        <v>12000</v>
      </c>
      <c r="J1089" s="59"/>
      <c r="K1089" s="85"/>
      <c r="L1089" s="86"/>
      <c r="M1089" s="87"/>
      <c r="N1089" s="59"/>
      <c r="O1089" s="59"/>
      <c r="P1089" s="59"/>
      <c r="Q1089" s="59"/>
      <c r="R1089" s="59"/>
      <c r="S1089" s="59"/>
      <c r="T1089" s="59"/>
      <c r="U1089" s="59"/>
      <c r="V1089" s="59"/>
      <c r="W1089" s="59"/>
      <c r="X1089" s="59"/>
      <c r="Y1089" s="59"/>
      <c r="Z1089" s="59"/>
      <c r="AA1089" s="59"/>
      <c r="AB1089" s="59"/>
      <c r="AC1089" s="59"/>
      <c r="AD1089" s="59"/>
      <c r="AE1089" s="59"/>
      <c r="AF1089" s="59"/>
      <c r="AG1089" s="59"/>
      <c r="AH1089" s="59"/>
      <c r="AI1089" s="59"/>
      <c r="AJ1089" s="59"/>
      <c r="AK1089" s="59"/>
      <c r="AL1089" s="59"/>
      <c r="AM1089" s="59"/>
      <c r="AN1089" s="59"/>
      <c r="AO1089" s="59"/>
      <c r="AP1089" s="59"/>
      <c r="AQ1089" s="59"/>
      <c r="AR1089" s="59"/>
      <c r="AS1089" s="59"/>
      <c r="AT1089" s="59"/>
      <c r="AU1089" s="59"/>
      <c r="AV1089" s="59"/>
      <c r="AW1089" s="59"/>
      <c r="AX1089" s="59"/>
      <c r="AY1089" s="59"/>
      <c r="AZ1089" s="59"/>
      <c r="BA1089" s="59"/>
      <c r="BB1089" s="59"/>
      <c r="BC1089" s="59"/>
      <c r="BD1089" s="59"/>
      <c r="BE1089" s="59"/>
      <c r="BF1089" s="59"/>
      <c r="BG1089" s="59"/>
      <c r="BH1089" s="59"/>
      <c r="BI1089" s="59"/>
      <c r="BJ1089" s="59"/>
      <c r="BK1089" s="59"/>
      <c r="BL1089" s="59"/>
      <c r="BM1089" s="59"/>
      <c r="BN1089" s="59"/>
      <c r="BO1089" s="59"/>
      <c r="BP1089" s="59"/>
      <c r="BQ1089" s="59"/>
      <c r="BR1089" s="59"/>
      <c r="BS1089" s="59"/>
      <c r="BT1089" s="59"/>
      <c r="BU1089" s="59"/>
      <c r="BV1089" s="59"/>
      <c r="BW1089" s="59"/>
      <c r="BX1089" s="59"/>
      <c r="BY1089" s="59"/>
      <c r="BZ1089" s="59"/>
      <c r="CA1089" s="59"/>
      <c r="CB1089" s="59"/>
    </row>
    <row r="1090" spans="1:80">
      <c r="A1090" s="74">
        <v>1089</v>
      </c>
      <c r="B1090" s="66" t="s">
        <v>67</v>
      </c>
      <c r="C1090" s="67" t="s">
        <v>303</v>
      </c>
      <c r="D1090" s="67" t="s">
        <v>112</v>
      </c>
      <c r="E1090" s="88"/>
      <c r="F1090" s="59"/>
      <c r="G1090" s="59"/>
      <c r="H1090" s="77" t="s">
        <v>76</v>
      </c>
      <c r="I1090" s="82">
        <v>12000</v>
      </c>
      <c r="J1090" s="59"/>
      <c r="K1090" s="85"/>
      <c r="L1090" s="86"/>
      <c r="M1090" s="87"/>
      <c r="N1090" s="59"/>
      <c r="O1090" s="59"/>
      <c r="P1090" s="59"/>
      <c r="Q1090" s="59"/>
      <c r="R1090" s="59"/>
      <c r="S1090" s="59"/>
      <c r="T1090" s="59"/>
      <c r="U1090" s="59"/>
      <c r="V1090" s="59"/>
      <c r="W1090" s="59"/>
      <c r="X1090" s="59"/>
      <c r="Y1090" s="59"/>
      <c r="Z1090" s="59"/>
      <c r="AA1090" s="59"/>
      <c r="AB1090" s="59"/>
      <c r="AC1090" s="59"/>
      <c r="AD1090" s="59"/>
      <c r="AE1090" s="59"/>
      <c r="AF1090" s="59"/>
      <c r="AG1090" s="59"/>
      <c r="AH1090" s="59"/>
      <c r="AI1090" s="59"/>
      <c r="AJ1090" s="59"/>
      <c r="AK1090" s="59"/>
      <c r="AL1090" s="59"/>
      <c r="AM1090" s="59"/>
      <c r="AN1090" s="59"/>
      <c r="AO1090" s="59"/>
      <c r="AP1090" s="59"/>
      <c r="AQ1090" s="59"/>
      <c r="AR1090" s="59"/>
      <c r="AS1090" s="59"/>
      <c r="AT1090" s="59"/>
      <c r="AU1090" s="59"/>
      <c r="AV1090" s="59"/>
      <c r="AW1090" s="59"/>
      <c r="AX1090" s="59"/>
      <c r="AY1090" s="59"/>
      <c r="AZ1090" s="59"/>
      <c r="BA1090" s="59"/>
      <c r="BB1090" s="59"/>
      <c r="BC1090" s="59"/>
      <c r="BD1090" s="59"/>
      <c r="BE1090" s="59"/>
      <c r="BF1090" s="59"/>
      <c r="BG1090" s="59"/>
      <c r="BH1090" s="59"/>
      <c r="BI1090" s="59"/>
      <c r="BJ1090" s="59"/>
      <c r="BK1090" s="59"/>
      <c r="BL1090" s="59"/>
      <c r="BM1090" s="59"/>
      <c r="BN1090" s="59"/>
      <c r="BO1090" s="59"/>
      <c r="BP1090" s="59"/>
      <c r="BQ1090" s="59"/>
      <c r="BR1090" s="59"/>
      <c r="BS1090" s="59"/>
      <c r="BT1090" s="59"/>
      <c r="BU1090" s="59"/>
      <c r="BV1090" s="59"/>
      <c r="BW1090" s="59"/>
      <c r="BX1090" s="59"/>
      <c r="BY1090" s="59"/>
      <c r="BZ1090" s="59"/>
      <c r="CA1090" s="59"/>
      <c r="CB1090" s="59"/>
    </row>
    <row r="1091" spans="1:80">
      <c r="A1091" s="74">
        <v>1090</v>
      </c>
      <c r="B1091" s="66" t="s">
        <v>67</v>
      </c>
      <c r="C1091" s="67" t="s">
        <v>303</v>
      </c>
      <c r="D1091" s="67" t="s">
        <v>113</v>
      </c>
      <c r="E1091" s="88"/>
      <c r="F1091" s="59"/>
      <c r="G1091" s="59"/>
      <c r="H1091" s="77" t="s">
        <v>76</v>
      </c>
      <c r="I1091" s="82">
        <v>12000</v>
      </c>
      <c r="J1091" s="59"/>
      <c r="K1091" s="85"/>
      <c r="L1091" s="86"/>
      <c r="M1091" s="87"/>
      <c r="N1091" s="59"/>
      <c r="O1091" s="59"/>
      <c r="P1091" s="59"/>
      <c r="Q1091" s="59"/>
      <c r="R1091" s="59"/>
      <c r="S1091" s="59"/>
      <c r="T1091" s="59"/>
      <c r="U1091" s="59"/>
      <c r="V1091" s="59"/>
      <c r="W1091" s="59"/>
      <c r="X1091" s="59"/>
      <c r="Y1091" s="59"/>
      <c r="Z1091" s="59"/>
      <c r="AA1091" s="59"/>
      <c r="AB1091" s="59"/>
      <c r="AC1091" s="59"/>
      <c r="AD1091" s="59"/>
      <c r="AE1091" s="59"/>
      <c r="AF1091" s="59"/>
      <c r="AG1091" s="59"/>
      <c r="AH1091" s="59"/>
      <c r="AI1091" s="59"/>
      <c r="AJ1091" s="59"/>
      <c r="AK1091" s="59"/>
      <c r="AL1091" s="59"/>
      <c r="AM1091" s="59"/>
      <c r="AN1091" s="59"/>
      <c r="AO1091" s="59"/>
      <c r="AP1091" s="59"/>
      <c r="AQ1091" s="59"/>
      <c r="AR1091" s="59"/>
      <c r="AS1091" s="59"/>
      <c r="AT1091" s="59"/>
      <c r="AU1091" s="59"/>
      <c r="AV1091" s="59"/>
      <c r="AW1091" s="59"/>
      <c r="AX1091" s="59"/>
      <c r="AY1091" s="59"/>
      <c r="AZ1091" s="59"/>
      <c r="BA1091" s="59"/>
      <c r="BB1091" s="59"/>
      <c r="BC1091" s="59"/>
      <c r="BD1091" s="59"/>
      <c r="BE1091" s="59"/>
      <c r="BF1091" s="59"/>
      <c r="BG1091" s="59"/>
      <c r="BH1091" s="59"/>
      <c r="BI1091" s="59"/>
      <c r="BJ1091" s="59"/>
      <c r="BK1091" s="59"/>
      <c r="BL1091" s="59"/>
      <c r="BM1091" s="59"/>
      <c r="BN1091" s="59"/>
      <c r="BO1091" s="59"/>
      <c r="BP1091" s="59"/>
      <c r="BQ1091" s="59"/>
      <c r="BR1091" s="59"/>
      <c r="BS1091" s="59"/>
      <c r="BT1091" s="59"/>
      <c r="BU1091" s="59"/>
      <c r="BV1091" s="59"/>
      <c r="BW1091" s="59"/>
      <c r="BX1091" s="59"/>
      <c r="BY1091" s="59"/>
      <c r="BZ1091" s="59"/>
      <c r="CA1091" s="59"/>
      <c r="CB1091" s="59"/>
    </row>
    <row r="1092" spans="1:80">
      <c r="A1092" s="74">
        <v>1091</v>
      </c>
      <c r="B1092" s="66" t="s">
        <v>67</v>
      </c>
      <c r="C1092" s="67" t="s">
        <v>303</v>
      </c>
      <c r="D1092" s="67" t="s">
        <v>114</v>
      </c>
      <c r="E1092" s="88"/>
      <c r="F1092" s="59"/>
      <c r="G1092" s="59"/>
      <c r="H1092" s="77" t="s">
        <v>76</v>
      </c>
      <c r="I1092" s="82">
        <v>12000</v>
      </c>
      <c r="J1092" s="59"/>
      <c r="K1092" s="85"/>
      <c r="L1092" s="86"/>
      <c r="M1092" s="87"/>
      <c r="N1092" s="59"/>
      <c r="O1092" s="59"/>
      <c r="P1092" s="59"/>
      <c r="Q1092" s="59"/>
      <c r="R1092" s="59"/>
      <c r="S1092" s="59"/>
      <c r="T1092" s="59"/>
      <c r="U1092" s="59"/>
      <c r="V1092" s="59"/>
      <c r="W1092" s="59"/>
      <c r="X1092" s="59"/>
      <c r="Y1092" s="59"/>
      <c r="Z1092" s="59"/>
      <c r="AA1092" s="59"/>
      <c r="AB1092" s="59"/>
      <c r="AC1092" s="59"/>
      <c r="AD1092" s="59"/>
      <c r="AE1092" s="59"/>
      <c r="AF1092" s="59"/>
      <c r="AG1092" s="59"/>
      <c r="AH1092" s="59"/>
      <c r="AI1092" s="59"/>
      <c r="AJ1092" s="59"/>
      <c r="AK1092" s="59"/>
      <c r="AL1092" s="59"/>
      <c r="AM1092" s="59"/>
      <c r="AN1092" s="59"/>
      <c r="AO1092" s="59"/>
      <c r="AP1092" s="59"/>
      <c r="AQ1092" s="59"/>
      <c r="AR1092" s="59"/>
      <c r="AS1092" s="59"/>
      <c r="AT1092" s="59"/>
      <c r="AU1092" s="59"/>
      <c r="AV1092" s="59"/>
      <c r="AW1092" s="59"/>
      <c r="AX1092" s="59"/>
      <c r="AY1092" s="59"/>
      <c r="AZ1092" s="59"/>
      <c r="BA1092" s="59"/>
      <c r="BB1092" s="59"/>
      <c r="BC1092" s="59"/>
      <c r="BD1092" s="59"/>
      <c r="BE1092" s="59"/>
      <c r="BF1092" s="59"/>
      <c r="BG1092" s="59"/>
      <c r="BH1092" s="59"/>
      <c r="BI1092" s="59"/>
      <c r="BJ1092" s="59"/>
      <c r="BK1092" s="59"/>
      <c r="BL1092" s="59"/>
      <c r="BM1092" s="59"/>
      <c r="BN1092" s="59"/>
      <c r="BO1092" s="59"/>
      <c r="BP1092" s="59"/>
      <c r="BQ1092" s="59"/>
      <c r="BR1092" s="59"/>
      <c r="BS1092" s="59"/>
      <c r="BT1092" s="59"/>
      <c r="BU1092" s="59"/>
      <c r="BV1092" s="59"/>
      <c r="BW1092" s="59"/>
      <c r="BX1092" s="59"/>
      <c r="BY1092" s="59"/>
      <c r="BZ1092" s="59"/>
      <c r="CA1092" s="59"/>
      <c r="CB1092" s="59"/>
    </row>
    <row r="1093" spans="1:80">
      <c r="A1093" s="74">
        <v>1092</v>
      </c>
      <c r="B1093" s="66" t="s">
        <v>67</v>
      </c>
      <c r="C1093" s="67" t="s">
        <v>303</v>
      </c>
      <c r="D1093" s="67" t="s">
        <v>115</v>
      </c>
      <c r="E1093" s="88"/>
      <c r="F1093" s="59"/>
      <c r="G1093" s="59"/>
      <c r="H1093" s="77" t="s">
        <v>76</v>
      </c>
      <c r="I1093" s="82">
        <v>12000</v>
      </c>
      <c r="J1093" s="59"/>
      <c r="K1093" s="85"/>
      <c r="L1093" s="86"/>
      <c r="M1093" s="87"/>
      <c r="N1093" s="59"/>
      <c r="O1093" s="59"/>
      <c r="P1093" s="59"/>
      <c r="Q1093" s="59"/>
      <c r="R1093" s="59"/>
      <c r="S1093" s="59"/>
      <c r="T1093" s="59"/>
      <c r="U1093" s="59"/>
      <c r="V1093" s="59"/>
      <c r="W1093" s="59"/>
      <c r="X1093" s="59"/>
      <c r="Y1093" s="59"/>
      <c r="Z1093" s="59"/>
      <c r="AA1093" s="59"/>
      <c r="AB1093" s="59"/>
      <c r="AC1093" s="59"/>
      <c r="AD1093" s="59"/>
      <c r="AE1093" s="59"/>
      <c r="AF1093" s="59"/>
      <c r="AG1093" s="59"/>
      <c r="AH1093" s="59"/>
      <c r="AI1093" s="59"/>
      <c r="AJ1093" s="59"/>
      <c r="AK1093" s="59"/>
      <c r="AL1093" s="59"/>
      <c r="AM1093" s="59"/>
      <c r="AN1093" s="59"/>
      <c r="AO1093" s="59"/>
      <c r="AP1093" s="59"/>
      <c r="AQ1093" s="59"/>
      <c r="AR1093" s="59"/>
      <c r="AS1093" s="59"/>
      <c r="AT1093" s="59"/>
      <c r="AU1093" s="59"/>
      <c r="AV1093" s="59"/>
      <c r="AW1093" s="59"/>
      <c r="AX1093" s="59"/>
      <c r="AY1093" s="59"/>
      <c r="AZ1093" s="59"/>
      <c r="BA1093" s="59"/>
      <c r="BB1093" s="59"/>
      <c r="BC1093" s="59"/>
      <c r="BD1093" s="59"/>
      <c r="BE1093" s="59"/>
      <c r="BF1093" s="59"/>
      <c r="BG1093" s="59"/>
      <c r="BH1093" s="59"/>
      <c r="BI1093" s="59"/>
      <c r="BJ1093" s="59"/>
      <c r="BK1093" s="59"/>
      <c r="BL1093" s="59"/>
      <c r="BM1093" s="59"/>
      <c r="BN1093" s="59"/>
      <c r="BO1093" s="59"/>
      <c r="BP1093" s="59"/>
      <c r="BQ1093" s="59"/>
      <c r="BR1093" s="59"/>
      <c r="BS1093" s="59"/>
      <c r="BT1093" s="59"/>
      <c r="BU1093" s="59"/>
      <c r="BV1093" s="59"/>
      <c r="BW1093" s="59"/>
      <c r="BX1093" s="59"/>
      <c r="BY1093" s="59"/>
      <c r="BZ1093" s="59"/>
      <c r="CA1093" s="59"/>
      <c r="CB1093" s="59"/>
    </row>
    <row r="1094" spans="1:80">
      <c r="A1094" s="74">
        <v>1093</v>
      </c>
      <c r="B1094" s="66" t="s">
        <v>67</v>
      </c>
      <c r="C1094" s="67" t="s">
        <v>303</v>
      </c>
      <c r="D1094" s="67" t="s">
        <v>116</v>
      </c>
      <c r="E1094" s="88"/>
      <c r="F1094" s="59"/>
      <c r="G1094" s="59"/>
      <c r="H1094" s="77" t="s">
        <v>76</v>
      </c>
      <c r="I1094" s="82">
        <v>12000</v>
      </c>
      <c r="J1094" s="59"/>
      <c r="K1094" s="85"/>
      <c r="L1094" s="86"/>
      <c r="M1094" s="87"/>
      <c r="N1094" s="59"/>
      <c r="O1094" s="59"/>
      <c r="P1094" s="59"/>
      <c r="Q1094" s="59"/>
      <c r="R1094" s="59"/>
      <c r="S1094" s="59"/>
      <c r="T1094" s="59"/>
      <c r="U1094" s="59"/>
      <c r="V1094" s="59"/>
      <c r="W1094" s="59"/>
      <c r="X1094" s="59"/>
      <c r="Y1094" s="59"/>
      <c r="Z1094" s="59"/>
      <c r="AA1094" s="59"/>
      <c r="AB1094" s="59"/>
      <c r="AC1094" s="59"/>
      <c r="AD1094" s="59"/>
      <c r="AE1094" s="59"/>
      <c r="AF1094" s="59"/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  <c r="AS1094" s="59"/>
      <c r="AT1094" s="59"/>
      <c r="AU1094" s="59"/>
      <c r="AV1094" s="59"/>
      <c r="AW1094" s="59"/>
      <c r="AX1094" s="59"/>
      <c r="AY1094" s="59"/>
      <c r="AZ1094" s="59"/>
      <c r="BA1094" s="59"/>
      <c r="BB1094" s="59"/>
      <c r="BC1094" s="59"/>
      <c r="BD1094" s="59"/>
      <c r="BE1094" s="59"/>
      <c r="BF1094" s="59"/>
      <c r="BG1094" s="59"/>
      <c r="BH1094" s="59"/>
      <c r="BI1094" s="59"/>
      <c r="BJ1094" s="59"/>
      <c r="BK1094" s="59"/>
      <c r="BL1094" s="59"/>
      <c r="BM1094" s="59"/>
      <c r="BN1094" s="59"/>
      <c r="BO1094" s="59"/>
      <c r="BP1094" s="59"/>
      <c r="BQ1094" s="59"/>
      <c r="BR1094" s="59"/>
      <c r="BS1094" s="59"/>
      <c r="BT1094" s="59"/>
      <c r="BU1094" s="59"/>
      <c r="BV1094" s="59"/>
      <c r="BW1094" s="59"/>
      <c r="BX1094" s="59"/>
      <c r="BY1094" s="59"/>
      <c r="BZ1094" s="59"/>
      <c r="CA1094" s="59"/>
      <c r="CB1094" s="59"/>
    </row>
    <row r="1095" spans="1:80">
      <c r="A1095" s="74">
        <v>1094</v>
      </c>
      <c r="B1095" s="66" t="s">
        <v>67</v>
      </c>
      <c r="C1095" s="67" t="s">
        <v>303</v>
      </c>
      <c r="D1095" s="67" t="s">
        <v>117</v>
      </c>
      <c r="E1095" s="88"/>
      <c r="F1095" s="59"/>
      <c r="G1095" s="59"/>
      <c r="H1095" s="77" t="s">
        <v>76</v>
      </c>
      <c r="I1095" s="82">
        <v>12000</v>
      </c>
      <c r="J1095" s="59"/>
      <c r="K1095" s="85"/>
      <c r="L1095" s="86"/>
      <c r="M1095" s="87"/>
      <c r="N1095" s="59"/>
      <c r="O1095" s="59"/>
      <c r="P1095" s="59"/>
      <c r="Q1095" s="59"/>
      <c r="R1095" s="59"/>
      <c r="S1095" s="59"/>
      <c r="T1095" s="59"/>
      <c r="U1095" s="59"/>
      <c r="V1095" s="59"/>
      <c r="W1095" s="59"/>
      <c r="X1095" s="59"/>
      <c r="Y1095" s="59"/>
      <c r="Z1095" s="59"/>
      <c r="AA1095" s="59"/>
      <c r="AB1095" s="59"/>
      <c r="AC1095" s="59"/>
      <c r="AD1095" s="59"/>
      <c r="AE1095" s="59"/>
      <c r="AF1095" s="59"/>
      <c r="AG1095" s="59"/>
      <c r="AH1095" s="59"/>
      <c r="AI1095" s="59"/>
      <c r="AJ1095" s="59"/>
      <c r="AK1095" s="59"/>
      <c r="AL1095" s="59"/>
      <c r="AM1095" s="59"/>
      <c r="AN1095" s="59"/>
      <c r="AO1095" s="59"/>
      <c r="AP1095" s="59"/>
      <c r="AQ1095" s="59"/>
      <c r="AR1095" s="59"/>
      <c r="AS1095" s="59"/>
      <c r="AT1095" s="59"/>
      <c r="AU1095" s="59"/>
      <c r="AV1095" s="59"/>
      <c r="AW1095" s="59"/>
      <c r="AX1095" s="59"/>
      <c r="AY1095" s="59"/>
      <c r="AZ1095" s="59"/>
      <c r="BA1095" s="59"/>
      <c r="BB1095" s="59"/>
      <c r="BC1095" s="59"/>
      <c r="BD1095" s="59"/>
      <c r="BE1095" s="59"/>
      <c r="BF1095" s="59"/>
      <c r="BG1095" s="59"/>
      <c r="BH1095" s="59"/>
      <c r="BI1095" s="59"/>
      <c r="BJ1095" s="59"/>
      <c r="BK1095" s="59"/>
      <c r="BL1095" s="59"/>
      <c r="BM1095" s="59"/>
      <c r="BN1095" s="59"/>
      <c r="BO1095" s="59"/>
      <c r="BP1095" s="59"/>
      <c r="BQ1095" s="59"/>
      <c r="BR1095" s="59"/>
      <c r="BS1095" s="59"/>
      <c r="BT1095" s="59"/>
      <c r="BU1095" s="59"/>
      <c r="BV1095" s="59"/>
      <c r="BW1095" s="59"/>
      <c r="BX1095" s="59"/>
      <c r="BY1095" s="59"/>
      <c r="BZ1095" s="59"/>
      <c r="CA1095" s="59"/>
      <c r="CB1095" s="59"/>
    </row>
    <row r="1096" spans="1:80">
      <c r="A1096" s="74">
        <v>1095</v>
      </c>
      <c r="B1096" s="66" t="s">
        <v>67</v>
      </c>
      <c r="C1096" s="67" t="s">
        <v>303</v>
      </c>
      <c r="D1096" s="67" t="s">
        <v>118</v>
      </c>
      <c r="E1096" s="88"/>
      <c r="F1096" s="59"/>
      <c r="G1096" s="59"/>
      <c r="H1096" s="77" t="s">
        <v>76</v>
      </c>
      <c r="I1096" s="82">
        <v>12000</v>
      </c>
      <c r="J1096" s="59"/>
      <c r="K1096" s="85"/>
      <c r="L1096" s="86"/>
      <c r="M1096" s="87"/>
      <c r="N1096" s="59"/>
      <c r="O1096" s="59"/>
      <c r="P1096" s="59"/>
      <c r="Q1096" s="59"/>
      <c r="R1096" s="59"/>
      <c r="S1096" s="59"/>
      <c r="T1096" s="59"/>
      <c r="U1096" s="59"/>
      <c r="V1096" s="59"/>
      <c r="W1096" s="59"/>
      <c r="X1096" s="59"/>
      <c r="Y1096" s="59"/>
      <c r="Z1096" s="59"/>
      <c r="AA1096" s="59"/>
      <c r="AB1096" s="59"/>
      <c r="AC1096" s="59"/>
      <c r="AD1096" s="59"/>
      <c r="AE1096" s="59"/>
      <c r="AF1096" s="59"/>
      <c r="AG1096" s="59"/>
      <c r="AH1096" s="59"/>
      <c r="AI1096" s="59"/>
      <c r="AJ1096" s="59"/>
      <c r="AK1096" s="59"/>
      <c r="AL1096" s="59"/>
      <c r="AM1096" s="59"/>
      <c r="AN1096" s="59"/>
      <c r="AO1096" s="59"/>
      <c r="AP1096" s="59"/>
      <c r="AQ1096" s="59"/>
      <c r="AR1096" s="59"/>
      <c r="AS1096" s="59"/>
      <c r="AT1096" s="59"/>
      <c r="AU1096" s="59"/>
      <c r="AV1096" s="59"/>
      <c r="AW1096" s="59"/>
      <c r="AX1096" s="59"/>
      <c r="AY1096" s="59"/>
      <c r="AZ1096" s="59"/>
      <c r="BA1096" s="59"/>
      <c r="BB1096" s="59"/>
      <c r="BC1096" s="59"/>
      <c r="BD1096" s="59"/>
      <c r="BE1096" s="59"/>
      <c r="BF1096" s="59"/>
      <c r="BG1096" s="59"/>
      <c r="BH1096" s="59"/>
      <c r="BI1096" s="59"/>
      <c r="BJ1096" s="59"/>
      <c r="BK1096" s="59"/>
      <c r="BL1096" s="59"/>
      <c r="BM1096" s="59"/>
      <c r="BN1096" s="59"/>
      <c r="BO1096" s="59"/>
      <c r="BP1096" s="59"/>
      <c r="BQ1096" s="59"/>
      <c r="BR1096" s="59"/>
      <c r="BS1096" s="59"/>
      <c r="BT1096" s="59"/>
      <c r="BU1096" s="59"/>
      <c r="BV1096" s="59"/>
      <c r="BW1096" s="59"/>
      <c r="BX1096" s="59"/>
      <c r="BY1096" s="59"/>
      <c r="BZ1096" s="59"/>
      <c r="CA1096" s="59"/>
      <c r="CB1096" s="59"/>
    </row>
    <row r="1097" spans="1:80">
      <c r="A1097" s="74">
        <v>1096</v>
      </c>
      <c r="B1097" s="66" t="s">
        <v>67</v>
      </c>
      <c r="C1097" s="67" t="s">
        <v>303</v>
      </c>
      <c r="D1097" s="67" t="s">
        <v>119</v>
      </c>
      <c r="E1097" s="88"/>
      <c r="F1097" s="59"/>
      <c r="G1097" s="59"/>
      <c r="H1097" s="77" t="s">
        <v>76</v>
      </c>
      <c r="I1097" s="82">
        <v>12000</v>
      </c>
      <c r="J1097" s="59"/>
      <c r="K1097" s="85"/>
      <c r="L1097" s="86"/>
      <c r="M1097" s="98"/>
      <c r="N1097" s="59"/>
      <c r="O1097" s="59"/>
      <c r="P1097" s="59"/>
      <c r="Q1097" s="59"/>
      <c r="R1097" s="59"/>
      <c r="S1097" s="59"/>
      <c r="T1097" s="59"/>
      <c r="U1097" s="59"/>
      <c r="V1097" s="59"/>
      <c r="W1097" s="59"/>
      <c r="X1097" s="59"/>
      <c r="Y1097" s="59"/>
      <c r="Z1097" s="59"/>
      <c r="AA1097" s="59"/>
      <c r="AB1097" s="59"/>
      <c r="AC1097" s="59"/>
      <c r="AD1097" s="59"/>
      <c r="AE1097" s="59"/>
      <c r="AF1097" s="59"/>
      <c r="AG1097" s="59"/>
      <c r="AH1097" s="59"/>
      <c r="AI1097" s="59"/>
      <c r="AJ1097" s="59"/>
      <c r="AK1097" s="59"/>
      <c r="AL1097" s="59"/>
      <c r="AM1097" s="59"/>
      <c r="AN1097" s="59"/>
      <c r="AO1097" s="59"/>
      <c r="AP1097" s="59"/>
      <c r="AQ1097" s="59"/>
      <c r="AR1097" s="59"/>
      <c r="AS1097" s="59"/>
      <c r="AT1097" s="59"/>
      <c r="AU1097" s="59"/>
      <c r="AV1097" s="59"/>
      <c r="AW1097" s="59"/>
      <c r="AX1097" s="59"/>
      <c r="AY1097" s="59"/>
      <c r="AZ1097" s="59"/>
      <c r="BA1097" s="59"/>
      <c r="BB1097" s="59"/>
      <c r="BC1097" s="59"/>
      <c r="BD1097" s="59"/>
      <c r="BE1097" s="59"/>
      <c r="BF1097" s="59"/>
      <c r="BG1097" s="59"/>
      <c r="BH1097" s="59"/>
      <c r="BI1097" s="59"/>
      <c r="BJ1097" s="59"/>
      <c r="BK1097" s="59"/>
      <c r="BL1097" s="59"/>
      <c r="BM1097" s="59"/>
      <c r="BN1097" s="59"/>
      <c r="BO1097" s="59"/>
      <c r="BP1097" s="59"/>
      <c r="BQ1097" s="59"/>
      <c r="BR1097" s="59"/>
      <c r="BS1097" s="59"/>
      <c r="BT1097" s="59"/>
      <c r="BU1097" s="59"/>
      <c r="BV1097" s="59"/>
      <c r="BW1097" s="59"/>
      <c r="BX1097" s="59"/>
      <c r="BY1097" s="59"/>
      <c r="BZ1097" s="59"/>
      <c r="CA1097" s="59"/>
      <c r="CB1097" s="59"/>
    </row>
    <row r="1098" spans="1:80">
      <c r="A1098" s="74">
        <v>1097</v>
      </c>
      <c r="B1098" s="66" t="s">
        <v>67</v>
      </c>
      <c r="C1098" s="67" t="s">
        <v>303</v>
      </c>
      <c r="D1098" s="59" t="s">
        <v>120</v>
      </c>
      <c r="E1098" s="88"/>
      <c r="F1098" s="59"/>
      <c r="G1098" s="59"/>
      <c r="H1098" s="77" t="s">
        <v>71</v>
      </c>
      <c r="I1098" s="78">
        <v>16000</v>
      </c>
      <c r="J1098" s="59"/>
      <c r="K1098" s="85"/>
      <c r="L1098" s="86"/>
      <c r="M1098" s="87"/>
      <c r="N1098" s="59"/>
      <c r="O1098" s="59"/>
      <c r="P1098" s="59"/>
      <c r="Q1098" s="59"/>
      <c r="R1098" s="59"/>
      <c r="S1098" s="59"/>
      <c r="T1098" s="59"/>
      <c r="U1098" s="59"/>
      <c r="V1098" s="59"/>
      <c r="W1098" s="59"/>
      <c r="X1098" s="59"/>
      <c r="Y1098" s="59"/>
      <c r="Z1098" s="59"/>
      <c r="AA1098" s="59"/>
      <c r="AB1098" s="59"/>
      <c r="AC1098" s="59"/>
      <c r="AD1098" s="59"/>
      <c r="AE1098" s="59"/>
      <c r="AF1098" s="59"/>
      <c r="AG1098" s="59"/>
      <c r="AH1098" s="59"/>
      <c r="AI1098" s="59"/>
      <c r="AJ1098" s="59"/>
      <c r="AK1098" s="59"/>
      <c r="AL1098" s="59"/>
      <c r="AM1098" s="59"/>
      <c r="AN1098" s="59"/>
      <c r="AO1098" s="59"/>
      <c r="AP1098" s="59"/>
      <c r="AQ1098" s="59"/>
      <c r="AR1098" s="59"/>
      <c r="AS1098" s="59"/>
      <c r="AT1098" s="59"/>
      <c r="AU1098" s="59"/>
      <c r="AV1098" s="59"/>
      <c r="AW1098" s="59"/>
      <c r="AX1098" s="59"/>
      <c r="AY1098" s="59"/>
      <c r="AZ1098" s="59"/>
      <c r="BA1098" s="59"/>
      <c r="BB1098" s="59"/>
      <c r="BC1098" s="59"/>
      <c r="BD1098" s="59"/>
      <c r="BE1098" s="59"/>
      <c r="BF1098" s="59"/>
      <c r="BG1098" s="59"/>
      <c r="BH1098" s="59"/>
      <c r="BI1098" s="59"/>
      <c r="BJ1098" s="59"/>
      <c r="BK1098" s="59"/>
      <c r="BL1098" s="59"/>
      <c r="BM1098" s="59"/>
      <c r="BN1098" s="59"/>
      <c r="BO1098" s="59"/>
      <c r="BP1098" s="59"/>
      <c r="BQ1098" s="59"/>
      <c r="BR1098" s="59"/>
      <c r="BS1098" s="59"/>
      <c r="BT1098" s="59"/>
      <c r="BU1098" s="59"/>
      <c r="BV1098" s="59"/>
      <c r="BW1098" s="59"/>
      <c r="BX1098" s="59"/>
      <c r="BY1098" s="59"/>
      <c r="BZ1098" s="59"/>
      <c r="CA1098" s="59"/>
      <c r="CB1098" s="59"/>
    </row>
    <row r="1099" spans="1:80">
      <c r="A1099" s="74">
        <v>1098</v>
      </c>
      <c r="B1099" s="66" t="s">
        <v>67</v>
      </c>
      <c r="C1099" s="67" t="s">
        <v>303</v>
      </c>
      <c r="D1099" s="59" t="s">
        <v>121</v>
      </c>
      <c r="E1099" s="88"/>
      <c r="F1099" s="59"/>
      <c r="G1099" s="59"/>
      <c r="H1099" s="77" t="s">
        <v>76</v>
      </c>
      <c r="I1099" s="82">
        <v>12000</v>
      </c>
      <c r="J1099" s="59"/>
      <c r="K1099" s="85"/>
      <c r="L1099" s="86"/>
      <c r="M1099" s="99"/>
      <c r="N1099" s="59"/>
      <c r="O1099" s="59"/>
      <c r="P1099" s="59"/>
      <c r="Q1099" s="59"/>
      <c r="R1099" s="59"/>
      <c r="S1099" s="59"/>
      <c r="T1099" s="59"/>
      <c r="U1099" s="59"/>
      <c r="V1099" s="59"/>
      <c r="W1099" s="59"/>
      <c r="X1099" s="59"/>
      <c r="Y1099" s="59"/>
      <c r="Z1099" s="59"/>
      <c r="AA1099" s="59"/>
      <c r="AB1099" s="59"/>
      <c r="AC1099" s="59"/>
      <c r="AD1099" s="59"/>
      <c r="AE1099" s="59"/>
      <c r="AF1099" s="59"/>
      <c r="AG1099" s="59"/>
      <c r="AH1099" s="59"/>
      <c r="AI1099" s="59"/>
      <c r="AJ1099" s="59"/>
      <c r="AK1099" s="59"/>
      <c r="AL1099" s="59"/>
      <c r="AM1099" s="59"/>
      <c r="AN1099" s="59"/>
      <c r="AO1099" s="59"/>
      <c r="AP1099" s="59"/>
      <c r="AQ1099" s="59"/>
      <c r="AR1099" s="59"/>
      <c r="AS1099" s="59"/>
      <c r="AT1099" s="59"/>
      <c r="AU1099" s="59"/>
      <c r="AV1099" s="59"/>
      <c r="AW1099" s="59"/>
      <c r="AX1099" s="59"/>
      <c r="AY1099" s="59"/>
      <c r="AZ1099" s="59"/>
      <c r="BA1099" s="59"/>
      <c r="BB1099" s="59"/>
      <c r="BC1099" s="59"/>
      <c r="BD1099" s="59"/>
      <c r="BE1099" s="59"/>
      <c r="BF1099" s="59"/>
      <c r="BG1099" s="59"/>
      <c r="BH1099" s="59"/>
      <c r="BI1099" s="59"/>
      <c r="BJ1099" s="59"/>
      <c r="BK1099" s="59"/>
      <c r="BL1099" s="59"/>
      <c r="BM1099" s="59"/>
      <c r="BN1099" s="59"/>
      <c r="BO1099" s="59"/>
      <c r="BP1099" s="59"/>
      <c r="BQ1099" s="59"/>
      <c r="BR1099" s="59"/>
      <c r="BS1099" s="59"/>
      <c r="BT1099" s="59"/>
      <c r="BU1099" s="59"/>
      <c r="BV1099" s="59"/>
      <c r="BW1099" s="59"/>
      <c r="BX1099" s="59"/>
      <c r="BY1099" s="59"/>
      <c r="BZ1099" s="59"/>
      <c r="CA1099" s="59"/>
      <c r="CB1099" s="59"/>
    </row>
    <row r="1100" spans="1:80">
      <c r="A1100" s="74">
        <v>1099</v>
      </c>
      <c r="B1100" s="66" t="s">
        <v>67</v>
      </c>
      <c r="C1100" s="67" t="s">
        <v>303</v>
      </c>
      <c r="D1100" s="59" t="s">
        <v>122</v>
      </c>
      <c r="E1100" s="88"/>
      <c r="F1100" s="59"/>
      <c r="G1100" s="59"/>
      <c r="H1100" s="77" t="s">
        <v>76</v>
      </c>
      <c r="I1100" s="82">
        <v>12000</v>
      </c>
      <c r="J1100" s="59"/>
      <c r="K1100" s="85"/>
      <c r="L1100" s="86"/>
      <c r="M1100" s="87"/>
      <c r="N1100" s="59"/>
      <c r="O1100" s="59"/>
      <c r="P1100" s="59"/>
      <c r="Q1100" s="59"/>
      <c r="R1100" s="59"/>
      <c r="S1100" s="59"/>
      <c r="T1100" s="59"/>
      <c r="U1100" s="59"/>
      <c r="V1100" s="59"/>
      <c r="W1100" s="59"/>
      <c r="X1100" s="59"/>
      <c r="Y1100" s="59"/>
      <c r="Z1100" s="59"/>
      <c r="AA1100" s="59"/>
      <c r="AB1100" s="59"/>
      <c r="AC1100" s="59"/>
      <c r="AD1100" s="59"/>
      <c r="AE1100" s="59"/>
      <c r="AF1100" s="59"/>
      <c r="AG1100" s="59"/>
      <c r="AH1100" s="59"/>
      <c r="AI1100" s="59"/>
      <c r="AJ1100" s="59"/>
      <c r="AK1100" s="59"/>
      <c r="AL1100" s="59"/>
      <c r="AM1100" s="59"/>
      <c r="AN1100" s="59"/>
      <c r="AO1100" s="59"/>
      <c r="AP1100" s="59"/>
      <c r="AQ1100" s="59"/>
      <c r="AR1100" s="59"/>
      <c r="AS1100" s="59"/>
      <c r="AT1100" s="59"/>
      <c r="AU1100" s="59"/>
      <c r="AV1100" s="59"/>
      <c r="AW1100" s="59"/>
      <c r="AX1100" s="59"/>
      <c r="AY1100" s="59"/>
      <c r="AZ1100" s="59"/>
      <c r="BA1100" s="59"/>
      <c r="BB1100" s="59"/>
      <c r="BC1100" s="59"/>
      <c r="BD1100" s="59"/>
      <c r="BE1100" s="59"/>
      <c r="BF1100" s="59"/>
      <c r="BG1100" s="59"/>
      <c r="BH1100" s="59"/>
      <c r="BI1100" s="59"/>
      <c r="BJ1100" s="59"/>
      <c r="BK1100" s="59"/>
      <c r="BL1100" s="59"/>
      <c r="BM1100" s="59"/>
      <c r="BN1100" s="59"/>
      <c r="BO1100" s="59"/>
      <c r="BP1100" s="59"/>
      <c r="BQ1100" s="59"/>
      <c r="BR1100" s="59"/>
      <c r="BS1100" s="59"/>
      <c r="BT1100" s="59"/>
      <c r="BU1100" s="59"/>
      <c r="BV1100" s="59"/>
      <c r="BW1100" s="59"/>
      <c r="BX1100" s="59"/>
      <c r="BY1100" s="59"/>
      <c r="BZ1100" s="59"/>
      <c r="CA1100" s="59"/>
      <c r="CB1100" s="59"/>
    </row>
    <row r="1101" spans="1:80">
      <c r="A1101" s="74">
        <v>1100</v>
      </c>
      <c r="B1101" s="66" t="s">
        <v>67</v>
      </c>
      <c r="C1101" s="67" t="s">
        <v>303</v>
      </c>
      <c r="D1101" s="59" t="s">
        <v>123</v>
      </c>
      <c r="E1101" s="88"/>
      <c r="F1101" s="59"/>
      <c r="G1101" s="59"/>
      <c r="H1101" s="77" t="s">
        <v>76</v>
      </c>
      <c r="I1101" s="82">
        <v>12000</v>
      </c>
      <c r="J1101" s="59"/>
      <c r="K1101" s="85"/>
      <c r="L1101" s="86"/>
      <c r="M1101" s="87"/>
      <c r="N1101" s="59"/>
      <c r="O1101" s="59"/>
      <c r="P1101" s="59"/>
      <c r="Q1101" s="59"/>
      <c r="R1101" s="59"/>
      <c r="S1101" s="59"/>
      <c r="T1101" s="59"/>
      <c r="U1101" s="59"/>
      <c r="V1101" s="59"/>
      <c r="W1101" s="59"/>
      <c r="X1101" s="59"/>
      <c r="Y1101" s="59"/>
      <c r="Z1101" s="59"/>
      <c r="AA1101" s="59"/>
      <c r="AB1101" s="59"/>
      <c r="AC1101" s="59"/>
      <c r="AD1101" s="59"/>
      <c r="AE1101" s="59"/>
      <c r="AF1101" s="59"/>
      <c r="AG1101" s="59"/>
      <c r="AH1101" s="59"/>
      <c r="AI1101" s="59"/>
      <c r="AJ1101" s="59"/>
      <c r="AK1101" s="59"/>
      <c r="AL1101" s="59"/>
      <c r="AM1101" s="59"/>
      <c r="AN1101" s="59"/>
      <c r="AO1101" s="59"/>
      <c r="AP1101" s="59"/>
      <c r="AQ1101" s="59"/>
      <c r="AR1101" s="59"/>
      <c r="AS1101" s="59"/>
      <c r="AT1101" s="59"/>
      <c r="AU1101" s="59"/>
      <c r="AV1101" s="59"/>
      <c r="AW1101" s="59"/>
      <c r="AX1101" s="59"/>
      <c r="AY1101" s="59"/>
      <c r="AZ1101" s="59"/>
      <c r="BA1101" s="59"/>
      <c r="BB1101" s="59"/>
      <c r="BC1101" s="59"/>
      <c r="BD1101" s="59"/>
      <c r="BE1101" s="59"/>
      <c r="BF1101" s="59"/>
      <c r="BG1101" s="59"/>
      <c r="BH1101" s="59"/>
      <c r="BI1101" s="59"/>
      <c r="BJ1101" s="59"/>
      <c r="BK1101" s="59"/>
      <c r="BL1101" s="59"/>
      <c r="BM1101" s="59"/>
      <c r="BN1101" s="59"/>
      <c r="BO1101" s="59"/>
      <c r="BP1101" s="59"/>
      <c r="BQ1101" s="59"/>
      <c r="BR1101" s="59"/>
      <c r="BS1101" s="59"/>
      <c r="BT1101" s="59"/>
      <c r="BU1101" s="59"/>
      <c r="BV1101" s="59"/>
      <c r="BW1101" s="59"/>
      <c r="BX1101" s="59"/>
      <c r="BY1101" s="59"/>
      <c r="BZ1101" s="59"/>
      <c r="CA1101" s="59"/>
      <c r="CB1101" s="59"/>
    </row>
    <row r="1102" spans="1:80">
      <c r="A1102" s="74">
        <v>1101</v>
      </c>
      <c r="B1102" s="66" t="s">
        <v>67</v>
      </c>
      <c r="C1102" s="67" t="s">
        <v>303</v>
      </c>
      <c r="D1102" s="59" t="s">
        <v>124</v>
      </c>
      <c r="E1102" s="88"/>
      <c r="F1102" s="59"/>
      <c r="G1102" s="59"/>
      <c r="H1102" s="77" t="s">
        <v>76</v>
      </c>
      <c r="I1102" s="82">
        <v>12000</v>
      </c>
      <c r="J1102" s="59"/>
      <c r="K1102" s="85"/>
      <c r="L1102" s="86"/>
      <c r="M1102" s="87"/>
      <c r="N1102" s="59"/>
      <c r="O1102" s="59"/>
      <c r="P1102" s="59"/>
      <c r="Q1102" s="59"/>
      <c r="R1102" s="59"/>
      <c r="S1102" s="59"/>
      <c r="T1102" s="59"/>
      <c r="U1102" s="59"/>
      <c r="V1102" s="59"/>
      <c r="W1102" s="59"/>
      <c r="X1102" s="59"/>
      <c r="Y1102" s="59"/>
      <c r="Z1102" s="59"/>
      <c r="AA1102" s="59"/>
      <c r="AB1102" s="59"/>
      <c r="AC1102" s="59"/>
      <c r="AD1102" s="59"/>
      <c r="AE1102" s="59"/>
      <c r="AF1102" s="59"/>
      <c r="AG1102" s="59"/>
      <c r="AH1102" s="59"/>
      <c r="AI1102" s="59"/>
      <c r="AJ1102" s="59"/>
      <c r="AK1102" s="59"/>
      <c r="AL1102" s="59"/>
      <c r="AM1102" s="59"/>
      <c r="AN1102" s="59"/>
      <c r="AO1102" s="59"/>
      <c r="AP1102" s="59"/>
      <c r="AQ1102" s="59"/>
      <c r="AR1102" s="59"/>
      <c r="AS1102" s="59"/>
      <c r="AT1102" s="59"/>
      <c r="AU1102" s="59"/>
      <c r="AV1102" s="59"/>
      <c r="AW1102" s="59"/>
      <c r="AX1102" s="59"/>
      <c r="AY1102" s="59"/>
      <c r="AZ1102" s="59"/>
      <c r="BA1102" s="59"/>
      <c r="BB1102" s="59"/>
      <c r="BC1102" s="59"/>
      <c r="BD1102" s="59"/>
      <c r="BE1102" s="59"/>
      <c r="BF1102" s="59"/>
      <c r="BG1102" s="59"/>
      <c r="BH1102" s="59"/>
      <c r="BI1102" s="59"/>
      <c r="BJ1102" s="59"/>
      <c r="BK1102" s="59"/>
      <c r="BL1102" s="59"/>
      <c r="BM1102" s="59"/>
      <c r="BN1102" s="59"/>
      <c r="BO1102" s="59"/>
      <c r="BP1102" s="59"/>
      <c r="BQ1102" s="59"/>
      <c r="BR1102" s="59"/>
      <c r="BS1102" s="59"/>
      <c r="BT1102" s="59"/>
      <c r="BU1102" s="59"/>
      <c r="BV1102" s="59"/>
      <c r="BW1102" s="59"/>
      <c r="BX1102" s="59"/>
      <c r="BY1102" s="59"/>
      <c r="BZ1102" s="59"/>
      <c r="CA1102" s="59"/>
      <c r="CB1102" s="59"/>
    </row>
    <row r="1103" spans="1:80">
      <c r="A1103" s="74">
        <v>1102</v>
      </c>
      <c r="B1103" s="66" t="s">
        <v>67</v>
      </c>
      <c r="C1103" s="67" t="s">
        <v>303</v>
      </c>
      <c r="D1103" s="59" t="s">
        <v>125</v>
      </c>
      <c r="E1103" s="88"/>
      <c r="F1103" s="59"/>
      <c r="G1103" s="59"/>
      <c r="H1103" s="77" t="s">
        <v>76</v>
      </c>
      <c r="I1103" s="82">
        <v>12000</v>
      </c>
      <c r="J1103" s="59"/>
      <c r="K1103" s="85"/>
      <c r="L1103" s="86"/>
      <c r="M1103" s="87"/>
      <c r="N1103" s="59"/>
      <c r="O1103" s="59"/>
      <c r="P1103" s="59"/>
      <c r="Q1103" s="59"/>
      <c r="R1103" s="59"/>
      <c r="S1103" s="59"/>
      <c r="T1103" s="59"/>
      <c r="U1103" s="59"/>
      <c r="V1103" s="59"/>
      <c r="W1103" s="59"/>
      <c r="X1103" s="59"/>
      <c r="Y1103" s="59"/>
      <c r="Z1103" s="59"/>
      <c r="AA1103" s="59"/>
      <c r="AB1103" s="59"/>
      <c r="AC1103" s="59"/>
      <c r="AD1103" s="59"/>
      <c r="AE1103" s="59"/>
      <c r="AF1103" s="59"/>
      <c r="AG1103" s="59"/>
      <c r="AH1103" s="59"/>
      <c r="AI1103" s="59"/>
      <c r="AJ1103" s="59"/>
      <c r="AK1103" s="59"/>
      <c r="AL1103" s="59"/>
      <c r="AM1103" s="59"/>
      <c r="AN1103" s="59"/>
      <c r="AO1103" s="59"/>
      <c r="AP1103" s="59"/>
      <c r="AQ1103" s="59"/>
      <c r="AR1103" s="59"/>
      <c r="AS1103" s="59"/>
      <c r="AT1103" s="59"/>
      <c r="AU1103" s="59"/>
      <c r="AV1103" s="59"/>
      <c r="AW1103" s="59"/>
      <c r="AX1103" s="59"/>
      <c r="AY1103" s="59"/>
      <c r="AZ1103" s="59"/>
      <c r="BA1103" s="59"/>
      <c r="BB1103" s="59"/>
      <c r="BC1103" s="59"/>
      <c r="BD1103" s="59"/>
      <c r="BE1103" s="59"/>
      <c r="BF1103" s="59"/>
      <c r="BG1103" s="59"/>
      <c r="BH1103" s="59"/>
      <c r="BI1103" s="59"/>
      <c r="BJ1103" s="59"/>
      <c r="BK1103" s="59"/>
      <c r="BL1103" s="59"/>
      <c r="BM1103" s="59"/>
      <c r="BN1103" s="59"/>
      <c r="BO1103" s="59"/>
      <c r="BP1103" s="59"/>
      <c r="BQ1103" s="59"/>
      <c r="BR1103" s="59"/>
      <c r="BS1103" s="59"/>
      <c r="BT1103" s="59"/>
      <c r="BU1103" s="59"/>
      <c r="BV1103" s="59"/>
      <c r="BW1103" s="59"/>
      <c r="BX1103" s="59"/>
      <c r="BY1103" s="59"/>
      <c r="BZ1103" s="59"/>
      <c r="CA1103" s="59"/>
      <c r="CB1103" s="59"/>
    </row>
    <row r="1104" spans="1:80">
      <c r="A1104" s="74">
        <v>1103</v>
      </c>
      <c r="B1104" s="66" t="s">
        <v>67</v>
      </c>
      <c r="C1104" s="67" t="s">
        <v>303</v>
      </c>
      <c r="D1104" s="59" t="s">
        <v>126</v>
      </c>
      <c r="E1104" s="88"/>
      <c r="F1104" s="59"/>
      <c r="G1104" s="59"/>
      <c r="H1104" s="77" t="s">
        <v>76</v>
      </c>
      <c r="I1104" s="82">
        <v>12000</v>
      </c>
      <c r="J1104" s="59"/>
      <c r="K1104" s="85"/>
      <c r="L1104" s="86"/>
      <c r="M1104" s="87"/>
      <c r="N1104" s="59"/>
      <c r="O1104" s="59"/>
      <c r="P1104" s="59"/>
      <c r="Q1104" s="59"/>
      <c r="R1104" s="59"/>
      <c r="S1104" s="59"/>
      <c r="T1104" s="59"/>
      <c r="U1104" s="59"/>
      <c r="V1104" s="59"/>
      <c r="W1104" s="59"/>
      <c r="X1104" s="59"/>
      <c r="Y1104" s="59"/>
      <c r="Z1104" s="59"/>
      <c r="AA1104" s="59"/>
      <c r="AB1104" s="59"/>
      <c r="AC1104" s="59"/>
      <c r="AD1104" s="59"/>
      <c r="AE1104" s="59"/>
      <c r="AF1104" s="59"/>
      <c r="AG1104" s="59"/>
      <c r="AH1104" s="59"/>
      <c r="AI1104" s="59"/>
      <c r="AJ1104" s="59"/>
      <c r="AK1104" s="59"/>
      <c r="AL1104" s="59"/>
      <c r="AM1104" s="59"/>
      <c r="AN1104" s="59"/>
      <c r="AO1104" s="59"/>
      <c r="AP1104" s="59"/>
      <c r="AQ1104" s="59"/>
      <c r="AR1104" s="59"/>
      <c r="AS1104" s="59"/>
      <c r="AT1104" s="59"/>
      <c r="AU1104" s="59"/>
      <c r="AV1104" s="59"/>
      <c r="AW1104" s="59"/>
      <c r="AX1104" s="59"/>
      <c r="AY1104" s="59"/>
      <c r="AZ1104" s="59"/>
      <c r="BA1104" s="59"/>
      <c r="BB1104" s="59"/>
      <c r="BC1104" s="59"/>
      <c r="BD1104" s="59"/>
      <c r="BE1104" s="59"/>
      <c r="BF1104" s="59"/>
      <c r="BG1104" s="59"/>
      <c r="BH1104" s="59"/>
      <c r="BI1104" s="59"/>
      <c r="BJ1104" s="59"/>
      <c r="BK1104" s="59"/>
      <c r="BL1104" s="59"/>
      <c r="BM1104" s="59"/>
      <c r="BN1104" s="59"/>
      <c r="BO1104" s="59"/>
      <c r="BP1104" s="59"/>
      <c r="BQ1104" s="59"/>
      <c r="BR1104" s="59"/>
      <c r="BS1104" s="59"/>
      <c r="BT1104" s="59"/>
      <c r="BU1104" s="59"/>
      <c r="BV1104" s="59"/>
      <c r="BW1104" s="59"/>
      <c r="BX1104" s="59"/>
      <c r="BY1104" s="59"/>
      <c r="BZ1104" s="59"/>
      <c r="CA1104" s="59"/>
      <c r="CB1104" s="59"/>
    </row>
    <row r="1105" spans="1:80">
      <c r="A1105" s="74">
        <v>1104</v>
      </c>
      <c r="B1105" s="66" t="s">
        <v>67</v>
      </c>
      <c r="C1105" s="67" t="s">
        <v>303</v>
      </c>
      <c r="D1105" s="59" t="s">
        <v>127</v>
      </c>
      <c r="E1105" s="88"/>
      <c r="F1105" s="59"/>
      <c r="G1105" s="59"/>
      <c r="H1105" s="77" t="s">
        <v>76</v>
      </c>
      <c r="I1105" s="82">
        <v>12000</v>
      </c>
      <c r="J1105" s="59"/>
      <c r="K1105" s="85"/>
      <c r="L1105" s="86"/>
      <c r="M1105" s="87"/>
      <c r="N1105" s="59"/>
      <c r="O1105" s="59"/>
      <c r="P1105" s="59"/>
      <c r="Q1105" s="59"/>
      <c r="R1105" s="59"/>
      <c r="S1105" s="59"/>
      <c r="T1105" s="59"/>
      <c r="U1105" s="59"/>
      <c r="V1105" s="59"/>
      <c r="W1105" s="59"/>
      <c r="X1105" s="59"/>
      <c r="Y1105" s="59"/>
      <c r="Z1105" s="59"/>
      <c r="AA1105" s="59"/>
      <c r="AB1105" s="59"/>
      <c r="AC1105" s="59"/>
      <c r="AD1105" s="59"/>
      <c r="AE1105" s="59"/>
      <c r="AF1105" s="59"/>
      <c r="AG1105" s="59"/>
      <c r="AH1105" s="59"/>
      <c r="AI1105" s="59"/>
      <c r="AJ1105" s="59"/>
      <c r="AK1105" s="59"/>
      <c r="AL1105" s="59"/>
      <c r="AM1105" s="59"/>
      <c r="AN1105" s="59"/>
      <c r="AO1105" s="59"/>
      <c r="AP1105" s="59"/>
      <c r="AQ1105" s="59"/>
      <c r="AR1105" s="59"/>
      <c r="AS1105" s="59"/>
      <c r="AT1105" s="59"/>
      <c r="AU1105" s="59"/>
      <c r="AV1105" s="59"/>
      <c r="AW1105" s="59"/>
      <c r="AX1105" s="59"/>
      <c r="AY1105" s="59"/>
      <c r="AZ1105" s="59"/>
      <c r="BA1105" s="59"/>
      <c r="BB1105" s="59"/>
      <c r="BC1105" s="59"/>
      <c r="BD1105" s="59"/>
      <c r="BE1105" s="59"/>
      <c r="BF1105" s="59"/>
      <c r="BG1105" s="59"/>
      <c r="BH1105" s="59"/>
      <c r="BI1105" s="59"/>
      <c r="BJ1105" s="59"/>
      <c r="BK1105" s="59"/>
      <c r="BL1105" s="59"/>
      <c r="BM1105" s="59"/>
      <c r="BN1105" s="59"/>
      <c r="BO1105" s="59"/>
      <c r="BP1105" s="59"/>
      <c r="BQ1105" s="59"/>
      <c r="BR1105" s="59"/>
      <c r="BS1105" s="59"/>
      <c r="BT1105" s="59"/>
      <c r="BU1105" s="59"/>
      <c r="BV1105" s="59"/>
      <c r="BW1105" s="59"/>
      <c r="BX1105" s="59"/>
      <c r="BY1105" s="59"/>
      <c r="BZ1105" s="59"/>
      <c r="CA1105" s="59"/>
      <c r="CB1105" s="59"/>
    </row>
    <row r="1106" spans="1:80">
      <c r="A1106" s="74">
        <v>1105</v>
      </c>
      <c r="B1106" s="66" t="s">
        <v>67</v>
      </c>
      <c r="C1106" s="67" t="s">
        <v>303</v>
      </c>
      <c r="D1106" s="59" t="s">
        <v>128</v>
      </c>
      <c r="E1106" s="88"/>
      <c r="F1106" s="59"/>
      <c r="G1106" s="59"/>
      <c r="H1106" s="77" t="s">
        <v>76</v>
      </c>
      <c r="I1106" s="82">
        <v>12000</v>
      </c>
      <c r="J1106" s="59"/>
      <c r="K1106" s="85"/>
      <c r="L1106" s="86"/>
      <c r="M1106" s="87"/>
      <c r="N1106" s="59"/>
      <c r="O1106" s="59"/>
      <c r="P1106" s="59"/>
      <c r="Q1106" s="59"/>
      <c r="R1106" s="59"/>
      <c r="S1106" s="59"/>
      <c r="T1106" s="59"/>
      <c r="U1106" s="59"/>
      <c r="V1106" s="59"/>
      <c r="W1106" s="59"/>
      <c r="X1106" s="59"/>
      <c r="Y1106" s="59"/>
      <c r="Z1106" s="59"/>
      <c r="AA1106" s="59"/>
      <c r="AB1106" s="59"/>
      <c r="AC1106" s="59"/>
      <c r="AD1106" s="59"/>
      <c r="AE1106" s="59"/>
      <c r="AF1106" s="59"/>
      <c r="AG1106" s="59"/>
      <c r="AH1106" s="59"/>
      <c r="AI1106" s="59"/>
      <c r="AJ1106" s="59"/>
      <c r="AK1106" s="59"/>
      <c r="AL1106" s="59"/>
      <c r="AM1106" s="59"/>
      <c r="AN1106" s="59"/>
      <c r="AO1106" s="59"/>
      <c r="AP1106" s="59"/>
      <c r="AQ1106" s="59"/>
      <c r="AR1106" s="59"/>
      <c r="AS1106" s="59"/>
      <c r="AT1106" s="59"/>
      <c r="AU1106" s="59"/>
      <c r="AV1106" s="59"/>
      <c r="AW1106" s="59"/>
      <c r="AX1106" s="59"/>
      <c r="AY1106" s="59"/>
      <c r="AZ1106" s="59"/>
      <c r="BA1106" s="59"/>
      <c r="BB1106" s="59"/>
      <c r="BC1106" s="59"/>
      <c r="BD1106" s="59"/>
      <c r="BE1106" s="59"/>
      <c r="BF1106" s="59"/>
      <c r="BG1106" s="59"/>
      <c r="BH1106" s="59"/>
      <c r="BI1106" s="59"/>
      <c r="BJ1106" s="59"/>
      <c r="BK1106" s="59"/>
      <c r="BL1106" s="59"/>
      <c r="BM1106" s="59"/>
      <c r="BN1106" s="59"/>
      <c r="BO1106" s="59"/>
      <c r="BP1106" s="59"/>
      <c r="BQ1106" s="59"/>
      <c r="BR1106" s="59"/>
      <c r="BS1106" s="59"/>
      <c r="BT1106" s="59"/>
      <c r="BU1106" s="59"/>
      <c r="BV1106" s="59"/>
      <c r="BW1106" s="59"/>
      <c r="BX1106" s="59"/>
      <c r="BY1106" s="59"/>
      <c r="BZ1106" s="59"/>
      <c r="CA1106" s="59"/>
      <c r="CB1106" s="59"/>
    </row>
    <row r="1107" spans="1:80">
      <c r="A1107" s="74">
        <v>1106</v>
      </c>
      <c r="B1107" s="66" t="s">
        <v>67</v>
      </c>
      <c r="C1107" s="67" t="s">
        <v>303</v>
      </c>
      <c r="D1107" s="59" t="s">
        <v>129</v>
      </c>
      <c r="E1107" s="88"/>
      <c r="F1107" s="59"/>
      <c r="G1107" s="59"/>
      <c r="H1107" s="77" t="s">
        <v>76</v>
      </c>
      <c r="I1107" s="82">
        <v>12000</v>
      </c>
      <c r="J1107" s="59"/>
      <c r="K1107" s="85"/>
      <c r="L1107" s="86"/>
      <c r="M1107" s="87"/>
      <c r="N1107" s="59"/>
      <c r="O1107" s="59"/>
      <c r="P1107" s="59"/>
      <c r="Q1107" s="59"/>
      <c r="R1107" s="59"/>
      <c r="S1107" s="59"/>
      <c r="T1107" s="59"/>
      <c r="U1107" s="59"/>
      <c r="V1107" s="59"/>
      <c r="W1107" s="59"/>
      <c r="X1107" s="59"/>
      <c r="Y1107" s="59"/>
      <c r="Z1107" s="59"/>
      <c r="AA1107" s="59"/>
      <c r="AB1107" s="59"/>
      <c r="AC1107" s="59"/>
      <c r="AD1107" s="59"/>
      <c r="AE1107" s="59"/>
      <c r="AF1107" s="59"/>
      <c r="AG1107" s="59"/>
      <c r="AH1107" s="59"/>
      <c r="AI1107" s="59"/>
      <c r="AJ1107" s="59"/>
      <c r="AK1107" s="59"/>
      <c r="AL1107" s="59"/>
      <c r="AM1107" s="59"/>
      <c r="AN1107" s="59"/>
      <c r="AO1107" s="59"/>
      <c r="AP1107" s="59"/>
      <c r="AQ1107" s="59"/>
      <c r="AR1107" s="59"/>
      <c r="AS1107" s="59"/>
      <c r="AT1107" s="59"/>
      <c r="AU1107" s="59"/>
      <c r="AV1107" s="59"/>
      <c r="AW1107" s="59"/>
      <c r="AX1107" s="59"/>
      <c r="AY1107" s="59"/>
      <c r="AZ1107" s="59"/>
      <c r="BA1107" s="59"/>
      <c r="BB1107" s="59"/>
      <c r="BC1107" s="59"/>
      <c r="BD1107" s="59"/>
      <c r="BE1107" s="59"/>
      <c r="BF1107" s="59"/>
      <c r="BG1107" s="59"/>
      <c r="BH1107" s="59"/>
      <c r="BI1107" s="59"/>
      <c r="BJ1107" s="59"/>
      <c r="BK1107" s="59"/>
      <c r="BL1107" s="59"/>
      <c r="BM1107" s="59"/>
      <c r="BN1107" s="59"/>
      <c r="BO1107" s="59"/>
      <c r="BP1107" s="59"/>
      <c r="BQ1107" s="59"/>
      <c r="BR1107" s="59"/>
      <c r="BS1107" s="59"/>
      <c r="BT1107" s="59"/>
      <c r="BU1107" s="59"/>
      <c r="BV1107" s="59"/>
      <c r="BW1107" s="59"/>
      <c r="BX1107" s="59"/>
      <c r="BY1107" s="59"/>
      <c r="BZ1107" s="59"/>
      <c r="CA1107" s="59"/>
      <c r="CB1107" s="59"/>
    </row>
    <row r="1108" spans="1:80">
      <c r="A1108" s="74">
        <v>1107</v>
      </c>
      <c r="B1108" s="66" t="s">
        <v>67</v>
      </c>
      <c r="C1108" s="67" t="s">
        <v>303</v>
      </c>
      <c r="D1108" s="59" t="s">
        <v>130</v>
      </c>
      <c r="E1108" s="88"/>
      <c r="F1108" s="59"/>
      <c r="G1108" s="59"/>
      <c r="H1108" s="77" t="s">
        <v>76</v>
      </c>
      <c r="I1108" s="82">
        <v>12000</v>
      </c>
      <c r="J1108" s="59"/>
      <c r="K1108" s="85"/>
      <c r="L1108" s="86"/>
      <c r="M1108" s="87"/>
      <c r="N1108" s="59"/>
      <c r="O1108" s="59"/>
      <c r="P1108" s="59"/>
      <c r="Q1108" s="59"/>
      <c r="R1108" s="59"/>
      <c r="S1108" s="59"/>
      <c r="T1108" s="59"/>
      <c r="U1108" s="59"/>
      <c r="V1108" s="59"/>
      <c r="W1108" s="59"/>
      <c r="X1108" s="59"/>
      <c r="Y1108" s="59"/>
      <c r="Z1108" s="59"/>
      <c r="AA1108" s="59"/>
      <c r="AB1108" s="59"/>
      <c r="AC1108" s="59"/>
      <c r="AD1108" s="59"/>
      <c r="AE1108" s="59"/>
      <c r="AF1108" s="59"/>
      <c r="AG1108" s="59"/>
      <c r="AH1108" s="59"/>
      <c r="AI1108" s="59"/>
      <c r="AJ1108" s="59"/>
      <c r="AK1108" s="59"/>
      <c r="AL1108" s="59"/>
      <c r="AM1108" s="59"/>
      <c r="AN1108" s="59"/>
      <c r="AO1108" s="59"/>
      <c r="AP1108" s="59"/>
      <c r="AQ1108" s="59"/>
      <c r="AR1108" s="59"/>
      <c r="AS1108" s="59"/>
      <c r="AT1108" s="59"/>
      <c r="AU1108" s="59"/>
      <c r="AV1108" s="59"/>
      <c r="AW1108" s="59"/>
      <c r="AX1108" s="59"/>
      <c r="AY1108" s="59"/>
      <c r="AZ1108" s="59"/>
      <c r="BA1108" s="59"/>
      <c r="BB1108" s="59"/>
      <c r="BC1108" s="59"/>
      <c r="BD1108" s="59"/>
      <c r="BE1108" s="59"/>
      <c r="BF1108" s="59"/>
      <c r="BG1108" s="59"/>
      <c r="BH1108" s="59"/>
      <c r="BI1108" s="59"/>
      <c r="BJ1108" s="59"/>
      <c r="BK1108" s="59"/>
      <c r="BL1108" s="59"/>
      <c r="BM1108" s="59"/>
      <c r="BN1108" s="59"/>
      <c r="BO1108" s="59"/>
      <c r="BP1108" s="59"/>
      <c r="BQ1108" s="59"/>
      <c r="BR1108" s="59"/>
      <c r="BS1108" s="59"/>
      <c r="BT1108" s="59"/>
      <c r="BU1108" s="59"/>
      <c r="BV1108" s="59"/>
      <c r="BW1108" s="59"/>
      <c r="BX1108" s="59"/>
      <c r="BY1108" s="59"/>
      <c r="BZ1108" s="59"/>
      <c r="CA1108" s="59"/>
      <c r="CB1108" s="59"/>
    </row>
    <row r="1109" spans="1:80">
      <c r="A1109" s="74">
        <v>1108</v>
      </c>
      <c r="B1109" s="66" t="s">
        <v>67</v>
      </c>
      <c r="C1109" s="67" t="s">
        <v>303</v>
      </c>
      <c r="D1109" s="59" t="s">
        <v>131</v>
      </c>
      <c r="E1109" s="88"/>
      <c r="F1109" s="59"/>
      <c r="G1109" s="59"/>
      <c r="H1109" s="77" t="s">
        <v>76</v>
      </c>
      <c r="I1109" s="82">
        <v>12000</v>
      </c>
      <c r="J1109" s="59"/>
      <c r="K1109" s="85"/>
      <c r="L1109" s="86"/>
      <c r="M1109" s="87"/>
      <c r="N1109" s="59"/>
      <c r="O1109" s="59"/>
      <c r="P1109" s="59"/>
      <c r="Q1109" s="59"/>
      <c r="R1109" s="59"/>
      <c r="S1109" s="59"/>
      <c r="T1109" s="59"/>
      <c r="U1109" s="59"/>
      <c r="V1109" s="59"/>
      <c r="W1109" s="59"/>
      <c r="X1109" s="59"/>
      <c r="Y1109" s="59"/>
      <c r="Z1109" s="59"/>
      <c r="AA1109" s="59"/>
      <c r="AB1109" s="59"/>
      <c r="AC1109" s="59"/>
      <c r="AD1109" s="59"/>
      <c r="AE1109" s="59"/>
      <c r="AF1109" s="59"/>
      <c r="AG1109" s="59"/>
      <c r="AH1109" s="59"/>
      <c r="AI1109" s="59"/>
      <c r="AJ1109" s="59"/>
      <c r="AK1109" s="59"/>
      <c r="AL1109" s="59"/>
      <c r="AM1109" s="59"/>
      <c r="AN1109" s="59"/>
      <c r="AO1109" s="59"/>
      <c r="AP1109" s="59"/>
      <c r="AQ1109" s="59"/>
      <c r="AR1109" s="59"/>
      <c r="AS1109" s="59"/>
      <c r="AT1109" s="59"/>
      <c r="AU1109" s="59"/>
      <c r="AV1109" s="59"/>
      <c r="AW1109" s="59"/>
      <c r="AX1109" s="59"/>
      <c r="AY1109" s="59"/>
      <c r="AZ1109" s="59"/>
      <c r="BA1109" s="59"/>
      <c r="BB1109" s="59"/>
      <c r="BC1109" s="59"/>
      <c r="BD1109" s="59"/>
      <c r="BE1109" s="59"/>
      <c r="BF1109" s="59"/>
      <c r="BG1109" s="59"/>
      <c r="BH1109" s="59"/>
      <c r="BI1109" s="59"/>
      <c r="BJ1109" s="59"/>
      <c r="BK1109" s="59"/>
      <c r="BL1109" s="59"/>
      <c r="BM1109" s="59"/>
      <c r="BN1109" s="59"/>
      <c r="BO1109" s="59"/>
      <c r="BP1109" s="59"/>
      <c r="BQ1109" s="59"/>
      <c r="BR1109" s="59"/>
      <c r="BS1109" s="59"/>
      <c r="BT1109" s="59"/>
      <c r="BU1109" s="59"/>
      <c r="BV1109" s="59"/>
      <c r="BW1109" s="59"/>
      <c r="BX1109" s="59"/>
      <c r="BY1109" s="59"/>
      <c r="BZ1109" s="59"/>
      <c r="CA1109" s="59"/>
      <c r="CB1109" s="59"/>
    </row>
    <row r="1110" spans="1:80">
      <c r="A1110" s="74">
        <v>1109</v>
      </c>
      <c r="B1110" s="66" t="s">
        <v>67</v>
      </c>
      <c r="C1110" s="67" t="s">
        <v>303</v>
      </c>
      <c r="D1110" s="59" t="s">
        <v>132</v>
      </c>
      <c r="E1110" s="88"/>
      <c r="F1110" s="59"/>
      <c r="G1110" s="59"/>
      <c r="H1110" s="77" t="s">
        <v>76</v>
      </c>
      <c r="I1110" s="82">
        <v>12000</v>
      </c>
      <c r="J1110" s="59"/>
      <c r="K1110" s="85"/>
      <c r="L1110" s="86"/>
      <c r="M1110" s="87"/>
      <c r="N1110" s="59"/>
      <c r="O1110" s="59"/>
      <c r="P1110" s="59"/>
      <c r="Q1110" s="59"/>
      <c r="R1110" s="59"/>
      <c r="S1110" s="59"/>
      <c r="T1110" s="59"/>
      <c r="U1110" s="59"/>
      <c r="V1110" s="59"/>
      <c r="W1110" s="59"/>
      <c r="X1110" s="59"/>
      <c r="Y1110" s="59"/>
      <c r="Z1110" s="59"/>
      <c r="AA1110" s="59"/>
      <c r="AB1110" s="59"/>
      <c r="AC1110" s="59"/>
      <c r="AD1110" s="59"/>
      <c r="AE1110" s="59"/>
      <c r="AF1110" s="59"/>
      <c r="AG1110" s="59"/>
      <c r="AH1110" s="59"/>
      <c r="AI1110" s="59"/>
      <c r="AJ1110" s="59"/>
      <c r="AK1110" s="59"/>
      <c r="AL1110" s="59"/>
      <c r="AM1110" s="59"/>
      <c r="AN1110" s="59"/>
      <c r="AO1110" s="59"/>
      <c r="AP1110" s="59"/>
      <c r="AQ1110" s="59"/>
      <c r="AR1110" s="59"/>
      <c r="AS1110" s="59"/>
      <c r="AT1110" s="59"/>
      <c r="AU1110" s="59"/>
      <c r="AV1110" s="59"/>
      <c r="AW1110" s="59"/>
      <c r="AX1110" s="59"/>
      <c r="AY1110" s="59"/>
      <c r="AZ1110" s="59"/>
      <c r="BA1110" s="59"/>
      <c r="BB1110" s="59"/>
      <c r="BC1110" s="59"/>
      <c r="BD1110" s="59"/>
      <c r="BE1110" s="59"/>
      <c r="BF1110" s="59"/>
      <c r="BG1110" s="59"/>
      <c r="BH1110" s="59"/>
      <c r="BI1110" s="59"/>
      <c r="BJ1110" s="59"/>
      <c r="BK1110" s="59"/>
      <c r="BL1110" s="59"/>
      <c r="BM1110" s="59"/>
      <c r="BN1110" s="59"/>
      <c r="BO1110" s="59"/>
      <c r="BP1110" s="59"/>
      <c r="BQ1110" s="59"/>
      <c r="BR1110" s="59"/>
      <c r="BS1110" s="59"/>
      <c r="BT1110" s="59"/>
      <c r="BU1110" s="59"/>
      <c r="BV1110" s="59"/>
      <c r="BW1110" s="59"/>
      <c r="BX1110" s="59"/>
      <c r="BY1110" s="59"/>
      <c r="BZ1110" s="59"/>
      <c r="CA1110" s="59"/>
      <c r="CB1110" s="59"/>
    </row>
    <row r="1111" spans="1:80">
      <c r="A1111" s="74">
        <v>1110</v>
      </c>
      <c r="B1111" s="66" t="s">
        <v>67</v>
      </c>
      <c r="C1111" s="67" t="s">
        <v>303</v>
      </c>
      <c r="D1111" s="59" t="s">
        <v>133</v>
      </c>
      <c r="E1111" s="88"/>
      <c r="F1111" s="59"/>
      <c r="G1111" s="59"/>
      <c r="H1111" s="77" t="s">
        <v>76</v>
      </c>
      <c r="I1111" s="82">
        <v>12000</v>
      </c>
      <c r="J1111" s="59"/>
      <c r="K1111" s="85"/>
      <c r="L1111" s="86"/>
      <c r="M1111" s="87"/>
      <c r="N1111" s="59"/>
      <c r="O1111" s="59"/>
      <c r="P1111" s="59"/>
      <c r="Q1111" s="59"/>
      <c r="R1111" s="59"/>
      <c r="S1111" s="59"/>
      <c r="T1111" s="59"/>
      <c r="U1111" s="59"/>
      <c r="V1111" s="59"/>
      <c r="W1111" s="59"/>
      <c r="X1111" s="59"/>
      <c r="Y1111" s="59"/>
      <c r="Z1111" s="59"/>
      <c r="AA1111" s="59"/>
      <c r="AB1111" s="59"/>
      <c r="AC1111" s="59"/>
      <c r="AD1111" s="59"/>
      <c r="AE1111" s="59"/>
      <c r="AF1111" s="59"/>
      <c r="AG1111" s="59"/>
      <c r="AH1111" s="59"/>
      <c r="AI1111" s="59"/>
      <c r="AJ1111" s="59"/>
      <c r="AK1111" s="59"/>
      <c r="AL1111" s="59"/>
      <c r="AM1111" s="59"/>
      <c r="AN1111" s="59"/>
      <c r="AO1111" s="59"/>
      <c r="AP1111" s="59"/>
      <c r="AQ1111" s="59"/>
      <c r="AR1111" s="59"/>
      <c r="AS1111" s="59"/>
      <c r="AT1111" s="59"/>
      <c r="AU1111" s="59"/>
      <c r="AV1111" s="59"/>
      <c r="AW1111" s="59"/>
      <c r="AX1111" s="59"/>
      <c r="AY1111" s="59"/>
      <c r="AZ1111" s="59"/>
      <c r="BA1111" s="59"/>
      <c r="BB1111" s="59"/>
      <c r="BC1111" s="59"/>
      <c r="BD1111" s="59"/>
      <c r="BE1111" s="59"/>
      <c r="BF1111" s="59"/>
      <c r="BG1111" s="59"/>
      <c r="BH1111" s="59"/>
      <c r="BI1111" s="59"/>
      <c r="BJ1111" s="59"/>
      <c r="BK1111" s="59"/>
      <c r="BL1111" s="59"/>
      <c r="BM1111" s="59"/>
      <c r="BN1111" s="59"/>
      <c r="BO1111" s="59"/>
      <c r="BP1111" s="59"/>
      <c r="BQ1111" s="59"/>
      <c r="BR1111" s="59"/>
      <c r="BS1111" s="59"/>
      <c r="BT1111" s="59"/>
      <c r="BU1111" s="59"/>
      <c r="BV1111" s="59"/>
      <c r="BW1111" s="59"/>
      <c r="BX1111" s="59"/>
      <c r="BY1111" s="59"/>
      <c r="BZ1111" s="59"/>
      <c r="CA1111" s="59"/>
      <c r="CB1111" s="59"/>
    </row>
    <row r="1112" spans="1:80">
      <c r="A1112" s="74">
        <v>1111</v>
      </c>
      <c r="B1112" s="66" t="s">
        <v>67</v>
      </c>
      <c r="C1112" s="67" t="s">
        <v>303</v>
      </c>
      <c r="D1112" s="59" t="s">
        <v>134</v>
      </c>
      <c r="E1112" s="88"/>
      <c r="F1112" s="59"/>
      <c r="G1112" s="59"/>
      <c r="H1112" s="77" t="s">
        <v>76</v>
      </c>
      <c r="I1112" s="82">
        <v>12000</v>
      </c>
      <c r="J1112" s="59"/>
      <c r="K1112" s="85"/>
      <c r="L1112" s="86"/>
      <c r="M1112" s="87"/>
      <c r="N1112" s="59"/>
      <c r="O1112" s="59"/>
      <c r="P1112" s="59"/>
      <c r="Q1112" s="59"/>
      <c r="R1112" s="59"/>
      <c r="S1112" s="59"/>
      <c r="T1112" s="59"/>
      <c r="U1112" s="59"/>
      <c r="V1112" s="59"/>
      <c r="W1112" s="59"/>
      <c r="X1112" s="59"/>
      <c r="Y1112" s="59"/>
      <c r="Z1112" s="59"/>
      <c r="AA1112" s="59"/>
      <c r="AB1112" s="59"/>
      <c r="AC1112" s="59"/>
      <c r="AD1112" s="59"/>
      <c r="AE1112" s="59"/>
      <c r="AF1112" s="59"/>
      <c r="AG1112" s="59"/>
      <c r="AH1112" s="59"/>
      <c r="AI1112" s="59"/>
      <c r="AJ1112" s="59"/>
      <c r="AK1112" s="59"/>
      <c r="AL1112" s="59"/>
      <c r="AM1112" s="59"/>
      <c r="AN1112" s="59"/>
      <c r="AO1112" s="59"/>
      <c r="AP1112" s="59"/>
      <c r="AQ1112" s="59"/>
      <c r="AR1112" s="59"/>
      <c r="AS1112" s="59"/>
      <c r="AT1112" s="59"/>
      <c r="AU1112" s="59"/>
      <c r="AV1112" s="59"/>
      <c r="AW1112" s="59"/>
      <c r="AX1112" s="59"/>
      <c r="AY1112" s="59"/>
      <c r="AZ1112" s="59"/>
      <c r="BA1112" s="59"/>
      <c r="BB1112" s="59"/>
      <c r="BC1112" s="59"/>
      <c r="BD1112" s="59"/>
      <c r="BE1112" s="59"/>
      <c r="BF1112" s="59"/>
      <c r="BG1112" s="59"/>
      <c r="BH1112" s="59"/>
      <c r="BI1112" s="59"/>
      <c r="BJ1112" s="59"/>
      <c r="BK1112" s="59"/>
      <c r="BL1112" s="59"/>
      <c r="BM1112" s="59"/>
      <c r="BN1112" s="59"/>
      <c r="BO1112" s="59"/>
      <c r="BP1112" s="59"/>
      <c r="BQ1112" s="59"/>
      <c r="BR1112" s="59"/>
      <c r="BS1112" s="59"/>
      <c r="BT1112" s="59"/>
      <c r="BU1112" s="59"/>
      <c r="BV1112" s="59"/>
      <c r="BW1112" s="59"/>
      <c r="BX1112" s="59"/>
      <c r="BY1112" s="59"/>
      <c r="BZ1112" s="59"/>
      <c r="CA1112" s="59"/>
      <c r="CB1112" s="59"/>
    </row>
    <row r="1113" spans="1:80">
      <c r="A1113" s="74">
        <v>1112</v>
      </c>
      <c r="B1113" s="66" t="s">
        <v>67</v>
      </c>
      <c r="C1113" s="67" t="s">
        <v>303</v>
      </c>
      <c r="D1113" s="59" t="s">
        <v>135</v>
      </c>
      <c r="E1113" s="88"/>
      <c r="F1113" s="59"/>
      <c r="G1113" s="59"/>
      <c r="H1113" s="77" t="s">
        <v>76</v>
      </c>
      <c r="I1113" s="82">
        <v>12000</v>
      </c>
      <c r="J1113" s="59"/>
      <c r="K1113" s="85"/>
      <c r="L1113" s="86"/>
      <c r="M1113" s="87"/>
      <c r="N1113" s="59"/>
      <c r="O1113" s="59"/>
      <c r="P1113" s="59"/>
      <c r="Q1113" s="59"/>
      <c r="R1113" s="59"/>
      <c r="S1113" s="59"/>
      <c r="T1113" s="59"/>
      <c r="U1113" s="59"/>
      <c r="V1113" s="59"/>
      <c r="W1113" s="59"/>
      <c r="X1113" s="59"/>
      <c r="Y1113" s="59"/>
      <c r="Z1113" s="59"/>
      <c r="AA1113" s="59"/>
      <c r="AB1113" s="59"/>
      <c r="AC1113" s="59"/>
      <c r="AD1113" s="59"/>
      <c r="AE1113" s="59"/>
      <c r="AF1113" s="59"/>
      <c r="AG1113" s="59"/>
      <c r="AH1113" s="59"/>
      <c r="AI1113" s="59"/>
      <c r="AJ1113" s="59"/>
      <c r="AK1113" s="59"/>
      <c r="AL1113" s="59"/>
      <c r="AM1113" s="59"/>
      <c r="AN1113" s="59"/>
      <c r="AO1113" s="59"/>
      <c r="AP1113" s="59"/>
      <c r="AQ1113" s="59"/>
      <c r="AR1113" s="59"/>
      <c r="AS1113" s="59"/>
      <c r="AT1113" s="59"/>
      <c r="AU1113" s="59"/>
      <c r="AV1113" s="59"/>
      <c r="AW1113" s="59"/>
      <c r="AX1113" s="59"/>
      <c r="AY1113" s="59"/>
      <c r="AZ1113" s="59"/>
      <c r="BA1113" s="59"/>
      <c r="BB1113" s="59"/>
      <c r="BC1113" s="59"/>
      <c r="BD1113" s="59"/>
      <c r="BE1113" s="59"/>
      <c r="BF1113" s="59"/>
      <c r="BG1113" s="59"/>
      <c r="BH1113" s="59"/>
      <c r="BI1113" s="59"/>
      <c r="BJ1113" s="59"/>
      <c r="BK1113" s="59"/>
      <c r="BL1113" s="59"/>
      <c r="BM1113" s="59"/>
      <c r="BN1113" s="59"/>
      <c r="BO1113" s="59"/>
      <c r="BP1113" s="59"/>
      <c r="BQ1113" s="59"/>
      <c r="BR1113" s="59"/>
      <c r="BS1113" s="59"/>
      <c r="BT1113" s="59"/>
      <c r="BU1113" s="59"/>
      <c r="BV1113" s="59"/>
      <c r="BW1113" s="59"/>
      <c r="BX1113" s="59"/>
      <c r="BY1113" s="59"/>
      <c r="BZ1113" s="59"/>
      <c r="CA1113" s="59"/>
      <c r="CB1113" s="59"/>
    </row>
    <row r="1114" spans="1:80">
      <c r="A1114" s="74">
        <v>1113</v>
      </c>
      <c r="B1114" s="66" t="s">
        <v>67</v>
      </c>
      <c r="C1114" s="67" t="s">
        <v>303</v>
      </c>
      <c r="D1114" s="59" t="s">
        <v>136</v>
      </c>
      <c r="E1114" s="88"/>
      <c r="F1114" s="59"/>
      <c r="G1114" s="59"/>
      <c r="H1114" s="77" t="s">
        <v>76</v>
      </c>
      <c r="I1114" s="82">
        <v>12000</v>
      </c>
      <c r="J1114" s="59"/>
      <c r="K1114" s="85"/>
      <c r="L1114" s="86"/>
      <c r="M1114" s="87"/>
      <c r="N1114" s="59"/>
      <c r="O1114" s="59"/>
      <c r="P1114" s="59"/>
      <c r="Q1114" s="59"/>
      <c r="R1114" s="59"/>
      <c r="S1114" s="59"/>
      <c r="T1114" s="59"/>
      <c r="U1114" s="59"/>
      <c r="V1114" s="59"/>
      <c r="W1114" s="59"/>
      <c r="X1114" s="59"/>
      <c r="Y1114" s="59"/>
      <c r="Z1114" s="59"/>
      <c r="AA1114" s="59"/>
      <c r="AB1114" s="59"/>
      <c r="AC1114" s="59"/>
      <c r="AD1114" s="59"/>
      <c r="AE1114" s="59"/>
      <c r="AF1114" s="59"/>
      <c r="AG1114" s="59"/>
      <c r="AH1114" s="59"/>
      <c r="AI1114" s="59"/>
      <c r="AJ1114" s="59"/>
      <c r="AK1114" s="59"/>
      <c r="AL1114" s="59"/>
      <c r="AM1114" s="59"/>
      <c r="AN1114" s="59"/>
      <c r="AO1114" s="59"/>
      <c r="AP1114" s="59"/>
      <c r="AQ1114" s="59"/>
      <c r="AR1114" s="59"/>
      <c r="AS1114" s="59"/>
      <c r="AT1114" s="59"/>
      <c r="AU1114" s="59"/>
      <c r="AV1114" s="59"/>
      <c r="AW1114" s="59"/>
      <c r="AX1114" s="59"/>
      <c r="AY1114" s="59"/>
      <c r="AZ1114" s="59"/>
      <c r="BA1114" s="59"/>
      <c r="BB1114" s="59"/>
      <c r="BC1114" s="59"/>
      <c r="BD1114" s="59"/>
      <c r="BE1114" s="59"/>
      <c r="BF1114" s="59"/>
      <c r="BG1114" s="59"/>
      <c r="BH1114" s="59"/>
      <c r="BI1114" s="59"/>
      <c r="BJ1114" s="59"/>
      <c r="BK1114" s="59"/>
      <c r="BL1114" s="59"/>
      <c r="BM1114" s="59"/>
      <c r="BN1114" s="59"/>
      <c r="BO1114" s="59"/>
      <c r="BP1114" s="59"/>
      <c r="BQ1114" s="59"/>
      <c r="BR1114" s="59"/>
      <c r="BS1114" s="59"/>
      <c r="BT1114" s="59"/>
      <c r="BU1114" s="59"/>
      <c r="BV1114" s="59"/>
      <c r="BW1114" s="59"/>
      <c r="BX1114" s="59"/>
      <c r="BY1114" s="59"/>
      <c r="BZ1114" s="59"/>
      <c r="CA1114" s="59"/>
      <c r="CB1114" s="59"/>
    </row>
    <row r="1115" spans="1:80">
      <c r="A1115" s="74">
        <v>1114</v>
      </c>
      <c r="B1115" s="66" t="s">
        <v>67</v>
      </c>
      <c r="C1115" s="67" t="s">
        <v>303</v>
      </c>
      <c r="D1115" s="59" t="s">
        <v>137</v>
      </c>
      <c r="E1115" s="88"/>
      <c r="F1115" s="59"/>
      <c r="G1115" s="59"/>
      <c r="H1115" s="77" t="s">
        <v>76</v>
      </c>
      <c r="I1115" s="82">
        <v>12000</v>
      </c>
      <c r="J1115" s="59"/>
      <c r="K1115" s="85"/>
      <c r="L1115" s="86"/>
      <c r="M1115" s="87"/>
      <c r="N1115" s="59"/>
      <c r="O1115" s="59"/>
      <c r="P1115" s="59"/>
      <c r="Q1115" s="59"/>
      <c r="R1115" s="59"/>
      <c r="S1115" s="59"/>
      <c r="T1115" s="59"/>
      <c r="U1115" s="59"/>
      <c r="V1115" s="59"/>
      <c r="W1115" s="59"/>
      <c r="X1115" s="59"/>
      <c r="Y1115" s="59"/>
      <c r="Z1115" s="59"/>
      <c r="AA1115" s="59"/>
      <c r="AB1115" s="59"/>
      <c r="AC1115" s="59"/>
      <c r="AD1115" s="59"/>
      <c r="AE1115" s="59"/>
      <c r="AF1115" s="59"/>
      <c r="AG1115" s="59"/>
      <c r="AH1115" s="59"/>
      <c r="AI1115" s="59"/>
      <c r="AJ1115" s="59"/>
      <c r="AK1115" s="59"/>
      <c r="AL1115" s="59"/>
      <c r="AM1115" s="59"/>
      <c r="AN1115" s="59"/>
      <c r="AO1115" s="59"/>
      <c r="AP1115" s="59"/>
      <c r="AQ1115" s="59"/>
      <c r="AR1115" s="59"/>
      <c r="AS1115" s="59"/>
      <c r="AT1115" s="59"/>
      <c r="AU1115" s="59"/>
      <c r="AV1115" s="59"/>
      <c r="AW1115" s="59"/>
      <c r="AX1115" s="59"/>
      <c r="AY1115" s="59"/>
      <c r="AZ1115" s="59"/>
      <c r="BA1115" s="59"/>
      <c r="BB1115" s="59"/>
      <c r="BC1115" s="59"/>
      <c r="BD1115" s="59"/>
      <c r="BE1115" s="59"/>
      <c r="BF1115" s="59"/>
      <c r="BG1115" s="59"/>
      <c r="BH1115" s="59"/>
      <c r="BI1115" s="59"/>
      <c r="BJ1115" s="59"/>
      <c r="BK1115" s="59"/>
      <c r="BL1115" s="59"/>
      <c r="BM1115" s="59"/>
      <c r="BN1115" s="59"/>
      <c r="BO1115" s="59"/>
      <c r="BP1115" s="59"/>
      <c r="BQ1115" s="59"/>
      <c r="BR1115" s="59"/>
      <c r="BS1115" s="59"/>
      <c r="BT1115" s="59"/>
      <c r="BU1115" s="59"/>
      <c r="BV1115" s="59"/>
      <c r="BW1115" s="59"/>
      <c r="BX1115" s="59"/>
      <c r="BY1115" s="59"/>
      <c r="BZ1115" s="59"/>
      <c r="CA1115" s="59"/>
      <c r="CB1115" s="59"/>
    </row>
    <row r="1116" spans="1:80">
      <c r="A1116" s="74">
        <v>1115</v>
      </c>
      <c r="B1116" s="66" t="s">
        <v>67</v>
      </c>
      <c r="C1116" s="67" t="s">
        <v>303</v>
      </c>
      <c r="D1116" s="59" t="s">
        <v>138</v>
      </c>
      <c r="E1116" s="88"/>
      <c r="F1116" s="59"/>
      <c r="G1116" s="59"/>
      <c r="H1116" s="77" t="s">
        <v>76</v>
      </c>
      <c r="I1116" s="82">
        <v>12000</v>
      </c>
      <c r="J1116" s="59"/>
      <c r="K1116" s="85"/>
      <c r="L1116" s="86"/>
      <c r="M1116" s="87"/>
      <c r="N1116" s="59"/>
      <c r="O1116" s="59"/>
      <c r="P1116" s="59"/>
      <c r="Q1116" s="59"/>
      <c r="R1116" s="59"/>
      <c r="S1116" s="59"/>
      <c r="T1116" s="59"/>
      <c r="U1116" s="59"/>
      <c r="V1116" s="59"/>
      <c r="W1116" s="59"/>
      <c r="X1116" s="59"/>
      <c r="Y1116" s="59"/>
      <c r="Z1116" s="59"/>
      <c r="AA1116" s="59"/>
      <c r="AB1116" s="59"/>
      <c r="AC1116" s="59"/>
      <c r="AD1116" s="59"/>
      <c r="AE1116" s="59"/>
      <c r="AF1116" s="59"/>
      <c r="AG1116" s="59"/>
      <c r="AH1116" s="59"/>
      <c r="AI1116" s="59"/>
      <c r="AJ1116" s="59"/>
      <c r="AK1116" s="59"/>
      <c r="AL1116" s="59"/>
      <c r="AM1116" s="59"/>
      <c r="AN1116" s="59"/>
      <c r="AO1116" s="59"/>
      <c r="AP1116" s="59"/>
      <c r="AQ1116" s="59"/>
      <c r="AR1116" s="59"/>
      <c r="AS1116" s="59"/>
      <c r="AT1116" s="59"/>
      <c r="AU1116" s="59"/>
      <c r="AV1116" s="59"/>
      <c r="AW1116" s="59"/>
      <c r="AX1116" s="59"/>
      <c r="AY1116" s="59"/>
      <c r="AZ1116" s="59"/>
      <c r="BA1116" s="59"/>
      <c r="BB1116" s="59"/>
      <c r="BC1116" s="59"/>
      <c r="BD1116" s="59"/>
      <c r="BE1116" s="59"/>
      <c r="BF1116" s="59"/>
      <c r="BG1116" s="59"/>
      <c r="BH1116" s="59"/>
      <c r="BI1116" s="59"/>
      <c r="BJ1116" s="59"/>
      <c r="BK1116" s="59"/>
      <c r="BL1116" s="59"/>
      <c r="BM1116" s="59"/>
      <c r="BN1116" s="59"/>
      <c r="BO1116" s="59"/>
      <c r="BP1116" s="59"/>
      <c r="BQ1116" s="59"/>
      <c r="BR1116" s="59"/>
      <c r="BS1116" s="59"/>
      <c r="BT1116" s="59"/>
      <c r="BU1116" s="59"/>
      <c r="BV1116" s="59"/>
      <c r="BW1116" s="59"/>
      <c r="BX1116" s="59"/>
      <c r="BY1116" s="59"/>
      <c r="BZ1116" s="59"/>
      <c r="CA1116" s="59"/>
      <c r="CB1116" s="59"/>
    </row>
    <row r="1117" spans="1:80">
      <c r="A1117" s="74">
        <v>1116</v>
      </c>
      <c r="B1117" s="66" t="s">
        <v>67</v>
      </c>
      <c r="C1117" s="67" t="s">
        <v>303</v>
      </c>
      <c r="D1117" s="59" t="s">
        <v>139</v>
      </c>
      <c r="E1117" s="88"/>
      <c r="F1117" s="59"/>
      <c r="G1117" s="59"/>
      <c r="H1117" s="77" t="s">
        <v>76</v>
      </c>
      <c r="I1117" s="82">
        <v>12000</v>
      </c>
      <c r="J1117" s="59"/>
      <c r="K1117" s="85"/>
      <c r="L1117" s="86"/>
      <c r="M1117" s="87"/>
      <c r="N1117" s="59"/>
      <c r="O1117" s="59"/>
      <c r="P1117" s="59"/>
      <c r="Q1117" s="59"/>
      <c r="R1117" s="59"/>
      <c r="S1117" s="59"/>
      <c r="T1117" s="59"/>
      <c r="U1117" s="59"/>
      <c r="V1117" s="59"/>
      <c r="W1117" s="59"/>
      <c r="X1117" s="59"/>
      <c r="Y1117" s="59"/>
      <c r="Z1117" s="59"/>
      <c r="AA1117" s="59"/>
      <c r="AB1117" s="59"/>
      <c r="AC1117" s="59"/>
      <c r="AD1117" s="59"/>
      <c r="AE1117" s="59"/>
      <c r="AF1117" s="59"/>
      <c r="AG1117" s="59"/>
      <c r="AH1117" s="59"/>
      <c r="AI1117" s="59"/>
      <c r="AJ1117" s="59"/>
      <c r="AK1117" s="59"/>
      <c r="AL1117" s="59"/>
      <c r="AM1117" s="59"/>
      <c r="AN1117" s="59"/>
      <c r="AO1117" s="59"/>
      <c r="AP1117" s="59"/>
      <c r="AQ1117" s="59"/>
      <c r="AR1117" s="59"/>
      <c r="AS1117" s="59"/>
      <c r="AT1117" s="59"/>
      <c r="AU1117" s="59"/>
      <c r="AV1117" s="59"/>
      <c r="AW1117" s="59"/>
      <c r="AX1117" s="59"/>
      <c r="AY1117" s="59"/>
      <c r="AZ1117" s="59"/>
      <c r="BA1117" s="59"/>
      <c r="BB1117" s="59"/>
      <c r="BC1117" s="59"/>
      <c r="BD1117" s="59"/>
      <c r="BE1117" s="59"/>
      <c r="BF1117" s="59"/>
      <c r="BG1117" s="59"/>
      <c r="BH1117" s="59"/>
      <c r="BI1117" s="59"/>
      <c r="BJ1117" s="59"/>
      <c r="BK1117" s="59"/>
      <c r="BL1117" s="59"/>
      <c r="BM1117" s="59"/>
      <c r="BN1117" s="59"/>
      <c r="BO1117" s="59"/>
      <c r="BP1117" s="59"/>
      <c r="BQ1117" s="59"/>
      <c r="BR1117" s="59"/>
      <c r="BS1117" s="59"/>
      <c r="BT1117" s="59"/>
      <c r="BU1117" s="59"/>
      <c r="BV1117" s="59"/>
      <c r="BW1117" s="59"/>
      <c r="BX1117" s="59"/>
      <c r="BY1117" s="59"/>
      <c r="BZ1117" s="59"/>
      <c r="CA1117" s="59"/>
      <c r="CB1117" s="59"/>
    </row>
    <row r="1118" spans="1:80">
      <c r="A1118" s="74">
        <v>1117</v>
      </c>
      <c r="B1118" s="66" t="s">
        <v>67</v>
      </c>
      <c r="C1118" s="67" t="s">
        <v>303</v>
      </c>
      <c r="D1118" s="59" t="s">
        <v>140</v>
      </c>
      <c r="E1118" s="88"/>
      <c r="F1118" s="59"/>
      <c r="G1118" s="59"/>
      <c r="H1118" s="77" t="s">
        <v>76</v>
      </c>
      <c r="I1118" s="82">
        <v>12000</v>
      </c>
      <c r="J1118" s="59"/>
      <c r="K1118" s="85"/>
      <c r="L1118" s="86"/>
      <c r="M1118" s="98"/>
      <c r="N1118" s="59"/>
      <c r="O1118" s="59"/>
      <c r="P1118" s="59"/>
      <c r="Q1118" s="59"/>
      <c r="R1118" s="59"/>
      <c r="S1118" s="59"/>
      <c r="T1118" s="59"/>
      <c r="U1118" s="59"/>
      <c r="V1118" s="59"/>
      <c r="W1118" s="59"/>
      <c r="X1118" s="59"/>
      <c r="Y1118" s="59"/>
      <c r="Z1118" s="59"/>
      <c r="AA1118" s="59"/>
      <c r="AB1118" s="59"/>
      <c r="AC1118" s="59"/>
      <c r="AD1118" s="59"/>
      <c r="AE1118" s="59"/>
      <c r="AF1118" s="59"/>
      <c r="AG1118" s="59"/>
      <c r="AH1118" s="59"/>
      <c r="AI1118" s="59"/>
      <c r="AJ1118" s="59"/>
      <c r="AK1118" s="59"/>
      <c r="AL1118" s="59"/>
      <c r="AM1118" s="59"/>
      <c r="AN1118" s="59"/>
      <c r="AO1118" s="59"/>
      <c r="AP1118" s="59"/>
      <c r="AQ1118" s="59"/>
      <c r="AR1118" s="59"/>
      <c r="AS1118" s="59"/>
      <c r="AT1118" s="59"/>
      <c r="AU1118" s="59"/>
      <c r="AV1118" s="59"/>
      <c r="AW1118" s="59"/>
      <c r="AX1118" s="59"/>
      <c r="AY1118" s="59"/>
      <c r="AZ1118" s="59"/>
      <c r="BA1118" s="59"/>
      <c r="BB1118" s="59"/>
      <c r="BC1118" s="59"/>
      <c r="BD1118" s="59"/>
      <c r="BE1118" s="59"/>
      <c r="BF1118" s="59"/>
      <c r="BG1118" s="59"/>
      <c r="BH1118" s="59"/>
      <c r="BI1118" s="59"/>
      <c r="BJ1118" s="59"/>
      <c r="BK1118" s="59"/>
      <c r="BL1118" s="59"/>
      <c r="BM1118" s="59"/>
      <c r="BN1118" s="59"/>
      <c r="BO1118" s="59"/>
      <c r="BP1118" s="59"/>
      <c r="BQ1118" s="59"/>
      <c r="BR1118" s="59"/>
      <c r="BS1118" s="59"/>
      <c r="BT1118" s="59"/>
      <c r="BU1118" s="59"/>
      <c r="BV1118" s="59"/>
      <c r="BW1118" s="59"/>
      <c r="BX1118" s="59"/>
      <c r="BY1118" s="59"/>
      <c r="BZ1118" s="59"/>
      <c r="CA1118" s="59"/>
      <c r="CB1118" s="59"/>
    </row>
    <row r="1119" spans="1:80">
      <c r="A1119" s="74">
        <v>1118</v>
      </c>
      <c r="B1119" s="66" t="s">
        <v>67</v>
      </c>
      <c r="C1119" s="67" t="s">
        <v>303</v>
      </c>
      <c r="D1119" s="59" t="s">
        <v>141</v>
      </c>
      <c r="E1119" s="75" t="s">
        <v>70</v>
      </c>
      <c r="F1119" s="76">
        <v>46164.8822337963</v>
      </c>
      <c r="G1119" s="76">
        <v>46163.8824421296</v>
      </c>
      <c r="H1119" s="77" t="s">
        <v>71</v>
      </c>
      <c r="I1119" s="78">
        <v>16000</v>
      </c>
      <c r="J1119" s="79" t="s">
        <v>72</v>
      </c>
      <c r="K1119" s="80" t="s">
        <v>73</v>
      </c>
      <c r="L1119" s="76">
        <v>46152.7271643519</v>
      </c>
      <c r="M1119" s="76">
        <v>46153.6627546296</v>
      </c>
      <c r="N1119" s="81" t="s">
        <v>74</v>
      </c>
      <c r="O1119" s="76">
        <v>46156.9166898148</v>
      </c>
      <c r="P1119" s="76">
        <v>46155.9169097222</v>
      </c>
      <c r="Q1119" s="59"/>
      <c r="R1119" s="59"/>
      <c r="S1119" s="59"/>
      <c r="T1119" s="59"/>
      <c r="U1119" s="59"/>
      <c r="V1119" s="59"/>
      <c r="W1119" s="59"/>
      <c r="X1119" s="59"/>
      <c r="Y1119" s="59"/>
      <c r="Z1119" s="59"/>
      <c r="AA1119" s="59"/>
      <c r="AB1119" s="59"/>
      <c r="AC1119" s="59"/>
      <c r="AD1119" s="59"/>
      <c r="AE1119" s="59"/>
      <c r="AF1119" s="59"/>
      <c r="AG1119" s="59"/>
      <c r="AH1119" s="59"/>
      <c r="AI1119" s="59"/>
      <c r="AJ1119" s="59"/>
      <c r="AK1119" s="59"/>
      <c r="AL1119" s="59"/>
      <c r="AM1119" s="59"/>
      <c r="AN1119" s="59"/>
      <c r="AO1119" s="59"/>
      <c r="AP1119" s="59"/>
      <c r="AQ1119" s="59"/>
      <c r="AR1119" s="59"/>
      <c r="AS1119" s="59"/>
      <c r="AT1119" s="59"/>
      <c r="AU1119" s="59"/>
      <c r="AV1119" s="59"/>
      <c r="AW1119" s="59"/>
      <c r="AX1119" s="59"/>
      <c r="AY1119" s="59"/>
      <c r="AZ1119" s="59"/>
      <c r="BA1119" s="59"/>
      <c r="BB1119" s="59"/>
      <c r="BC1119" s="59"/>
      <c r="BD1119" s="59"/>
      <c r="BE1119" s="59"/>
      <c r="BF1119" s="59"/>
      <c r="BG1119" s="59"/>
      <c r="BH1119" s="59"/>
      <c r="BI1119" s="59"/>
      <c r="BJ1119" s="59"/>
      <c r="BK1119" s="59"/>
      <c r="BL1119" s="59"/>
      <c r="BM1119" s="59"/>
      <c r="BN1119" s="59"/>
      <c r="BO1119" s="59"/>
      <c r="BP1119" s="59"/>
      <c r="BQ1119" s="59"/>
      <c r="BR1119" s="59"/>
      <c r="BS1119" s="59"/>
      <c r="BT1119" s="59"/>
      <c r="BU1119" s="59"/>
      <c r="BV1119" s="59"/>
      <c r="BW1119" s="59"/>
      <c r="BX1119" s="59"/>
      <c r="BY1119" s="59"/>
      <c r="BZ1119" s="59"/>
      <c r="CA1119" s="59"/>
      <c r="CB1119" s="59"/>
    </row>
    <row r="1120" spans="1:80">
      <c r="A1120" s="74">
        <v>1119</v>
      </c>
      <c r="B1120" s="66" t="s">
        <v>67</v>
      </c>
      <c r="C1120" s="67" t="s">
        <v>303</v>
      </c>
      <c r="D1120" s="59" t="s">
        <v>142</v>
      </c>
      <c r="E1120" s="88"/>
      <c r="F1120" s="59"/>
      <c r="G1120" s="59"/>
      <c r="H1120" s="77" t="s">
        <v>76</v>
      </c>
      <c r="I1120" s="82">
        <v>12000</v>
      </c>
      <c r="J1120" s="59"/>
      <c r="K1120" s="85"/>
      <c r="L1120" s="86"/>
      <c r="M1120" s="99"/>
      <c r="N1120" s="59"/>
      <c r="O1120" s="59"/>
      <c r="P1120" s="59"/>
      <c r="Q1120" s="59"/>
      <c r="R1120" s="59"/>
      <c r="S1120" s="59"/>
      <c r="T1120" s="59"/>
      <c r="U1120" s="59"/>
      <c r="V1120" s="59"/>
      <c r="W1120" s="59"/>
      <c r="X1120" s="59"/>
      <c r="Y1120" s="59"/>
      <c r="Z1120" s="59"/>
      <c r="AA1120" s="59"/>
      <c r="AB1120" s="59"/>
      <c r="AC1120" s="59"/>
      <c r="AD1120" s="59"/>
      <c r="AE1120" s="59"/>
      <c r="AF1120" s="59"/>
      <c r="AG1120" s="59"/>
      <c r="AH1120" s="59"/>
      <c r="AI1120" s="59"/>
      <c r="AJ1120" s="59"/>
      <c r="AK1120" s="59"/>
      <c r="AL1120" s="59"/>
      <c r="AM1120" s="59"/>
      <c r="AN1120" s="59"/>
      <c r="AO1120" s="59"/>
      <c r="AP1120" s="59"/>
      <c r="AQ1120" s="59"/>
      <c r="AR1120" s="59"/>
      <c r="AS1120" s="59"/>
      <c r="AT1120" s="59"/>
      <c r="AU1120" s="59"/>
      <c r="AV1120" s="59"/>
      <c r="AW1120" s="59"/>
      <c r="AX1120" s="59"/>
      <c r="AY1120" s="59"/>
      <c r="AZ1120" s="59"/>
      <c r="BA1120" s="59"/>
      <c r="BB1120" s="59"/>
      <c r="BC1120" s="59"/>
      <c r="BD1120" s="59"/>
      <c r="BE1120" s="59"/>
      <c r="BF1120" s="59"/>
      <c r="BG1120" s="59"/>
      <c r="BH1120" s="59"/>
      <c r="BI1120" s="59"/>
      <c r="BJ1120" s="59"/>
      <c r="BK1120" s="59"/>
      <c r="BL1120" s="59"/>
      <c r="BM1120" s="59"/>
      <c r="BN1120" s="59"/>
      <c r="BO1120" s="59"/>
      <c r="BP1120" s="59"/>
      <c r="BQ1120" s="59"/>
      <c r="BR1120" s="59"/>
      <c r="BS1120" s="59"/>
      <c r="BT1120" s="59"/>
      <c r="BU1120" s="59"/>
      <c r="BV1120" s="59"/>
      <c r="BW1120" s="59"/>
      <c r="BX1120" s="59"/>
      <c r="BY1120" s="59"/>
      <c r="BZ1120" s="59"/>
      <c r="CA1120" s="59"/>
      <c r="CB1120" s="59"/>
    </row>
    <row r="1121" spans="1:80">
      <c r="A1121" s="74">
        <v>1120</v>
      </c>
      <c r="B1121" s="66" t="s">
        <v>67</v>
      </c>
      <c r="C1121" s="67" t="s">
        <v>303</v>
      </c>
      <c r="D1121" s="59" t="s">
        <v>143</v>
      </c>
      <c r="E1121" s="88"/>
      <c r="F1121" s="59"/>
      <c r="G1121" s="59"/>
      <c r="H1121" s="77" t="s">
        <v>76</v>
      </c>
      <c r="I1121" s="82">
        <v>12000</v>
      </c>
      <c r="J1121" s="59"/>
      <c r="K1121" s="85"/>
      <c r="L1121" s="86"/>
      <c r="M1121" s="87"/>
      <c r="N1121" s="59"/>
      <c r="O1121" s="59"/>
      <c r="P1121" s="59"/>
      <c r="Q1121" s="59"/>
      <c r="R1121" s="59"/>
      <c r="S1121" s="59"/>
      <c r="T1121" s="59"/>
      <c r="U1121" s="59"/>
      <c r="V1121" s="59"/>
      <c r="W1121" s="59"/>
      <c r="X1121" s="59"/>
      <c r="Y1121" s="59"/>
      <c r="Z1121" s="59"/>
      <c r="AA1121" s="59"/>
      <c r="AB1121" s="59"/>
      <c r="AC1121" s="59"/>
      <c r="AD1121" s="59"/>
      <c r="AE1121" s="59"/>
      <c r="AF1121" s="59"/>
      <c r="AG1121" s="59"/>
      <c r="AH1121" s="59"/>
      <c r="AI1121" s="59"/>
      <c r="AJ1121" s="59"/>
      <c r="AK1121" s="59"/>
      <c r="AL1121" s="59"/>
      <c r="AM1121" s="59"/>
      <c r="AN1121" s="59"/>
      <c r="AO1121" s="59"/>
      <c r="AP1121" s="59"/>
      <c r="AQ1121" s="59"/>
      <c r="AR1121" s="59"/>
      <c r="AS1121" s="59"/>
      <c r="AT1121" s="59"/>
      <c r="AU1121" s="59"/>
      <c r="AV1121" s="59"/>
      <c r="AW1121" s="59"/>
      <c r="AX1121" s="59"/>
      <c r="AY1121" s="59"/>
      <c r="AZ1121" s="59"/>
      <c r="BA1121" s="59"/>
      <c r="BB1121" s="59"/>
      <c r="BC1121" s="59"/>
      <c r="BD1121" s="59"/>
      <c r="BE1121" s="59"/>
      <c r="BF1121" s="59"/>
      <c r="BG1121" s="59"/>
      <c r="BH1121" s="59"/>
      <c r="BI1121" s="59"/>
      <c r="BJ1121" s="59"/>
      <c r="BK1121" s="59"/>
      <c r="BL1121" s="59"/>
      <c r="BM1121" s="59"/>
      <c r="BN1121" s="59"/>
      <c r="BO1121" s="59"/>
      <c r="BP1121" s="59"/>
      <c r="BQ1121" s="59"/>
      <c r="BR1121" s="59"/>
      <c r="BS1121" s="59"/>
      <c r="BT1121" s="59"/>
      <c r="BU1121" s="59"/>
      <c r="BV1121" s="59"/>
      <c r="BW1121" s="59"/>
      <c r="BX1121" s="59"/>
      <c r="BY1121" s="59"/>
      <c r="BZ1121" s="59"/>
      <c r="CA1121" s="59"/>
      <c r="CB1121" s="59"/>
    </row>
    <row r="1122" spans="1:80">
      <c r="A1122" s="74">
        <v>1121</v>
      </c>
      <c r="B1122" s="66" t="s">
        <v>67</v>
      </c>
      <c r="C1122" s="67" t="s">
        <v>303</v>
      </c>
      <c r="D1122" s="59" t="s">
        <v>144</v>
      </c>
      <c r="E1122" s="88"/>
      <c r="F1122" s="59"/>
      <c r="G1122" s="59"/>
      <c r="H1122" s="77" t="s">
        <v>76</v>
      </c>
      <c r="I1122" s="82">
        <v>12000</v>
      </c>
      <c r="J1122" s="59"/>
      <c r="K1122" s="85"/>
      <c r="L1122" s="86"/>
      <c r="M1122" s="87"/>
      <c r="N1122" s="59"/>
      <c r="O1122" s="59"/>
      <c r="P1122" s="59"/>
      <c r="Q1122" s="59"/>
      <c r="R1122" s="59"/>
      <c r="S1122" s="59"/>
      <c r="T1122" s="59"/>
      <c r="U1122" s="59"/>
      <c r="V1122" s="59"/>
      <c r="W1122" s="59"/>
      <c r="X1122" s="59"/>
      <c r="Y1122" s="59"/>
      <c r="Z1122" s="59"/>
      <c r="AA1122" s="59"/>
      <c r="AB1122" s="59"/>
      <c r="AC1122" s="59"/>
      <c r="AD1122" s="59"/>
      <c r="AE1122" s="59"/>
      <c r="AF1122" s="59"/>
      <c r="AG1122" s="59"/>
      <c r="AH1122" s="59"/>
      <c r="AI1122" s="59"/>
      <c r="AJ1122" s="59"/>
      <c r="AK1122" s="59"/>
      <c r="AL1122" s="59"/>
      <c r="AM1122" s="59"/>
      <c r="AN1122" s="59"/>
      <c r="AO1122" s="59"/>
      <c r="AP1122" s="59"/>
      <c r="AQ1122" s="59"/>
      <c r="AR1122" s="59"/>
      <c r="AS1122" s="59"/>
      <c r="AT1122" s="59"/>
      <c r="AU1122" s="59"/>
      <c r="AV1122" s="59"/>
      <c r="AW1122" s="59"/>
      <c r="AX1122" s="59"/>
      <c r="AY1122" s="59"/>
      <c r="AZ1122" s="59"/>
      <c r="BA1122" s="59"/>
      <c r="BB1122" s="59"/>
      <c r="BC1122" s="59"/>
      <c r="BD1122" s="59"/>
      <c r="BE1122" s="59"/>
      <c r="BF1122" s="59"/>
      <c r="BG1122" s="59"/>
      <c r="BH1122" s="59"/>
      <c r="BI1122" s="59"/>
      <c r="BJ1122" s="59"/>
      <c r="BK1122" s="59"/>
      <c r="BL1122" s="59"/>
      <c r="BM1122" s="59"/>
      <c r="BN1122" s="59"/>
      <c r="BO1122" s="59"/>
      <c r="BP1122" s="59"/>
      <c r="BQ1122" s="59"/>
      <c r="BR1122" s="59"/>
      <c r="BS1122" s="59"/>
      <c r="BT1122" s="59"/>
      <c r="BU1122" s="59"/>
      <c r="BV1122" s="59"/>
      <c r="BW1122" s="59"/>
      <c r="BX1122" s="59"/>
      <c r="BY1122" s="59"/>
      <c r="BZ1122" s="59"/>
      <c r="CA1122" s="59"/>
      <c r="CB1122" s="59"/>
    </row>
    <row r="1123" spans="1:80">
      <c r="A1123" s="74">
        <v>1122</v>
      </c>
      <c r="B1123" s="66" t="s">
        <v>67</v>
      </c>
      <c r="C1123" s="67" t="s">
        <v>303</v>
      </c>
      <c r="D1123" s="59" t="s">
        <v>145</v>
      </c>
      <c r="E1123" s="88"/>
      <c r="F1123" s="59"/>
      <c r="G1123" s="59"/>
      <c r="H1123" s="77" t="s">
        <v>76</v>
      </c>
      <c r="I1123" s="82">
        <v>12000</v>
      </c>
      <c r="J1123" s="59"/>
      <c r="K1123" s="85"/>
      <c r="L1123" s="86"/>
      <c r="M1123" s="87"/>
      <c r="N1123" s="59"/>
      <c r="O1123" s="59"/>
      <c r="P1123" s="59"/>
      <c r="Q1123" s="59"/>
      <c r="R1123" s="59"/>
      <c r="S1123" s="59"/>
      <c r="T1123" s="59"/>
      <c r="U1123" s="59"/>
      <c r="V1123" s="59"/>
      <c r="W1123" s="59"/>
      <c r="X1123" s="59"/>
      <c r="Y1123" s="59"/>
      <c r="Z1123" s="59"/>
      <c r="AA1123" s="59"/>
      <c r="AB1123" s="59"/>
      <c r="AC1123" s="59"/>
      <c r="AD1123" s="59"/>
      <c r="AE1123" s="59"/>
      <c r="AF1123" s="59"/>
      <c r="AG1123" s="59"/>
      <c r="AH1123" s="59"/>
      <c r="AI1123" s="59"/>
      <c r="AJ1123" s="59"/>
      <c r="AK1123" s="59"/>
      <c r="AL1123" s="59"/>
      <c r="AM1123" s="59"/>
      <c r="AN1123" s="59"/>
      <c r="AO1123" s="59"/>
      <c r="AP1123" s="59"/>
      <c r="AQ1123" s="59"/>
      <c r="AR1123" s="59"/>
      <c r="AS1123" s="59"/>
      <c r="AT1123" s="59"/>
      <c r="AU1123" s="59"/>
      <c r="AV1123" s="59"/>
      <c r="AW1123" s="59"/>
      <c r="AX1123" s="59"/>
      <c r="AY1123" s="59"/>
      <c r="AZ1123" s="59"/>
      <c r="BA1123" s="59"/>
      <c r="BB1123" s="59"/>
      <c r="BC1123" s="59"/>
      <c r="BD1123" s="59"/>
      <c r="BE1123" s="59"/>
      <c r="BF1123" s="59"/>
      <c r="BG1123" s="59"/>
      <c r="BH1123" s="59"/>
      <c r="BI1123" s="59"/>
      <c r="BJ1123" s="59"/>
      <c r="BK1123" s="59"/>
      <c r="BL1123" s="59"/>
      <c r="BM1123" s="59"/>
      <c r="BN1123" s="59"/>
      <c r="BO1123" s="59"/>
      <c r="BP1123" s="59"/>
      <c r="BQ1123" s="59"/>
      <c r="BR1123" s="59"/>
      <c r="BS1123" s="59"/>
      <c r="BT1123" s="59"/>
      <c r="BU1123" s="59"/>
      <c r="BV1123" s="59"/>
      <c r="BW1123" s="59"/>
      <c r="BX1123" s="59"/>
      <c r="BY1123" s="59"/>
      <c r="BZ1123" s="59"/>
      <c r="CA1123" s="59"/>
      <c r="CB1123" s="59"/>
    </row>
    <row r="1124" spans="1:80">
      <c r="A1124" s="74">
        <v>1123</v>
      </c>
      <c r="B1124" s="66" t="s">
        <v>67</v>
      </c>
      <c r="C1124" s="67" t="s">
        <v>303</v>
      </c>
      <c r="D1124" s="59" t="s">
        <v>146</v>
      </c>
      <c r="E1124" s="88"/>
      <c r="F1124" s="59"/>
      <c r="G1124" s="59"/>
      <c r="H1124" s="77" t="s">
        <v>76</v>
      </c>
      <c r="I1124" s="82">
        <v>12000</v>
      </c>
      <c r="J1124" s="59"/>
      <c r="K1124" s="85"/>
      <c r="L1124" s="86"/>
      <c r="M1124" s="87"/>
      <c r="N1124" s="59"/>
      <c r="O1124" s="59"/>
      <c r="P1124" s="59"/>
      <c r="Q1124" s="59"/>
      <c r="R1124" s="59"/>
      <c r="S1124" s="59"/>
      <c r="T1124" s="59"/>
      <c r="U1124" s="59"/>
      <c r="V1124" s="59"/>
      <c r="W1124" s="59"/>
      <c r="X1124" s="59"/>
      <c r="Y1124" s="59"/>
      <c r="Z1124" s="59"/>
      <c r="AA1124" s="59"/>
      <c r="AB1124" s="59"/>
      <c r="AC1124" s="59"/>
      <c r="AD1124" s="59"/>
      <c r="AE1124" s="59"/>
      <c r="AF1124" s="59"/>
      <c r="AG1124" s="59"/>
      <c r="AH1124" s="59"/>
      <c r="AI1124" s="59"/>
      <c r="AJ1124" s="59"/>
      <c r="AK1124" s="59"/>
      <c r="AL1124" s="59"/>
      <c r="AM1124" s="59"/>
      <c r="AN1124" s="59"/>
      <c r="AO1124" s="59"/>
      <c r="AP1124" s="59"/>
      <c r="AQ1124" s="59"/>
      <c r="AR1124" s="59"/>
      <c r="AS1124" s="59"/>
      <c r="AT1124" s="59"/>
      <c r="AU1124" s="59"/>
      <c r="AV1124" s="59"/>
      <c r="AW1124" s="59"/>
      <c r="AX1124" s="59"/>
      <c r="AY1124" s="59"/>
      <c r="AZ1124" s="59"/>
      <c r="BA1124" s="59"/>
      <c r="BB1124" s="59"/>
      <c r="BC1124" s="59"/>
      <c r="BD1124" s="59"/>
      <c r="BE1124" s="59"/>
      <c r="BF1124" s="59"/>
      <c r="BG1124" s="59"/>
      <c r="BH1124" s="59"/>
      <c r="BI1124" s="59"/>
      <c r="BJ1124" s="59"/>
      <c r="BK1124" s="59"/>
      <c r="BL1124" s="59"/>
      <c r="BM1124" s="59"/>
      <c r="BN1124" s="59"/>
      <c r="BO1124" s="59"/>
      <c r="BP1124" s="59"/>
      <c r="BQ1124" s="59"/>
      <c r="BR1124" s="59"/>
      <c r="BS1124" s="59"/>
      <c r="BT1124" s="59"/>
      <c r="BU1124" s="59"/>
      <c r="BV1124" s="59"/>
      <c r="BW1124" s="59"/>
      <c r="BX1124" s="59"/>
      <c r="BY1124" s="59"/>
      <c r="BZ1124" s="59"/>
      <c r="CA1124" s="59"/>
      <c r="CB1124" s="59"/>
    </row>
    <row r="1125" spans="1:80">
      <c r="A1125" s="74">
        <v>1124</v>
      </c>
      <c r="B1125" s="66" t="s">
        <v>67</v>
      </c>
      <c r="C1125" s="67" t="s">
        <v>303</v>
      </c>
      <c r="D1125" s="59" t="s">
        <v>147</v>
      </c>
      <c r="E1125" s="88"/>
      <c r="F1125" s="59"/>
      <c r="G1125" s="59"/>
      <c r="H1125" s="77" t="s">
        <v>76</v>
      </c>
      <c r="I1125" s="82">
        <v>12000</v>
      </c>
      <c r="J1125" s="59"/>
      <c r="K1125" s="85"/>
      <c r="L1125" s="86"/>
      <c r="M1125" s="87"/>
      <c r="N1125" s="59"/>
      <c r="O1125" s="59"/>
      <c r="P1125" s="59"/>
      <c r="Q1125" s="59"/>
      <c r="R1125" s="59"/>
      <c r="S1125" s="59"/>
      <c r="T1125" s="59"/>
      <c r="U1125" s="59"/>
      <c r="V1125" s="59"/>
      <c r="W1125" s="59"/>
      <c r="X1125" s="59"/>
      <c r="Y1125" s="59"/>
      <c r="Z1125" s="59"/>
      <c r="AA1125" s="59"/>
      <c r="AB1125" s="59"/>
      <c r="AC1125" s="59"/>
      <c r="AD1125" s="59"/>
      <c r="AE1125" s="59"/>
      <c r="AF1125" s="59"/>
      <c r="AG1125" s="59"/>
      <c r="AH1125" s="59"/>
      <c r="AI1125" s="59"/>
      <c r="AJ1125" s="59"/>
      <c r="AK1125" s="59"/>
      <c r="AL1125" s="59"/>
      <c r="AM1125" s="59"/>
      <c r="AN1125" s="59"/>
      <c r="AO1125" s="59"/>
      <c r="AP1125" s="59"/>
      <c r="AQ1125" s="59"/>
      <c r="AR1125" s="59"/>
      <c r="AS1125" s="59"/>
      <c r="AT1125" s="59"/>
      <c r="AU1125" s="59"/>
      <c r="AV1125" s="59"/>
      <c r="AW1125" s="59"/>
      <c r="AX1125" s="59"/>
      <c r="AY1125" s="59"/>
      <c r="AZ1125" s="59"/>
      <c r="BA1125" s="59"/>
      <c r="BB1125" s="59"/>
      <c r="BC1125" s="59"/>
      <c r="BD1125" s="59"/>
      <c r="BE1125" s="59"/>
      <c r="BF1125" s="59"/>
      <c r="BG1125" s="59"/>
      <c r="BH1125" s="59"/>
      <c r="BI1125" s="59"/>
      <c r="BJ1125" s="59"/>
      <c r="BK1125" s="59"/>
      <c r="BL1125" s="59"/>
      <c r="BM1125" s="59"/>
      <c r="BN1125" s="59"/>
      <c r="BO1125" s="59"/>
      <c r="BP1125" s="59"/>
      <c r="BQ1125" s="59"/>
      <c r="BR1125" s="59"/>
      <c r="BS1125" s="59"/>
      <c r="BT1125" s="59"/>
      <c r="BU1125" s="59"/>
      <c r="BV1125" s="59"/>
      <c r="BW1125" s="59"/>
      <c r="BX1125" s="59"/>
      <c r="BY1125" s="59"/>
      <c r="BZ1125" s="59"/>
      <c r="CA1125" s="59"/>
      <c r="CB1125" s="59"/>
    </row>
    <row r="1126" spans="1:80">
      <c r="A1126" s="74">
        <v>1125</v>
      </c>
      <c r="B1126" s="66" t="s">
        <v>67</v>
      </c>
      <c r="C1126" s="67" t="s">
        <v>303</v>
      </c>
      <c r="D1126" s="59" t="s">
        <v>148</v>
      </c>
      <c r="E1126" s="88"/>
      <c r="F1126" s="59"/>
      <c r="G1126" s="59"/>
      <c r="H1126" s="77" t="s">
        <v>76</v>
      </c>
      <c r="I1126" s="82">
        <v>12000</v>
      </c>
      <c r="J1126" s="59"/>
      <c r="K1126" s="85"/>
      <c r="L1126" s="86"/>
      <c r="M1126" s="87"/>
      <c r="N1126" s="59"/>
      <c r="O1126" s="59"/>
      <c r="P1126" s="59"/>
      <c r="Q1126" s="59"/>
      <c r="R1126" s="59"/>
      <c r="S1126" s="59"/>
      <c r="T1126" s="59"/>
      <c r="U1126" s="59"/>
      <c r="V1126" s="59"/>
      <c r="W1126" s="59"/>
      <c r="X1126" s="59"/>
      <c r="Y1126" s="59"/>
      <c r="Z1126" s="59"/>
      <c r="AA1126" s="59"/>
      <c r="AB1126" s="59"/>
      <c r="AC1126" s="59"/>
      <c r="AD1126" s="59"/>
      <c r="AE1126" s="59"/>
      <c r="AF1126" s="59"/>
      <c r="AG1126" s="59"/>
      <c r="AH1126" s="59"/>
      <c r="AI1126" s="59"/>
      <c r="AJ1126" s="59"/>
      <c r="AK1126" s="59"/>
      <c r="AL1126" s="59"/>
      <c r="AM1126" s="59"/>
      <c r="AN1126" s="59"/>
      <c r="AO1126" s="59"/>
      <c r="AP1126" s="59"/>
      <c r="AQ1126" s="59"/>
      <c r="AR1126" s="59"/>
      <c r="AS1126" s="59"/>
      <c r="AT1126" s="59"/>
      <c r="AU1126" s="59"/>
      <c r="AV1126" s="59"/>
      <c r="AW1126" s="59"/>
      <c r="AX1126" s="59"/>
      <c r="AY1126" s="59"/>
      <c r="AZ1126" s="59"/>
      <c r="BA1126" s="59"/>
      <c r="BB1126" s="59"/>
      <c r="BC1126" s="59"/>
      <c r="BD1126" s="59"/>
      <c r="BE1126" s="59"/>
      <c r="BF1126" s="59"/>
      <c r="BG1126" s="59"/>
      <c r="BH1126" s="59"/>
      <c r="BI1126" s="59"/>
      <c r="BJ1126" s="59"/>
      <c r="BK1126" s="59"/>
      <c r="BL1126" s="59"/>
      <c r="BM1126" s="59"/>
      <c r="BN1126" s="59"/>
      <c r="BO1126" s="59"/>
      <c r="BP1126" s="59"/>
      <c r="BQ1126" s="59"/>
      <c r="BR1126" s="59"/>
      <c r="BS1126" s="59"/>
      <c r="BT1126" s="59"/>
      <c r="BU1126" s="59"/>
      <c r="BV1126" s="59"/>
      <c r="BW1126" s="59"/>
      <c r="BX1126" s="59"/>
      <c r="BY1126" s="59"/>
      <c r="BZ1126" s="59"/>
      <c r="CA1126" s="59"/>
      <c r="CB1126" s="59"/>
    </row>
    <row r="1127" spans="1:80">
      <c r="A1127" s="74">
        <v>1126</v>
      </c>
      <c r="B1127" s="66" t="s">
        <v>67</v>
      </c>
      <c r="C1127" s="67" t="s">
        <v>303</v>
      </c>
      <c r="D1127" s="59" t="s">
        <v>149</v>
      </c>
      <c r="E1127" s="88"/>
      <c r="F1127" s="59"/>
      <c r="G1127" s="59"/>
      <c r="H1127" s="77" t="s">
        <v>76</v>
      </c>
      <c r="I1127" s="82">
        <v>12000</v>
      </c>
      <c r="J1127" s="59"/>
      <c r="K1127" s="85"/>
      <c r="L1127" s="86"/>
      <c r="M1127" s="87"/>
      <c r="N1127" s="59"/>
      <c r="O1127" s="59"/>
      <c r="P1127" s="59"/>
      <c r="Q1127" s="59"/>
      <c r="R1127" s="59"/>
      <c r="S1127" s="59"/>
      <c r="T1127" s="59"/>
      <c r="U1127" s="59"/>
      <c r="V1127" s="59"/>
      <c r="W1127" s="59"/>
      <c r="X1127" s="59"/>
      <c r="Y1127" s="59"/>
      <c r="Z1127" s="59"/>
      <c r="AA1127" s="59"/>
      <c r="AB1127" s="59"/>
      <c r="AC1127" s="59"/>
      <c r="AD1127" s="59"/>
      <c r="AE1127" s="59"/>
      <c r="AF1127" s="59"/>
      <c r="AG1127" s="59"/>
      <c r="AH1127" s="59"/>
      <c r="AI1127" s="59"/>
      <c r="AJ1127" s="59"/>
      <c r="AK1127" s="59"/>
      <c r="AL1127" s="59"/>
      <c r="AM1127" s="59"/>
      <c r="AN1127" s="59"/>
      <c r="AO1127" s="59"/>
      <c r="AP1127" s="59"/>
      <c r="AQ1127" s="59"/>
      <c r="AR1127" s="59"/>
      <c r="AS1127" s="59"/>
      <c r="AT1127" s="59"/>
      <c r="AU1127" s="59"/>
      <c r="AV1127" s="59"/>
      <c r="AW1127" s="59"/>
      <c r="AX1127" s="59"/>
      <c r="AY1127" s="59"/>
      <c r="AZ1127" s="59"/>
      <c r="BA1127" s="59"/>
      <c r="BB1127" s="59"/>
      <c r="BC1127" s="59"/>
      <c r="BD1127" s="59"/>
      <c r="BE1127" s="59"/>
      <c r="BF1127" s="59"/>
      <c r="BG1127" s="59"/>
      <c r="BH1127" s="59"/>
      <c r="BI1127" s="59"/>
      <c r="BJ1127" s="59"/>
      <c r="BK1127" s="59"/>
      <c r="BL1127" s="59"/>
      <c r="BM1127" s="59"/>
      <c r="BN1127" s="59"/>
      <c r="BO1127" s="59"/>
      <c r="BP1127" s="59"/>
      <c r="BQ1127" s="59"/>
      <c r="BR1127" s="59"/>
      <c r="BS1127" s="59"/>
      <c r="BT1127" s="59"/>
      <c r="BU1127" s="59"/>
      <c r="BV1127" s="59"/>
      <c r="BW1127" s="59"/>
      <c r="BX1127" s="59"/>
      <c r="BY1127" s="59"/>
      <c r="BZ1127" s="59"/>
      <c r="CA1127" s="59"/>
      <c r="CB1127" s="59"/>
    </row>
    <row r="1128" spans="1:80">
      <c r="A1128" s="74">
        <v>1127</v>
      </c>
      <c r="B1128" s="66" t="s">
        <v>67</v>
      </c>
      <c r="C1128" s="67" t="s">
        <v>303</v>
      </c>
      <c r="D1128" s="59" t="s">
        <v>150</v>
      </c>
      <c r="E1128" s="88"/>
      <c r="F1128" s="59"/>
      <c r="G1128" s="59"/>
      <c r="H1128" s="77" t="s">
        <v>76</v>
      </c>
      <c r="I1128" s="82">
        <v>12000</v>
      </c>
      <c r="J1128" s="59"/>
      <c r="K1128" s="85"/>
      <c r="L1128" s="86"/>
      <c r="M1128" s="87"/>
      <c r="N1128" s="59"/>
      <c r="O1128" s="59"/>
      <c r="P1128" s="59"/>
      <c r="Q1128" s="59"/>
      <c r="R1128" s="59"/>
      <c r="S1128" s="59"/>
      <c r="T1128" s="59"/>
      <c r="U1128" s="59"/>
      <c r="V1128" s="59"/>
      <c r="W1128" s="59"/>
      <c r="X1128" s="59"/>
      <c r="Y1128" s="59"/>
      <c r="Z1128" s="59"/>
      <c r="AA1128" s="59"/>
      <c r="AB1128" s="59"/>
      <c r="AC1128" s="59"/>
      <c r="AD1128" s="59"/>
      <c r="AE1128" s="59"/>
      <c r="AF1128" s="59"/>
      <c r="AG1128" s="59"/>
      <c r="AH1128" s="59"/>
      <c r="AI1128" s="59"/>
      <c r="AJ1128" s="59"/>
      <c r="AK1128" s="59"/>
      <c r="AL1128" s="59"/>
      <c r="AM1128" s="59"/>
      <c r="AN1128" s="59"/>
      <c r="AO1128" s="59"/>
      <c r="AP1128" s="59"/>
      <c r="AQ1128" s="59"/>
      <c r="AR1128" s="59"/>
      <c r="AS1128" s="59"/>
      <c r="AT1128" s="59"/>
      <c r="AU1128" s="59"/>
      <c r="AV1128" s="59"/>
      <c r="AW1128" s="59"/>
      <c r="AX1128" s="59"/>
      <c r="AY1128" s="59"/>
      <c r="AZ1128" s="59"/>
      <c r="BA1128" s="59"/>
      <c r="BB1128" s="59"/>
      <c r="BC1128" s="59"/>
      <c r="BD1128" s="59"/>
      <c r="BE1128" s="59"/>
      <c r="BF1128" s="59"/>
      <c r="BG1128" s="59"/>
      <c r="BH1128" s="59"/>
      <c r="BI1128" s="59"/>
      <c r="BJ1128" s="59"/>
      <c r="BK1128" s="59"/>
      <c r="BL1128" s="59"/>
      <c r="BM1128" s="59"/>
      <c r="BN1128" s="59"/>
      <c r="BO1128" s="59"/>
      <c r="BP1128" s="59"/>
      <c r="BQ1128" s="59"/>
      <c r="BR1128" s="59"/>
      <c r="BS1128" s="59"/>
      <c r="BT1128" s="59"/>
      <c r="BU1128" s="59"/>
      <c r="BV1128" s="59"/>
      <c r="BW1128" s="59"/>
      <c r="BX1128" s="59"/>
      <c r="BY1128" s="59"/>
      <c r="BZ1128" s="59"/>
      <c r="CA1128" s="59"/>
      <c r="CB1128" s="59"/>
    </row>
    <row r="1129" spans="1:80">
      <c r="A1129" s="74">
        <v>1128</v>
      </c>
      <c r="B1129" s="66" t="s">
        <v>67</v>
      </c>
      <c r="C1129" s="67" t="s">
        <v>303</v>
      </c>
      <c r="D1129" s="59" t="s">
        <v>151</v>
      </c>
      <c r="E1129" s="88"/>
      <c r="F1129" s="59"/>
      <c r="G1129" s="59"/>
      <c r="H1129" s="77" t="s">
        <v>76</v>
      </c>
      <c r="I1129" s="82">
        <v>12000</v>
      </c>
      <c r="J1129" s="59"/>
      <c r="K1129" s="85"/>
      <c r="L1129" s="86"/>
      <c r="M1129" s="87"/>
      <c r="N1129" s="59"/>
      <c r="O1129" s="59"/>
      <c r="P1129" s="59"/>
      <c r="Q1129" s="59"/>
      <c r="R1129" s="59"/>
      <c r="S1129" s="59"/>
      <c r="T1129" s="59"/>
      <c r="U1129" s="59"/>
      <c r="V1129" s="59"/>
      <c r="W1129" s="59"/>
      <c r="X1129" s="59"/>
      <c r="Y1129" s="59"/>
      <c r="Z1129" s="59"/>
      <c r="AA1129" s="59"/>
      <c r="AB1129" s="59"/>
      <c r="AC1129" s="59"/>
      <c r="AD1129" s="59"/>
      <c r="AE1129" s="59"/>
      <c r="AF1129" s="59"/>
      <c r="AG1129" s="59"/>
      <c r="AH1129" s="59"/>
      <c r="AI1129" s="59"/>
      <c r="AJ1129" s="59"/>
      <c r="AK1129" s="59"/>
      <c r="AL1129" s="59"/>
      <c r="AM1129" s="59"/>
      <c r="AN1129" s="59"/>
      <c r="AO1129" s="59"/>
      <c r="AP1129" s="59"/>
      <c r="AQ1129" s="59"/>
      <c r="AR1129" s="59"/>
      <c r="AS1129" s="59"/>
      <c r="AT1129" s="59"/>
      <c r="AU1129" s="59"/>
      <c r="AV1129" s="59"/>
      <c r="AW1129" s="59"/>
      <c r="AX1129" s="59"/>
      <c r="AY1129" s="59"/>
      <c r="AZ1129" s="59"/>
      <c r="BA1129" s="59"/>
      <c r="BB1129" s="59"/>
      <c r="BC1129" s="59"/>
      <c r="BD1129" s="59"/>
      <c r="BE1129" s="59"/>
      <c r="BF1129" s="59"/>
      <c r="BG1129" s="59"/>
      <c r="BH1129" s="59"/>
      <c r="BI1129" s="59"/>
      <c r="BJ1129" s="59"/>
      <c r="BK1129" s="59"/>
      <c r="BL1129" s="59"/>
      <c r="BM1129" s="59"/>
      <c r="BN1129" s="59"/>
      <c r="BO1129" s="59"/>
      <c r="BP1129" s="59"/>
      <c r="BQ1129" s="59"/>
      <c r="BR1129" s="59"/>
      <c r="BS1129" s="59"/>
      <c r="BT1129" s="59"/>
      <c r="BU1129" s="59"/>
      <c r="BV1129" s="59"/>
      <c r="BW1129" s="59"/>
      <c r="BX1129" s="59"/>
      <c r="BY1129" s="59"/>
      <c r="BZ1129" s="59"/>
      <c r="CA1129" s="59"/>
      <c r="CB1129" s="59"/>
    </row>
    <row r="1130" spans="1:80">
      <c r="A1130" s="74">
        <v>1129</v>
      </c>
      <c r="B1130" s="66" t="s">
        <v>67</v>
      </c>
      <c r="C1130" s="67" t="s">
        <v>303</v>
      </c>
      <c r="D1130" s="59" t="s">
        <v>152</v>
      </c>
      <c r="E1130" s="88"/>
      <c r="F1130" s="59"/>
      <c r="G1130" s="59"/>
      <c r="H1130" s="77" t="s">
        <v>76</v>
      </c>
      <c r="I1130" s="82">
        <v>12000</v>
      </c>
      <c r="J1130" s="59"/>
      <c r="K1130" s="85"/>
      <c r="L1130" s="86"/>
      <c r="M1130" s="87"/>
      <c r="N1130" s="59"/>
      <c r="O1130" s="59"/>
      <c r="P1130" s="59"/>
      <c r="Q1130" s="59"/>
      <c r="R1130" s="59"/>
      <c r="S1130" s="59"/>
      <c r="T1130" s="59"/>
      <c r="U1130" s="59"/>
      <c r="V1130" s="59"/>
      <c r="W1130" s="59"/>
      <c r="X1130" s="59"/>
      <c r="Y1130" s="59"/>
      <c r="Z1130" s="59"/>
      <c r="AA1130" s="59"/>
      <c r="AB1130" s="59"/>
      <c r="AC1130" s="59"/>
      <c r="AD1130" s="59"/>
      <c r="AE1130" s="59"/>
      <c r="AF1130" s="59"/>
      <c r="AG1130" s="59"/>
      <c r="AH1130" s="59"/>
      <c r="AI1130" s="59"/>
      <c r="AJ1130" s="59"/>
      <c r="AK1130" s="59"/>
      <c r="AL1130" s="59"/>
      <c r="AM1130" s="59"/>
      <c r="AN1130" s="59"/>
      <c r="AO1130" s="59"/>
      <c r="AP1130" s="59"/>
      <c r="AQ1130" s="59"/>
      <c r="AR1130" s="59"/>
      <c r="AS1130" s="59"/>
      <c r="AT1130" s="59"/>
      <c r="AU1130" s="59"/>
      <c r="AV1130" s="59"/>
      <c r="AW1130" s="59"/>
      <c r="AX1130" s="59"/>
      <c r="AY1130" s="59"/>
      <c r="AZ1130" s="59"/>
      <c r="BA1130" s="59"/>
      <c r="BB1130" s="59"/>
      <c r="BC1130" s="59"/>
      <c r="BD1130" s="59"/>
      <c r="BE1130" s="59"/>
      <c r="BF1130" s="59"/>
      <c r="BG1130" s="59"/>
      <c r="BH1130" s="59"/>
      <c r="BI1130" s="59"/>
      <c r="BJ1130" s="59"/>
      <c r="BK1130" s="59"/>
      <c r="BL1130" s="59"/>
      <c r="BM1130" s="59"/>
      <c r="BN1130" s="59"/>
      <c r="BO1130" s="59"/>
      <c r="BP1130" s="59"/>
      <c r="BQ1130" s="59"/>
      <c r="BR1130" s="59"/>
      <c r="BS1130" s="59"/>
      <c r="BT1130" s="59"/>
      <c r="BU1130" s="59"/>
      <c r="BV1130" s="59"/>
      <c r="BW1130" s="59"/>
      <c r="BX1130" s="59"/>
      <c r="BY1130" s="59"/>
      <c r="BZ1130" s="59"/>
      <c r="CA1130" s="59"/>
      <c r="CB1130" s="59"/>
    </row>
    <row r="1131" spans="1:80">
      <c r="A1131" s="74">
        <v>1130</v>
      </c>
      <c r="B1131" s="66" t="s">
        <v>67</v>
      </c>
      <c r="C1131" s="67" t="s">
        <v>303</v>
      </c>
      <c r="D1131" s="59" t="s">
        <v>153</v>
      </c>
      <c r="E1131" s="88"/>
      <c r="F1131" s="59"/>
      <c r="G1131" s="59"/>
      <c r="H1131" s="77" t="s">
        <v>76</v>
      </c>
      <c r="I1131" s="82">
        <v>12000</v>
      </c>
      <c r="J1131" s="59"/>
      <c r="K1131" s="85"/>
      <c r="L1131" s="86"/>
      <c r="M1131" s="87"/>
      <c r="N1131" s="59"/>
      <c r="O1131" s="59"/>
      <c r="P1131" s="59"/>
      <c r="Q1131" s="59"/>
      <c r="R1131" s="59"/>
      <c r="S1131" s="59"/>
      <c r="T1131" s="59"/>
      <c r="U1131" s="59"/>
      <c r="V1131" s="59"/>
      <c r="W1131" s="59"/>
      <c r="X1131" s="59"/>
      <c r="Y1131" s="59"/>
      <c r="Z1131" s="59"/>
      <c r="AA1131" s="59"/>
      <c r="AB1131" s="59"/>
      <c r="AC1131" s="59"/>
      <c r="AD1131" s="59"/>
      <c r="AE1131" s="59"/>
      <c r="AF1131" s="59"/>
      <c r="AG1131" s="59"/>
      <c r="AH1131" s="59"/>
      <c r="AI1131" s="59"/>
      <c r="AJ1131" s="59"/>
      <c r="AK1131" s="59"/>
      <c r="AL1131" s="59"/>
      <c r="AM1131" s="59"/>
      <c r="AN1131" s="59"/>
      <c r="AO1131" s="59"/>
      <c r="AP1131" s="59"/>
      <c r="AQ1131" s="59"/>
      <c r="AR1131" s="59"/>
      <c r="AS1131" s="59"/>
      <c r="AT1131" s="59"/>
      <c r="AU1131" s="59"/>
      <c r="AV1131" s="59"/>
      <c r="AW1131" s="59"/>
      <c r="AX1131" s="59"/>
      <c r="AY1131" s="59"/>
      <c r="AZ1131" s="59"/>
      <c r="BA1131" s="59"/>
      <c r="BB1131" s="59"/>
      <c r="BC1131" s="59"/>
      <c r="BD1131" s="59"/>
      <c r="BE1131" s="59"/>
      <c r="BF1131" s="59"/>
      <c r="BG1131" s="59"/>
      <c r="BH1131" s="59"/>
      <c r="BI1131" s="59"/>
      <c r="BJ1131" s="59"/>
      <c r="BK1131" s="59"/>
      <c r="BL1131" s="59"/>
      <c r="BM1131" s="59"/>
      <c r="BN1131" s="59"/>
      <c r="BO1131" s="59"/>
      <c r="BP1131" s="59"/>
      <c r="BQ1131" s="59"/>
      <c r="BR1131" s="59"/>
      <c r="BS1131" s="59"/>
      <c r="BT1131" s="59"/>
      <c r="BU1131" s="59"/>
      <c r="BV1131" s="59"/>
      <c r="BW1131" s="59"/>
      <c r="BX1131" s="59"/>
      <c r="BY1131" s="59"/>
      <c r="BZ1131" s="59"/>
      <c r="CA1131" s="59"/>
      <c r="CB1131" s="59"/>
    </row>
    <row r="1132" spans="1:80">
      <c r="A1132" s="74">
        <v>1131</v>
      </c>
      <c r="B1132" s="66" t="s">
        <v>67</v>
      </c>
      <c r="C1132" s="67" t="s">
        <v>303</v>
      </c>
      <c r="D1132" s="59" t="s">
        <v>154</v>
      </c>
      <c r="E1132" s="88"/>
      <c r="F1132" s="59"/>
      <c r="G1132" s="59"/>
      <c r="H1132" s="77" t="s">
        <v>76</v>
      </c>
      <c r="I1132" s="82">
        <v>12000</v>
      </c>
      <c r="J1132" s="59"/>
      <c r="K1132" s="85"/>
      <c r="L1132" s="86"/>
      <c r="M1132" s="87"/>
      <c r="N1132" s="59"/>
      <c r="O1132" s="59"/>
      <c r="P1132" s="59"/>
      <c r="Q1132" s="59"/>
      <c r="R1132" s="59"/>
      <c r="S1132" s="59"/>
      <c r="T1132" s="59"/>
      <c r="U1132" s="59"/>
      <c r="V1132" s="59"/>
      <c r="W1132" s="59"/>
      <c r="X1132" s="59"/>
      <c r="Y1132" s="59"/>
      <c r="Z1132" s="59"/>
      <c r="AA1132" s="59"/>
      <c r="AB1132" s="59"/>
      <c r="AC1132" s="59"/>
      <c r="AD1132" s="59"/>
      <c r="AE1132" s="59"/>
      <c r="AF1132" s="59"/>
      <c r="AG1132" s="59"/>
      <c r="AH1132" s="59"/>
      <c r="AI1132" s="59"/>
      <c r="AJ1132" s="59"/>
      <c r="AK1132" s="59"/>
      <c r="AL1132" s="59"/>
      <c r="AM1132" s="59"/>
      <c r="AN1132" s="59"/>
      <c r="AO1132" s="59"/>
      <c r="AP1132" s="59"/>
      <c r="AQ1132" s="59"/>
      <c r="AR1132" s="59"/>
      <c r="AS1132" s="59"/>
      <c r="AT1132" s="59"/>
      <c r="AU1132" s="59"/>
      <c r="AV1132" s="59"/>
      <c r="AW1132" s="59"/>
      <c r="AX1132" s="59"/>
      <c r="AY1132" s="59"/>
      <c r="AZ1132" s="59"/>
      <c r="BA1132" s="59"/>
      <c r="BB1132" s="59"/>
      <c r="BC1132" s="59"/>
      <c r="BD1132" s="59"/>
      <c r="BE1132" s="59"/>
      <c r="BF1132" s="59"/>
      <c r="BG1132" s="59"/>
      <c r="BH1132" s="59"/>
      <c r="BI1132" s="59"/>
      <c r="BJ1132" s="59"/>
      <c r="BK1132" s="59"/>
      <c r="BL1132" s="59"/>
      <c r="BM1132" s="59"/>
      <c r="BN1132" s="59"/>
      <c r="BO1132" s="59"/>
      <c r="BP1132" s="59"/>
      <c r="BQ1132" s="59"/>
      <c r="BR1132" s="59"/>
      <c r="BS1132" s="59"/>
      <c r="BT1132" s="59"/>
      <c r="BU1132" s="59"/>
      <c r="BV1132" s="59"/>
      <c r="BW1132" s="59"/>
      <c r="BX1132" s="59"/>
      <c r="BY1132" s="59"/>
      <c r="BZ1132" s="59"/>
      <c r="CA1132" s="59"/>
      <c r="CB1132" s="59"/>
    </row>
    <row r="1133" spans="1:80">
      <c r="A1133" s="74">
        <v>1132</v>
      </c>
      <c r="B1133" s="66" t="s">
        <v>67</v>
      </c>
      <c r="C1133" s="67" t="s">
        <v>303</v>
      </c>
      <c r="D1133" s="59" t="s">
        <v>155</v>
      </c>
      <c r="E1133" s="88"/>
      <c r="F1133" s="59"/>
      <c r="G1133" s="59"/>
      <c r="H1133" s="77" t="s">
        <v>76</v>
      </c>
      <c r="I1133" s="82">
        <v>12000</v>
      </c>
      <c r="J1133" s="59"/>
      <c r="K1133" s="85"/>
      <c r="L1133" s="86"/>
      <c r="M1133" s="87"/>
      <c r="N1133" s="59"/>
      <c r="O1133" s="59"/>
      <c r="P1133" s="59"/>
      <c r="Q1133" s="59"/>
      <c r="R1133" s="59"/>
      <c r="S1133" s="59"/>
      <c r="T1133" s="59"/>
      <c r="U1133" s="59"/>
      <c r="V1133" s="59"/>
      <c r="W1133" s="59"/>
      <c r="X1133" s="59"/>
      <c r="Y1133" s="59"/>
      <c r="Z1133" s="59"/>
      <c r="AA1133" s="59"/>
      <c r="AB1133" s="59"/>
      <c r="AC1133" s="59"/>
      <c r="AD1133" s="59"/>
      <c r="AE1133" s="59"/>
      <c r="AF1133" s="59"/>
      <c r="AG1133" s="59"/>
      <c r="AH1133" s="59"/>
      <c r="AI1133" s="59"/>
      <c r="AJ1133" s="59"/>
      <c r="AK1133" s="59"/>
      <c r="AL1133" s="59"/>
      <c r="AM1133" s="59"/>
      <c r="AN1133" s="59"/>
      <c r="AO1133" s="59"/>
      <c r="AP1133" s="59"/>
      <c r="AQ1133" s="59"/>
      <c r="AR1133" s="59"/>
      <c r="AS1133" s="59"/>
      <c r="AT1133" s="59"/>
      <c r="AU1133" s="59"/>
      <c r="AV1133" s="59"/>
      <c r="AW1133" s="59"/>
      <c r="AX1133" s="59"/>
      <c r="AY1133" s="59"/>
      <c r="AZ1133" s="59"/>
      <c r="BA1133" s="59"/>
      <c r="BB1133" s="59"/>
      <c r="BC1133" s="59"/>
      <c r="BD1133" s="59"/>
      <c r="BE1133" s="59"/>
      <c r="BF1133" s="59"/>
      <c r="BG1133" s="59"/>
      <c r="BH1133" s="59"/>
      <c r="BI1133" s="59"/>
      <c r="BJ1133" s="59"/>
      <c r="BK1133" s="59"/>
      <c r="BL1133" s="59"/>
      <c r="BM1133" s="59"/>
      <c r="BN1133" s="59"/>
      <c r="BO1133" s="59"/>
      <c r="BP1133" s="59"/>
      <c r="BQ1133" s="59"/>
      <c r="BR1133" s="59"/>
      <c r="BS1133" s="59"/>
      <c r="BT1133" s="59"/>
      <c r="BU1133" s="59"/>
      <c r="BV1133" s="59"/>
      <c r="BW1133" s="59"/>
      <c r="BX1133" s="59"/>
      <c r="BY1133" s="59"/>
      <c r="BZ1133" s="59"/>
      <c r="CA1133" s="59"/>
      <c r="CB1133" s="59"/>
    </row>
    <row r="1134" spans="1:80">
      <c r="A1134" s="74">
        <v>1133</v>
      </c>
      <c r="B1134" s="66" t="s">
        <v>67</v>
      </c>
      <c r="C1134" s="67" t="s">
        <v>303</v>
      </c>
      <c r="D1134" s="59" t="s">
        <v>156</v>
      </c>
      <c r="E1134" s="88"/>
      <c r="F1134" s="59"/>
      <c r="G1134" s="59"/>
      <c r="H1134" s="77" t="s">
        <v>76</v>
      </c>
      <c r="I1134" s="82">
        <v>12000</v>
      </c>
      <c r="J1134" s="59"/>
      <c r="K1134" s="85"/>
      <c r="L1134" s="86"/>
      <c r="M1134" s="87"/>
      <c r="N1134" s="59"/>
      <c r="O1134" s="59"/>
      <c r="P1134" s="59"/>
      <c r="Q1134" s="59"/>
      <c r="R1134" s="59"/>
      <c r="S1134" s="59"/>
      <c r="T1134" s="59"/>
      <c r="U1134" s="59"/>
      <c r="V1134" s="59"/>
      <c r="W1134" s="59"/>
      <c r="X1134" s="59"/>
      <c r="Y1134" s="59"/>
      <c r="Z1134" s="59"/>
      <c r="AA1134" s="59"/>
      <c r="AB1134" s="59"/>
      <c r="AC1134" s="59"/>
      <c r="AD1134" s="59"/>
      <c r="AE1134" s="59"/>
      <c r="AF1134" s="59"/>
      <c r="AG1134" s="59"/>
      <c r="AH1134" s="59"/>
      <c r="AI1134" s="59"/>
      <c r="AJ1134" s="59"/>
      <c r="AK1134" s="59"/>
      <c r="AL1134" s="59"/>
      <c r="AM1134" s="59"/>
      <c r="AN1134" s="59"/>
      <c r="AO1134" s="59"/>
      <c r="AP1134" s="59"/>
      <c r="AQ1134" s="59"/>
      <c r="AR1134" s="59"/>
      <c r="AS1134" s="59"/>
      <c r="AT1134" s="59"/>
      <c r="AU1134" s="59"/>
      <c r="AV1134" s="59"/>
      <c r="AW1134" s="59"/>
      <c r="AX1134" s="59"/>
      <c r="AY1134" s="59"/>
      <c r="AZ1134" s="59"/>
      <c r="BA1134" s="59"/>
      <c r="BB1134" s="59"/>
      <c r="BC1134" s="59"/>
      <c r="BD1134" s="59"/>
      <c r="BE1134" s="59"/>
      <c r="BF1134" s="59"/>
      <c r="BG1134" s="59"/>
      <c r="BH1134" s="59"/>
      <c r="BI1134" s="59"/>
      <c r="BJ1134" s="59"/>
      <c r="BK1134" s="59"/>
      <c r="BL1134" s="59"/>
      <c r="BM1134" s="59"/>
      <c r="BN1134" s="59"/>
      <c r="BO1134" s="59"/>
      <c r="BP1134" s="59"/>
      <c r="BQ1134" s="59"/>
      <c r="BR1134" s="59"/>
      <c r="BS1134" s="59"/>
      <c r="BT1134" s="59"/>
      <c r="BU1134" s="59"/>
      <c r="BV1134" s="59"/>
      <c r="BW1134" s="59"/>
      <c r="BX1134" s="59"/>
      <c r="BY1134" s="59"/>
      <c r="BZ1134" s="59"/>
      <c r="CA1134" s="59"/>
      <c r="CB1134" s="59"/>
    </row>
    <row r="1135" spans="1:80">
      <c r="A1135" s="74">
        <v>1134</v>
      </c>
      <c r="B1135" s="66" t="s">
        <v>67</v>
      </c>
      <c r="C1135" s="67" t="s">
        <v>303</v>
      </c>
      <c r="D1135" s="59" t="s">
        <v>157</v>
      </c>
      <c r="E1135" s="88"/>
      <c r="F1135" s="59"/>
      <c r="G1135" s="59"/>
      <c r="H1135" s="77" t="s">
        <v>76</v>
      </c>
      <c r="I1135" s="82">
        <v>12000</v>
      </c>
      <c r="J1135" s="59"/>
      <c r="K1135" s="85"/>
      <c r="L1135" s="86"/>
      <c r="M1135" s="87"/>
      <c r="N1135" s="59"/>
      <c r="O1135" s="59"/>
      <c r="P1135" s="59"/>
      <c r="Q1135" s="59"/>
      <c r="R1135" s="59"/>
      <c r="S1135" s="59"/>
      <c r="T1135" s="59"/>
      <c r="U1135" s="59"/>
      <c r="V1135" s="59"/>
      <c r="W1135" s="59"/>
      <c r="X1135" s="59"/>
      <c r="Y1135" s="59"/>
      <c r="Z1135" s="59"/>
      <c r="AA1135" s="59"/>
      <c r="AB1135" s="59"/>
      <c r="AC1135" s="59"/>
      <c r="AD1135" s="59"/>
      <c r="AE1135" s="59"/>
      <c r="AF1135" s="59"/>
      <c r="AG1135" s="59"/>
      <c r="AH1135" s="59"/>
      <c r="AI1135" s="59"/>
      <c r="AJ1135" s="59"/>
      <c r="AK1135" s="59"/>
      <c r="AL1135" s="59"/>
      <c r="AM1135" s="59"/>
      <c r="AN1135" s="59"/>
      <c r="AO1135" s="59"/>
      <c r="AP1135" s="59"/>
      <c r="AQ1135" s="59"/>
      <c r="AR1135" s="59"/>
      <c r="AS1135" s="59"/>
      <c r="AT1135" s="59"/>
      <c r="AU1135" s="59"/>
      <c r="AV1135" s="59"/>
      <c r="AW1135" s="59"/>
      <c r="AX1135" s="59"/>
      <c r="AY1135" s="59"/>
      <c r="AZ1135" s="59"/>
      <c r="BA1135" s="59"/>
      <c r="BB1135" s="59"/>
      <c r="BC1135" s="59"/>
      <c r="BD1135" s="59"/>
      <c r="BE1135" s="59"/>
      <c r="BF1135" s="59"/>
      <c r="BG1135" s="59"/>
      <c r="BH1135" s="59"/>
      <c r="BI1135" s="59"/>
      <c r="BJ1135" s="59"/>
      <c r="BK1135" s="59"/>
      <c r="BL1135" s="59"/>
      <c r="BM1135" s="59"/>
      <c r="BN1135" s="59"/>
      <c r="BO1135" s="59"/>
      <c r="BP1135" s="59"/>
      <c r="BQ1135" s="59"/>
      <c r="BR1135" s="59"/>
      <c r="BS1135" s="59"/>
      <c r="BT1135" s="59"/>
      <c r="BU1135" s="59"/>
      <c r="BV1135" s="59"/>
      <c r="BW1135" s="59"/>
      <c r="BX1135" s="59"/>
      <c r="BY1135" s="59"/>
      <c r="BZ1135" s="59"/>
      <c r="CA1135" s="59"/>
      <c r="CB1135" s="59"/>
    </row>
    <row r="1136" spans="1:80">
      <c r="A1136" s="74">
        <v>1135</v>
      </c>
      <c r="B1136" s="66" t="s">
        <v>67</v>
      </c>
      <c r="C1136" s="67" t="s">
        <v>303</v>
      </c>
      <c r="D1136" s="59" t="s">
        <v>158</v>
      </c>
      <c r="E1136" s="88"/>
      <c r="F1136" s="59"/>
      <c r="G1136" s="59"/>
      <c r="H1136" s="77" t="s">
        <v>76</v>
      </c>
      <c r="I1136" s="82">
        <v>12000</v>
      </c>
      <c r="J1136" s="59"/>
      <c r="K1136" s="85"/>
      <c r="L1136" s="86"/>
      <c r="M1136" s="87"/>
      <c r="N1136" s="59"/>
      <c r="O1136" s="59"/>
      <c r="P1136" s="59"/>
      <c r="Q1136" s="59"/>
      <c r="R1136" s="59"/>
      <c r="S1136" s="59"/>
      <c r="T1136" s="59"/>
      <c r="U1136" s="59"/>
      <c r="V1136" s="59"/>
      <c r="W1136" s="59"/>
      <c r="X1136" s="59"/>
      <c r="Y1136" s="59"/>
      <c r="Z1136" s="59"/>
      <c r="AA1136" s="59"/>
      <c r="AB1136" s="59"/>
      <c r="AC1136" s="59"/>
      <c r="AD1136" s="59"/>
      <c r="AE1136" s="59"/>
      <c r="AF1136" s="59"/>
      <c r="AG1136" s="59"/>
      <c r="AH1136" s="59"/>
      <c r="AI1136" s="59"/>
      <c r="AJ1136" s="59"/>
      <c r="AK1136" s="59"/>
      <c r="AL1136" s="59"/>
      <c r="AM1136" s="59"/>
      <c r="AN1136" s="59"/>
      <c r="AO1136" s="59"/>
      <c r="AP1136" s="59"/>
      <c r="AQ1136" s="59"/>
      <c r="AR1136" s="59"/>
      <c r="AS1136" s="59"/>
      <c r="AT1136" s="59"/>
      <c r="AU1136" s="59"/>
      <c r="AV1136" s="59"/>
      <c r="AW1136" s="59"/>
      <c r="AX1136" s="59"/>
      <c r="AY1136" s="59"/>
      <c r="AZ1136" s="59"/>
      <c r="BA1136" s="59"/>
      <c r="BB1136" s="59"/>
      <c r="BC1136" s="59"/>
      <c r="BD1136" s="59"/>
      <c r="BE1136" s="59"/>
      <c r="BF1136" s="59"/>
      <c r="BG1136" s="59"/>
      <c r="BH1136" s="59"/>
      <c r="BI1136" s="59"/>
      <c r="BJ1136" s="59"/>
      <c r="BK1136" s="59"/>
      <c r="BL1136" s="59"/>
      <c r="BM1136" s="59"/>
      <c r="BN1136" s="59"/>
      <c r="BO1136" s="59"/>
      <c r="BP1136" s="59"/>
      <c r="BQ1136" s="59"/>
      <c r="BR1136" s="59"/>
      <c r="BS1136" s="59"/>
      <c r="BT1136" s="59"/>
      <c r="BU1136" s="59"/>
      <c r="BV1136" s="59"/>
      <c r="BW1136" s="59"/>
      <c r="BX1136" s="59"/>
      <c r="BY1136" s="59"/>
      <c r="BZ1136" s="59"/>
      <c r="CA1136" s="59"/>
      <c r="CB1136" s="59"/>
    </row>
    <row r="1137" spans="1:80">
      <c r="A1137" s="74">
        <v>1136</v>
      </c>
      <c r="B1137" s="66" t="s">
        <v>67</v>
      </c>
      <c r="C1137" s="67" t="s">
        <v>303</v>
      </c>
      <c r="D1137" s="59" t="s">
        <v>159</v>
      </c>
      <c r="E1137" s="88"/>
      <c r="F1137" s="59"/>
      <c r="G1137" s="59"/>
      <c r="H1137" s="77" t="s">
        <v>76</v>
      </c>
      <c r="I1137" s="82">
        <v>12000</v>
      </c>
      <c r="J1137" s="59"/>
      <c r="K1137" s="85"/>
      <c r="L1137" s="86"/>
      <c r="M1137" s="87"/>
      <c r="N1137" s="59"/>
      <c r="O1137" s="59"/>
      <c r="P1137" s="59"/>
      <c r="Q1137" s="59"/>
      <c r="R1137" s="59"/>
      <c r="S1137" s="59"/>
      <c r="T1137" s="59"/>
      <c r="U1137" s="59"/>
      <c r="V1137" s="59"/>
      <c r="W1137" s="59"/>
      <c r="X1137" s="59"/>
      <c r="Y1137" s="59"/>
      <c r="Z1137" s="59"/>
      <c r="AA1137" s="59"/>
      <c r="AB1137" s="59"/>
      <c r="AC1137" s="59"/>
      <c r="AD1137" s="59"/>
      <c r="AE1137" s="59"/>
      <c r="AF1137" s="59"/>
      <c r="AG1137" s="59"/>
      <c r="AH1137" s="59"/>
      <c r="AI1137" s="59"/>
      <c r="AJ1137" s="59"/>
      <c r="AK1137" s="59"/>
      <c r="AL1137" s="59"/>
      <c r="AM1137" s="59"/>
      <c r="AN1137" s="59"/>
      <c r="AO1137" s="59"/>
      <c r="AP1137" s="59"/>
      <c r="AQ1137" s="59"/>
      <c r="AR1137" s="59"/>
      <c r="AS1137" s="59"/>
      <c r="AT1137" s="59"/>
      <c r="AU1137" s="59"/>
      <c r="AV1137" s="59"/>
      <c r="AW1137" s="59"/>
      <c r="AX1137" s="59"/>
      <c r="AY1137" s="59"/>
      <c r="AZ1137" s="59"/>
      <c r="BA1137" s="59"/>
      <c r="BB1137" s="59"/>
      <c r="BC1137" s="59"/>
      <c r="BD1137" s="59"/>
      <c r="BE1137" s="59"/>
      <c r="BF1137" s="59"/>
      <c r="BG1137" s="59"/>
      <c r="BH1137" s="59"/>
      <c r="BI1137" s="59"/>
      <c r="BJ1137" s="59"/>
      <c r="BK1137" s="59"/>
      <c r="BL1137" s="59"/>
      <c r="BM1137" s="59"/>
      <c r="BN1137" s="59"/>
      <c r="BO1137" s="59"/>
      <c r="BP1137" s="59"/>
      <c r="BQ1137" s="59"/>
      <c r="BR1137" s="59"/>
      <c r="BS1137" s="59"/>
      <c r="BT1137" s="59"/>
      <c r="BU1137" s="59"/>
      <c r="BV1137" s="59"/>
      <c r="BW1137" s="59"/>
      <c r="BX1137" s="59"/>
      <c r="BY1137" s="59"/>
      <c r="BZ1137" s="59"/>
      <c r="CA1137" s="59"/>
      <c r="CB1137" s="59"/>
    </row>
    <row r="1138" spans="1:80">
      <c r="A1138" s="74">
        <v>1137</v>
      </c>
      <c r="B1138" s="66" t="s">
        <v>67</v>
      </c>
      <c r="C1138" s="67" t="s">
        <v>303</v>
      </c>
      <c r="D1138" s="59" t="s">
        <v>160</v>
      </c>
      <c r="E1138" s="88"/>
      <c r="F1138" s="59"/>
      <c r="G1138" s="59"/>
      <c r="H1138" s="77" t="s">
        <v>76</v>
      </c>
      <c r="I1138" s="82">
        <v>12000</v>
      </c>
      <c r="J1138" s="59"/>
      <c r="K1138" s="85"/>
      <c r="L1138" s="86"/>
      <c r="M1138" s="87"/>
      <c r="N1138" s="59"/>
      <c r="O1138" s="59"/>
      <c r="P1138" s="59"/>
      <c r="Q1138" s="59"/>
      <c r="R1138" s="59"/>
      <c r="S1138" s="59"/>
      <c r="T1138" s="59"/>
      <c r="U1138" s="59"/>
      <c r="V1138" s="59"/>
      <c r="W1138" s="59"/>
      <c r="X1138" s="59"/>
      <c r="Y1138" s="59"/>
      <c r="Z1138" s="59"/>
      <c r="AA1138" s="59"/>
      <c r="AB1138" s="59"/>
      <c r="AC1138" s="59"/>
      <c r="AD1138" s="59"/>
      <c r="AE1138" s="59"/>
      <c r="AF1138" s="59"/>
      <c r="AG1138" s="59"/>
      <c r="AH1138" s="59"/>
      <c r="AI1138" s="59"/>
      <c r="AJ1138" s="59"/>
      <c r="AK1138" s="59"/>
      <c r="AL1138" s="59"/>
      <c r="AM1138" s="59"/>
      <c r="AN1138" s="59"/>
      <c r="AO1138" s="59"/>
      <c r="AP1138" s="59"/>
      <c r="AQ1138" s="59"/>
      <c r="AR1138" s="59"/>
      <c r="AS1138" s="59"/>
      <c r="AT1138" s="59"/>
      <c r="AU1138" s="59"/>
      <c r="AV1138" s="59"/>
      <c r="AW1138" s="59"/>
      <c r="AX1138" s="59"/>
      <c r="AY1138" s="59"/>
      <c r="AZ1138" s="59"/>
      <c r="BA1138" s="59"/>
      <c r="BB1138" s="59"/>
      <c r="BC1138" s="59"/>
      <c r="BD1138" s="59"/>
      <c r="BE1138" s="59"/>
      <c r="BF1138" s="59"/>
      <c r="BG1138" s="59"/>
      <c r="BH1138" s="59"/>
      <c r="BI1138" s="59"/>
      <c r="BJ1138" s="59"/>
      <c r="BK1138" s="59"/>
      <c r="BL1138" s="59"/>
      <c r="BM1138" s="59"/>
      <c r="BN1138" s="59"/>
      <c r="BO1138" s="59"/>
      <c r="BP1138" s="59"/>
      <c r="BQ1138" s="59"/>
      <c r="BR1138" s="59"/>
      <c r="BS1138" s="59"/>
      <c r="BT1138" s="59"/>
      <c r="BU1138" s="59"/>
      <c r="BV1138" s="59"/>
      <c r="BW1138" s="59"/>
      <c r="BX1138" s="59"/>
      <c r="BY1138" s="59"/>
      <c r="BZ1138" s="59"/>
      <c r="CA1138" s="59"/>
      <c r="CB1138" s="59"/>
    </row>
    <row r="1139" spans="1:80">
      <c r="A1139" s="74">
        <v>1138</v>
      </c>
      <c r="B1139" s="66" t="s">
        <v>67</v>
      </c>
      <c r="C1139" s="67" t="s">
        <v>303</v>
      </c>
      <c r="D1139" s="59" t="s">
        <v>161</v>
      </c>
      <c r="E1139" s="88"/>
      <c r="F1139" s="59"/>
      <c r="G1139" s="59"/>
      <c r="H1139" s="77" t="s">
        <v>76</v>
      </c>
      <c r="I1139" s="82">
        <v>12000</v>
      </c>
      <c r="J1139" s="59"/>
      <c r="K1139" s="85"/>
      <c r="L1139" s="86"/>
      <c r="M1139" s="87"/>
      <c r="N1139" s="59"/>
      <c r="O1139" s="59"/>
      <c r="P1139" s="59"/>
      <c r="Q1139" s="59"/>
      <c r="R1139" s="59"/>
      <c r="S1139" s="59"/>
      <c r="T1139" s="59"/>
      <c r="U1139" s="59"/>
      <c r="V1139" s="59"/>
      <c r="W1139" s="59"/>
      <c r="X1139" s="59"/>
      <c r="Y1139" s="59"/>
      <c r="Z1139" s="59"/>
      <c r="AA1139" s="59"/>
      <c r="AB1139" s="59"/>
      <c r="AC1139" s="59"/>
      <c r="AD1139" s="59"/>
      <c r="AE1139" s="59"/>
      <c r="AF1139" s="59"/>
      <c r="AG1139" s="59"/>
      <c r="AH1139" s="59"/>
      <c r="AI1139" s="59"/>
      <c r="AJ1139" s="59"/>
      <c r="AK1139" s="59"/>
      <c r="AL1139" s="59"/>
      <c r="AM1139" s="59"/>
      <c r="AN1139" s="59"/>
      <c r="AO1139" s="59"/>
      <c r="AP1139" s="59"/>
      <c r="AQ1139" s="59"/>
      <c r="AR1139" s="59"/>
      <c r="AS1139" s="59"/>
      <c r="AT1139" s="59"/>
      <c r="AU1139" s="59"/>
      <c r="AV1139" s="59"/>
      <c r="AW1139" s="59"/>
      <c r="AX1139" s="59"/>
      <c r="AY1139" s="59"/>
      <c r="AZ1139" s="59"/>
      <c r="BA1139" s="59"/>
      <c r="BB1139" s="59"/>
      <c r="BC1139" s="59"/>
      <c r="BD1139" s="59"/>
      <c r="BE1139" s="59"/>
      <c r="BF1139" s="59"/>
      <c r="BG1139" s="59"/>
      <c r="BH1139" s="59"/>
      <c r="BI1139" s="59"/>
      <c r="BJ1139" s="59"/>
      <c r="BK1139" s="59"/>
      <c r="BL1139" s="59"/>
      <c r="BM1139" s="59"/>
      <c r="BN1139" s="59"/>
      <c r="BO1139" s="59"/>
      <c r="BP1139" s="59"/>
      <c r="BQ1139" s="59"/>
      <c r="BR1139" s="59"/>
      <c r="BS1139" s="59"/>
      <c r="BT1139" s="59"/>
      <c r="BU1139" s="59"/>
      <c r="BV1139" s="59"/>
      <c r="BW1139" s="59"/>
      <c r="BX1139" s="59"/>
      <c r="BY1139" s="59"/>
      <c r="BZ1139" s="59"/>
      <c r="CA1139" s="59"/>
      <c r="CB1139" s="59"/>
    </row>
    <row r="1140" spans="1:80">
      <c r="A1140" s="74">
        <v>1139</v>
      </c>
      <c r="B1140" s="66" t="s">
        <v>67</v>
      </c>
      <c r="C1140" s="67" t="s">
        <v>303</v>
      </c>
      <c r="D1140" s="59" t="s">
        <v>162</v>
      </c>
      <c r="E1140" s="88"/>
      <c r="F1140" s="59"/>
      <c r="G1140" s="59"/>
      <c r="H1140" s="77" t="s">
        <v>76</v>
      </c>
      <c r="I1140" s="82">
        <v>12000</v>
      </c>
      <c r="J1140" s="59"/>
      <c r="K1140" s="85"/>
      <c r="L1140" s="86"/>
      <c r="M1140" s="87"/>
      <c r="N1140" s="59"/>
      <c r="O1140" s="59"/>
      <c r="P1140" s="59"/>
      <c r="Q1140" s="59"/>
      <c r="R1140" s="59"/>
      <c r="S1140" s="59"/>
      <c r="T1140" s="59"/>
      <c r="U1140" s="59"/>
      <c r="V1140" s="59"/>
      <c r="W1140" s="59"/>
      <c r="X1140" s="59"/>
      <c r="Y1140" s="59"/>
      <c r="Z1140" s="59"/>
      <c r="AA1140" s="59"/>
      <c r="AB1140" s="59"/>
      <c r="AC1140" s="59"/>
      <c r="AD1140" s="59"/>
      <c r="AE1140" s="59"/>
      <c r="AF1140" s="59"/>
      <c r="AG1140" s="59"/>
      <c r="AH1140" s="59"/>
      <c r="AI1140" s="59"/>
      <c r="AJ1140" s="59"/>
      <c r="AK1140" s="59"/>
      <c r="AL1140" s="59"/>
      <c r="AM1140" s="59"/>
      <c r="AN1140" s="59"/>
      <c r="AO1140" s="59"/>
      <c r="AP1140" s="59"/>
      <c r="AQ1140" s="59"/>
      <c r="AR1140" s="59"/>
      <c r="AS1140" s="59"/>
      <c r="AT1140" s="59"/>
      <c r="AU1140" s="59"/>
      <c r="AV1140" s="59"/>
      <c r="AW1140" s="59"/>
      <c r="AX1140" s="59"/>
      <c r="AY1140" s="59"/>
      <c r="AZ1140" s="59"/>
      <c r="BA1140" s="59"/>
      <c r="BB1140" s="59"/>
      <c r="BC1140" s="59"/>
      <c r="BD1140" s="59"/>
      <c r="BE1140" s="59"/>
      <c r="BF1140" s="59"/>
      <c r="BG1140" s="59"/>
      <c r="BH1140" s="59"/>
      <c r="BI1140" s="59"/>
      <c r="BJ1140" s="59"/>
      <c r="BK1140" s="59"/>
      <c r="BL1140" s="59"/>
      <c r="BM1140" s="59"/>
      <c r="BN1140" s="59"/>
      <c r="BO1140" s="59"/>
      <c r="BP1140" s="59"/>
      <c r="BQ1140" s="59"/>
      <c r="BR1140" s="59"/>
      <c r="BS1140" s="59"/>
      <c r="BT1140" s="59"/>
      <c r="BU1140" s="59"/>
      <c r="BV1140" s="59"/>
      <c r="BW1140" s="59"/>
      <c r="BX1140" s="59"/>
      <c r="BY1140" s="59"/>
      <c r="BZ1140" s="59"/>
      <c r="CA1140" s="59"/>
      <c r="CB1140" s="59"/>
    </row>
    <row r="1141" spans="1:80">
      <c r="A1141" s="74">
        <v>1140</v>
      </c>
      <c r="B1141" s="66" t="s">
        <v>67</v>
      </c>
      <c r="C1141" s="67" t="s">
        <v>303</v>
      </c>
      <c r="D1141" s="59" t="s">
        <v>163</v>
      </c>
      <c r="E1141" s="88"/>
      <c r="F1141" s="59"/>
      <c r="G1141" s="59"/>
      <c r="H1141" s="77" t="s">
        <v>76</v>
      </c>
      <c r="I1141" s="82">
        <v>12000</v>
      </c>
      <c r="J1141" s="59"/>
      <c r="K1141" s="85"/>
      <c r="L1141" s="86"/>
      <c r="M1141" s="98"/>
      <c r="N1141" s="59"/>
      <c r="O1141" s="59"/>
      <c r="P1141" s="59"/>
      <c r="Q1141" s="59"/>
      <c r="R1141" s="59"/>
      <c r="S1141" s="59"/>
      <c r="T1141" s="59"/>
      <c r="U1141" s="59"/>
      <c r="V1141" s="59"/>
      <c r="W1141" s="59"/>
      <c r="X1141" s="59"/>
      <c r="Y1141" s="59"/>
      <c r="Z1141" s="59"/>
      <c r="AA1141" s="59"/>
      <c r="AB1141" s="59"/>
      <c r="AC1141" s="59"/>
      <c r="AD1141" s="59"/>
      <c r="AE1141" s="59"/>
      <c r="AF1141" s="59"/>
      <c r="AG1141" s="59"/>
      <c r="AH1141" s="59"/>
      <c r="AI1141" s="59"/>
      <c r="AJ1141" s="59"/>
      <c r="AK1141" s="59"/>
      <c r="AL1141" s="59"/>
      <c r="AM1141" s="59"/>
      <c r="AN1141" s="59"/>
      <c r="AO1141" s="59"/>
      <c r="AP1141" s="59"/>
      <c r="AQ1141" s="59"/>
      <c r="AR1141" s="59"/>
      <c r="AS1141" s="59"/>
      <c r="AT1141" s="59"/>
      <c r="AU1141" s="59"/>
      <c r="AV1141" s="59"/>
      <c r="AW1141" s="59"/>
      <c r="AX1141" s="59"/>
      <c r="AY1141" s="59"/>
      <c r="AZ1141" s="59"/>
      <c r="BA1141" s="59"/>
      <c r="BB1141" s="59"/>
      <c r="BC1141" s="59"/>
      <c r="BD1141" s="59"/>
      <c r="BE1141" s="59"/>
      <c r="BF1141" s="59"/>
      <c r="BG1141" s="59"/>
      <c r="BH1141" s="59"/>
      <c r="BI1141" s="59"/>
      <c r="BJ1141" s="59"/>
      <c r="BK1141" s="59"/>
      <c r="BL1141" s="59"/>
      <c r="BM1141" s="59"/>
      <c r="BN1141" s="59"/>
      <c r="BO1141" s="59"/>
      <c r="BP1141" s="59"/>
      <c r="BQ1141" s="59"/>
      <c r="BR1141" s="59"/>
      <c r="BS1141" s="59"/>
      <c r="BT1141" s="59"/>
      <c r="BU1141" s="59"/>
      <c r="BV1141" s="59"/>
      <c r="BW1141" s="59"/>
      <c r="BX1141" s="59"/>
      <c r="BY1141" s="59"/>
      <c r="BZ1141" s="59"/>
      <c r="CA1141" s="59"/>
      <c r="CB1141" s="59"/>
    </row>
    <row r="1142" spans="1:80">
      <c r="A1142" s="74">
        <v>1141</v>
      </c>
      <c r="B1142" s="66" t="s">
        <v>67</v>
      </c>
      <c r="C1142" s="67" t="s">
        <v>303</v>
      </c>
      <c r="D1142" s="59" t="s">
        <v>164</v>
      </c>
      <c r="E1142" s="88"/>
      <c r="F1142" s="59"/>
      <c r="G1142" s="59"/>
      <c r="H1142" s="77" t="s">
        <v>71</v>
      </c>
      <c r="I1142" s="78">
        <v>16000</v>
      </c>
      <c r="J1142" s="59"/>
      <c r="K1142" s="85"/>
      <c r="L1142" s="86"/>
      <c r="M1142" s="87"/>
      <c r="N1142" s="59"/>
      <c r="O1142" s="59"/>
      <c r="P1142" s="59"/>
      <c r="Q1142" s="59"/>
      <c r="R1142" s="59"/>
      <c r="S1142" s="59"/>
      <c r="T1142" s="59"/>
      <c r="U1142" s="59"/>
      <c r="V1142" s="59"/>
      <c r="W1142" s="59"/>
      <c r="X1142" s="59"/>
      <c r="Y1142" s="59"/>
      <c r="Z1142" s="59"/>
      <c r="AA1142" s="59"/>
      <c r="AB1142" s="59"/>
      <c r="AC1142" s="59"/>
      <c r="AD1142" s="59"/>
      <c r="AE1142" s="59"/>
      <c r="AF1142" s="59"/>
      <c r="AG1142" s="59"/>
      <c r="AH1142" s="59"/>
      <c r="AI1142" s="59"/>
      <c r="AJ1142" s="59"/>
      <c r="AK1142" s="59"/>
      <c r="AL1142" s="59"/>
      <c r="AM1142" s="59"/>
      <c r="AN1142" s="59"/>
      <c r="AO1142" s="59"/>
      <c r="AP1142" s="59"/>
      <c r="AQ1142" s="59"/>
      <c r="AR1142" s="59"/>
      <c r="AS1142" s="59"/>
      <c r="AT1142" s="59"/>
      <c r="AU1142" s="59"/>
      <c r="AV1142" s="59"/>
      <c r="AW1142" s="59"/>
      <c r="AX1142" s="59"/>
      <c r="AY1142" s="59"/>
      <c r="AZ1142" s="59"/>
      <c r="BA1142" s="59"/>
      <c r="BB1142" s="59"/>
      <c r="BC1142" s="59"/>
      <c r="BD1142" s="59"/>
      <c r="BE1142" s="59"/>
      <c r="BF1142" s="59"/>
      <c r="BG1142" s="59"/>
      <c r="BH1142" s="59"/>
      <c r="BI1142" s="59"/>
      <c r="BJ1142" s="59"/>
      <c r="BK1142" s="59"/>
      <c r="BL1142" s="59"/>
      <c r="BM1142" s="59"/>
      <c r="BN1142" s="59"/>
      <c r="BO1142" s="59"/>
      <c r="BP1142" s="59"/>
      <c r="BQ1142" s="59"/>
      <c r="BR1142" s="59"/>
    </row>
    <row r="1143" spans="1:80">
      <c r="A1143" s="74">
        <v>1142</v>
      </c>
      <c r="B1143" s="66" t="s">
        <v>67</v>
      </c>
      <c r="C1143" s="67" t="s">
        <v>303</v>
      </c>
      <c r="D1143" s="59" t="s">
        <v>165</v>
      </c>
      <c r="E1143" s="88"/>
      <c r="F1143" s="59"/>
      <c r="G1143" s="59"/>
      <c r="H1143" s="77" t="s">
        <v>76</v>
      </c>
      <c r="I1143" s="82">
        <v>12000</v>
      </c>
      <c r="J1143" s="59"/>
      <c r="K1143" s="85"/>
      <c r="L1143" s="86"/>
      <c r="M1143" s="99"/>
      <c r="N1143" s="59"/>
      <c r="O1143" s="59"/>
      <c r="P1143" s="59"/>
      <c r="Q1143" s="59"/>
      <c r="R1143" s="59"/>
      <c r="S1143" s="59"/>
      <c r="T1143" s="59"/>
      <c r="U1143" s="59"/>
      <c r="V1143" s="59"/>
      <c r="W1143" s="59"/>
      <c r="X1143" s="59"/>
      <c r="Y1143" s="59"/>
      <c r="Z1143" s="59"/>
      <c r="AA1143" s="59"/>
      <c r="AB1143" s="59"/>
      <c r="AC1143" s="59"/>
      <c r="AD1143" s="59"/>
      <c r="AE1143" s="59"/>
      <c r="AF1143" s="59"/>
      <c r="AG1143" s="59"/>
      <c r="AH1143" s="59"/>
      <c r="AI1143" s="59"/>
      <c r="AJ1143" s="59"/>
      <c r="AK1143" s="59"/>
      <c r="AL1143" s="59"/>
      <c r="AM1143" s="59"/>
      <c r="AN1143" s="59"/>
      <c r="AO1143" s="59"/>
      <c r="AP1143" s="59"/>
      <c r="AQ1143" s="59"/>
      <c r="AR1143" s="59"/>
      <c r="AS1143" s="59"/>
      <c r="AT1143" s="59"/>
      <c r="AU1143" s="59"/>
      <c r="AV1143" s="59"/>
      <c r="AW1143" s="59"/>
      <c r="AX1143" s="59"/>
      <c r="AY1143" s="59"/>
      <c r="AZ1143" s="59"/>
      <c r="BA1143" s="59"/>
      <c r="BB1143" s="59"/>
      <c r="BC1143" s="59"/>
      <c r="BD1143" s="59"/>
      <c r="BE1143" s="59"/>
      <c r="BF1143" s="59"/>
      <c r="BG1143" s="59"/>
      <c r="BH1143" s="59"/>
      <c r="BI1143" s="59"/>
      <c r="BJ1143" s="59"/>
      <c r="BK1143" s="59"/>
      <c r="BL1143" s="59"/>
      <c r="BM1143" s="59"/>
      <c r="BN1143" s="59"/>
      <c r="BO1143" s="59"/>
      <c r="BP1143" s="59"/>
      <c r="BQ1143" s="59"/>
      <c r="BR1143" s="59"/>
      <c r="BS1143" s="59"/>
      <c r="BT1143" s="59"/>
      <c r="BU1143" s="59"/>
      <c r="BV1143" s="59"/>
      <c r="BW1143" s="59"/>
      <c r="BX1143" s="59"/>
      <c r="BY1143" s="59"/>
      <c r="BZ1143" s="59"/>
      <c r="CA1143" s="59"/>
      <c r="CB1143" s="59"/>
    </row>
    <row r="1144" spans="1:80">
      <c r="A1144" s="74">
        <v>1143</v>
      </c>
      <c r="B1144" s="66" t="s">
        <v>67</v>
      </c>
      <c r="C1144" s="67" t="s">
        <v>303</v>
      </c>
      <c r="D1144" s="59" t="s">
        <v>166</v>
      </c>
      <c r="E1144" s="88"/>
      <c r="F1144" s="59"/>
      <c r="G1144" s="59"/>
      <c r="H1144" s="77" t="s">
        <v>76</v>
      </c>
      <c r="I1144" s="82">
        <v>12000</v>
      </c>
      <c r="J1144" s="59"/>
      <c r="K1144" s="85"/>
      <c r="L1144" s="86"/>
      <c r="M1144" s="87"/>
      <c r="N1144" s="59"/>
      <c r="O1144" s="59"/>
      <c r="P1144" s="59"/>
      <c r="Q1144" s="59"/>
      <c r="R1144" s="59"/>
      <c r="S1144" s="59"/>
      <c r="T1144" s="59"/>
      <c r="U1144" s="59"/>
      <c r="V1144" s="59"/>
      <c r="W1144" s="59"/>
      <c r="X1144" s="59"/>
      <c r="Y1144" s="59"/>
      <c r="Z1144" s="59"/>
      <c r="AA1144" s="59"/>
      <c r="AB1144" s="59"/>
      <c r="AC1144" s="59"/>
      <c r="AD1144" s="59"/>
      <c r="AE1144" s="59"/>
      <c r="AF1144" s="59"/>
      <c r="AG1144" s="59"/>
      <c r="AH1144" s="59"/>
      <c r="AI1144" s="59"/>
      <c r="AJ1144" s="59"/>
      <c r="AK1144" s="59"/>
      <c r="AL1144" s="59"/>
      <c r="AM1144" s="59"/>
      <c r="AN1144" s="59"/>
      <c r="AO1144" s="59"/>
      <c r="AP1144" s="59"/>
      <c r="AQ1144" s="59"/>
      <c r="AR1144" s="59"/>
      <c r="AS1144" s="59"/>
      <c r="AT1144" s="59"/>
      <c r="AU1144" s="59"/>
      <c r="AV1144" s="59"/>
      <c r="AW1144" s="59"/>
      <c r="AX1144" s="59"/>
      <c r="AY1144" s="59"/>
      <c r="AZ1144" s="59"/>
      <c r="BA1144" s="59"/>
      <c r="BB1144" s="59"/>
      <c r="BC1144" s="59"/>
      <c r="BD1144" s="59"/>
      <c r="BE1144" s="59"/>
      <c r="BF1144" s="59"/>
      <c r="BG1144" s="59"/>
      <c r="BH1144" s="59"/>
      <c r="BI1144" s="59"/>
      <c r="BJ1144" s="59"/>
      <c r="BK1144" s="59"/>
      <c r="BL1144" s="59"/>
      <c r="BM1144" s="59"/>
      <c r="BN1144" s="59"/>
      <c r="BO1144" s="59"/>
      <c r="BP1144" s="59"/>
      <c r="BQ1144" s="59"/>
      <c r="BR1144" s="59"/>
      <c r="BS1144" s="59"/>
      <c r="BT1144" s="59"/>
      <c r="BU1144" s="59"/>
      <c r="BV1144" s="59"/>
      <c r="BW1144" s="59"/>
      <c r="BX1144" s="59"/>
      <c r="BY1144" s="59"/>
      <c r="BZ1144" s="59"/>
      <c r="CA1144" s="59"/>
      <c r="CB1144" s="59"/>
    </row>
    <row r="1145" spans="1:80">
      <c r="A1145" s="74">
        <v>1144</v>
      </c>
      <c r="B1145" s="66" t="s">
        <v>67</v>
      </c>
      <c r="C1145" s="67" t="s">
        <v>303</v>
      </c>
      <c r="D1145" s="59" t="s">
        <v>167</v>
      </c>
      <c r="E1145" s="88"/>
      <c r="F1145" s="59"/>
      <c r="G1145" s="59"/>
      <c r="H1145" s="77" t="s">
        <v>76</v>
      </c>
      <c r="I1145" s="82">
        <v>12000</v>
      </c>
      <c r="J1145" s="59"/>
      <c r="K1145" s="85"/>
      <c r="L1145" s="86"/>
      <c r="M1145" s="87"/>
      <c r="N1145" s="59"/>
      <c r="O1145" s="59"/>
      <c r="P1145" s="59"/>
      <c r="Q1145" s="59"/>
      <c r="R1145" s="59"/>
      <c r="S1145" s="59"/>
      <c r="T1145" s="59"/>
      <c r="U1145" s="59"/>
      <c r="V1145" s="59"/>
      <c r="W1145" s="59"/>
      <c r="X1145" s="59"/>
      <c r="Y1145" s="59"/>
      <c r="Z1145" s="59"/>
      <c r="AA1145" s="59"/>
      <c r="AB1145" s="59"/>
      <c r="AC1145" s="59"/>
      <c r="AD1145" s="59"/>
      <c r="AE1145" s="59"/>
      <c r="AF1145" s="59"/>
      <c r="AG1145" s="59"/>
      <c r="AH1145" s="59"/>
      <c r="AI1145" s="59"/>
      <c r="AJ1145" s="59"/>
      <c r="AK1145" s="59"/>
      <c r="AL1145" s="59"/>
      <c r="AM1145" s="59"/>
      <c r="AN1145" s="59"/>
      <c r="AO1145" s="59"/>
      <c r="AP1145" s="59"/>
      <c r="AQ1145" s="59"/>
      <c r="AR1145" s="59"/>
      <c r="AS1145" s="59"/>
      <c r="AT1145" s="59"/>
      <c r="AU1145" s="59"/>
      <c r="AV1145" s="59"/>
      <c r="AW1145" s="59"/>
      <c r="AX1145" s="59"/>
      <c r="AY1145" s="59"/>
      <c r="AZ1145" s="59"/>
      <c r="BA1145" s="59"/>
      <c r="BB1145" s="59"/>
      <c r="BC1145" s="59"/>
      <c r="BD1145" s="59"/>
      <c r="BE1145" s="59"/>
      <c r="BF1145" s="59"/>
      <c r="BG1145" s="59"/>
      <c r="BH1145" s="59"/>
      <c r="BI1145" s="59"/>
      <c r="BJ1145" s="59"/>
      <c r="BK1145" s="59"/>
      <c r="BL1145" s="59"/>
      <c r="BM1145" s="59"/>
      <c r="BN1145" s="59"/>
      <c r="BO1145" s="59"/>
      <c r="BP1145" s="59"/>
      <c r="BQ1145" s="59"/>
      <c r="BR1145" s="59"/>
      <c r="BS1145" s="59"/>
      <c r="BT1145" s="59"/>
      <c r="BU1145" s="59"/>
      <c r="BV1145" s="59"/>
      <c r="BW1145" s="59"/>
      <c r="BX1145" s="59"/>
      <c r="BY1145" s="59"/>
      <c r="BZ1145" s="59"/>
      <c r="CA1145" s="59"/>
      <c r="CB1145" s="59"/>
    </row>
    <row r="1146" spans="1:80">
      <c r="A1146" s="74">
        <v>1145</v>
      </c>
      <c r="B1146" s="66" t="s">
        <v>67</v>
      </c>
      <c r="C1146" s="67" t="s">
        <v>303</v>
      </c>
      <c r="D1146" s="59" t="s">
        <v>168</v>
      </c>
      <c r="E1146" s="88"/>
      <c r="F1146" s="59"/>
      <c r="G1146" s="59"/>
      <c r="H1146" s="77" t="s">
        <v>76</v>
      </c>
      <c r="I1146" s="82">
        <v>12000</v>
      </c>
      <c r="J1146" s="59"/>
      <c r="K1146" s="85"/>
      <c r="L1146" s="86"/>
      <c r="M1146" s="87"/>
      <c r="N1146" s="59"/>
      <c r="O1146" s="59"/>
      <c r="P1146" s="59"/>
      <c r="Q1146" s="59"/>
      <c r="R1146" s="59"/>
      <c r="S1146" s="59"/>
      <c r="T1146" s="59"/>
      <c r="U1146" s="59"/>
      <c r="V1146" s="59"/>
      <c r="W1146" s="59"/>
      <c r="X1146" s="59"/>
      <c r="Y1146" s="59"/>
      <c r="Z1146" s="59"/>
      <c r="AA1146" s="59"/>
      <c r="AB1146" s="59"/>
      <c r="AC1146" s="59"/>
      <c r="AD1146" s="59"/>
      <c r="AE1146" s="59"/>
      <c r="AF1146" s="59"/>
      <c r="AG1146" s="59"/>
      <c r="AH1146" s="59"/>
      <c r="AI1146" s="59"/>
      <c r="AJ1146" s="59"/>
      <c r="AK1146" s="59"/>
      <c r="AL1146" s="59"/>
      <c r="AM1146" s="59"/>
      <c r="AN1146" s="59"/>
      <c r="AO1146" s="59"/>
      <c r="AP1146" s="59"/>
      <c r="AQ1146" s="59"/>
      <c r="AR1146" s="59"/>
      <c r="AS1146" s="59"/>
      <c r="AT1146" s="59"/>
      <c r="AU1146" s="59"/>
      <c r="AV1146" s="59"/>
      <c r="AW1146" s="59"/>
      <c r="AX1146" s="59"/>
      <c r="AY1146" s="59"/>
      <c r="AZ1146" s="59"/>
      <c r="BA1146" s="59"/>
      <c r="BB1146" s="59"/>
      <c r="BC1146" s="59"/>
      <c r="BD1146" s="59"/>
      <c r="BE1146" s="59"/>
      <c r="BF1146" s="59"/>
      <c r="BG1146" s="59"/>
      <c r="BH1146" s="59"/>
      <c r="BI1146" s="59"/>
      <c r="BJ1146" s="59"/>
      <c r="BK1146" s="59"/>
      <c r="BL1146" s="59"/>
      <c r="BM1146" s="59"/>
      <c r="BN1146" s="59"/>
      <c r="BO1146" s="59"/>
      <c r="BP1146" s="59"/>
      <c r="BQ1146" s="59"/>
      <c r="BR1146" s="59"/>
      <c r="BS1146" s="59"/>
      <c r="BT1146" s="59"/>
      <c r="BU1146" s="59"/>
      <c r="BV1146" s="59"/>
      <c r="BW1146" s="59"/>
      <c r="BX1146" s="59"/>
      <c r="BY1146" s="59"/>
      <c r="BZ1146" s="59"/>
      <c r="CA1146" s="59"/>
      <c r="CB1146" s="59"/>
    </row>
    <row r="1147" spans="1:80">
      <c r="A1147" s="74">
        <v>1146</v>
      </c>
      <c r="B1147" s="66" t="s">
        <v>67</v>
      </c>
      <c r="C1147" s="67" t="s">
        <v>303</v>
      </c>
      <c r="D1147" s="59" t="s">
        <v>169</v>
      </c>
      <c r="E1147" s="88"/>
      <c r="F1147" s="59"/>
      <c r="G1147" s="59"/>
      <c r="H1147" s="77" t="s">
        <v>76</v>
      </c>
      <c r="I1147" s="82">
        <v>12000</v>
      </c>
      <c r="J1147" s="59"/>
      <c r="K1147" s="85"/>
      <c r="L1147" s="86"/>
      <c r="M1147" s="87"/>
      <c r="N1147" s="59"/>
      <c r="O1147" s="59"/>
      <c r="P1147" s="59"/>
      <c r="Q1147" s="59"/>
      <c r="R1147" s="59"/>
      <c r="S1147" s="59"/>
      <c r="T1147" s="59"/>
      <c r="U1147" s="59"/>
      <c r="V1147" s="59"/>
      <c r="W1147" s="59"/>
      <c r="X1147" s="59"/>
      <c r="Y1147" s="59"/>
      <c r="Z1147" s="59"/>
      <c r="AA1147" s="59"/>
      <c r="AB1147" s="59"/>
      <c r="AC1147" s="59"/>
      <c r="AD1147" s="59"/>
      <c r="AE1147" s="59"/>
      <c r="AF1147" s="59"/>
      <c r="AG1147" s="59"/>
      <c r="AH1147" s="59"/>
      <c r="AI1147" s="59"/>
      <c r="AJ1147" s="59"/>
      <c r="AK1147" s="59"/>
      <c r="AL1147" s="59"/>
      <c r="AM1147" s="59"/>
      <c r="AN1147" s="59"/>
      <c r="AO1147" s="59"/>
      <c r="AP1147" s="59"/>
      <c r="AQ1147" s="59"/>
      <c r="AR1147" s="59"/>
      <c r="AS1147" s="59"/>
      <c r="AT1147" s="59"/>
      <c r="AU1147" s="59"/>
      <c r="AV1147" s="59"/>
      <c r="AW1147" s="59"/>
      <c r="AX1147" s="59"/>
      <c r="AY1147" s="59"/>
      <c r="AZ1147" s="59"/>
      <c r="BA1147" s="59"/>
      <c r="BB1147" s="59"/>
      <c r="BC1147" s="59"/>
      <c r="BD1147" s="59"/>
      <c r="BE1147" s="59"/>
      <c r="BF1147" s="59"/>
      <c r="BG1147" s="59"/>
      <c r="BH1147" s="59"/>
      <c r="BI1147" s="59"/>
      <c r="BJ1147" s="59"/>
      <c r="BK1147" s="59"/>
      <c r="BL1147" s="59"/>
      <c r="BM1147" s="59"/>
      <c r="BN1147" s="59"/>
      <c r="BO1147" s="59"/>
      <c r="BP1147" s="59"/>
      <c r="BQ1147" s="59"/>
      <c r="BR1147" s="59"/>
      <c r="BS1147" s="59"/>
      <c r="BT1147" s="59"/>
      <c r="BU1147" s="59"/>
      <c r="BV1147" s="59"/>
      <c r="BW1147" s="59"/>
      <c r="BX1147" s="59"/>
      <c r="BY1147" s="59"/>
      <c r="BZ1147" s="59"/>
      <c r="CA1147" s="59"/>
      <c r="CB1147" s="59"/>
    </row>
    <row r="1148" spans="1:80">
      <c r="A1148" s="74">
        <v>1147</v>
      </c>
      <c r="B1148" s="66" t="s">
        <v>67</v>
      </c>
      <c r="C1148" s="67" t="s">
        <v>303</v>
      </c>
      <c r="D1148" s="59" t="s">
        <v>170</v>
      </c>
      <c r="E1148" s="88"/>
      <c r="F1148" s="59"/>
      <c r="G1148" s="59"/>
      <c r="H1148" s="77" t="s">
        <v>76</v>
      </c>
      <c r="I1148" s="82">
        <v>12000</v>
      </c>
      <c r="J1148" s="59"/>
      <c r="K1148" s="85"/>
      <c r="L1148" s="86"/>
      <c r="M1148" s="87"/>
      <c r="N1148" s="59"/>
      <c r="O1148" s="59"/>
      <c r="P1148" s="59"/>
      <c r="Q1148" s="59"/>
      <c r="R1148" s="59"/>
      <c r="S1148" s="59"/>
      <c r="T1148" s="59"/>
      <c r="U1148" s="59"/>
      <c r="V1148" s="59"/>
      <c r="W1148" s="59"/>
      <c r="X1148" s="59"/>
      <c r="Y1148" s="59"/>
      <c r="Z1148" s="59"/>
      <c r="AA1148" s="59"/>
      <c r="AB1148" s="59"/>
      <c r="AC1148" s="59"/>
      <c r="AD1148" s="59"/>
      <c r="AE1148" s="59"/>
      <c r="AF1148" s="59"/>
      <c r="AG1148" s="59"/>
      <c r="AH1148" s="59"/>
      <c r="AI1148" s="59"/>
      <c r="AJ1148" s="59"/>
      <c r="AK1148" s="59"/>
      <c r="AL1148" s="59"/>
      <c r="AM1148" s="59"/>
      <c r="AN1148" s="59"/>
      <c r="AO1148" s="59"/>
      <c r="AP1148" s="59"/>
      <c r="AQ1148" s="59"/>
      <c r="AR1148" s="59"/>
      <c r="AS1148" s="59"/>
      <c r="AT1148" s="59"/>
      <c r="AU1148" s="59"/>
      <c r="AV1148" s="59"/>
      <c r="AW1148" s="59"/>
      <c r="AX1148" s="59"/>
      <c r="AY1148" s="59"/>
      <c r="AZ1148" s="59"/>
      <c r="BA1148" s="59"/>
      <c r="BB1148" s="59"/>
      <c r="BC1148" s="59"/>
      <c r="BD1148" s="59"/>
      <c r="BE1148" s="59"/>
      <c r="BF1148" s="59"/>
      <c r="BG1148" s="59"/>
      <c r="BH1148" s="59"/>
      <c r="BI1148" s="59"/>
      <c r="BJ1148" s="59"/>
      <c r="BK1148" s="59"/>
      <c r="BL1148" s="59"/>
      <c r="BM1148" s="59"/>
      <c r="BN1148" s="59"/>
      <c r="BO1148" s="59"/>
      <c r="BP1148" s="59"/>
      <c r="BQ1148" s="59"/>
      <c r="BR1148" s="59"/>
      <c r="BS1148" s="59"/>
      <c r="BT1148" s="59"/>
      <c r="BU1148" s="59"/>
      <c r="BV1148" s="59"/>
      <c r="BW1148" s="59"/>
      <c r="BX1148" s="59"/>
      <c r="BY1148" s="59"/>
      <c r="BZ1148" s="59"/>
      <c r="CA1148" s="59"/>
      <c r="CB1148" s="59"/>
    </row>
    <row r="1149" spans="1:80">
      <c r="A1149" s="74">
        <v>1148</v>
      </c>
      <c r="B1149" s="66" t="s">
        <v>67</v>
      </c>
      <c r="C1149" s="67" t="s">
        <v>303</v>
      </c>
      <c r="D1149" s="59" t="s">
        <v>171</v>
      </c>
      <c r="E1149" s="88"/>
      <c r="F1149" s="59"/>
      <c r="G1149" s="59"/>
      <c r="H1149" s="77" t="s">
        <v>76</v>
      </c>
      <c r="I1149" s="82">
        <v>12000</v>
      </c>
      <c r="J1149" s="59"/>
      <c r="K1149" s="85"/>
      <c r="L1149" s="86"/>
      <c r="M1149" s="87"/>
      <c r="N1149" s="59"/>
      <c r="O1149" s="59"/>
      <c r="P1149" s="59"/>
      <c r="Q1149" s="59"/>
      <c r="R1149" s="59"/>
      <c r="S1149" s="59"/>
      <c r="T1149" s="59"/>
      <c r="U1149" s="59"/>
      <c r="V1149" s="59"/>
      <c r="W1149" s="59"/>
      <c r="X1149" s="59"/>
      <c r="Y1149" s="59"/>
      <c r="Z1149" s="59"/>
      <c r="AA1149" s="59"/>
      <c r="AB1149" s="59"/>
      <c r="AC1149" s="59"/>
      <c r="AD1149" s="59"/>
      <c r="AE1149" s="59"/>
      <c r="AF1149" s="59"/>
      <c r="AG1149" s="59"/>
      <c r="AH1149" s="59"/>
      <c r="AI1149" s="59"/>
      <c r="AJ1149" s="59"/>
      <c r="AK1149" s="59"/>
      <c r="AL1149" s="59"/>
      <c r="AM1149" s="59"/>
      <c r="AN1149" s="59"/>
      <c r="AO1149" s="59"/>
      <c r="AP1149" s="59"/>
      <c r="AQ1149" s="59"/>
      <c r="AR1149" s="59"/>
      <c r="AS1149" s="59"/>
      <c r="AT1149" s="59"/>
      <c r="AU1149" s="59"/>
      <c r="AV1149" s="59"/>
      <c r="AW1149" s="59"/>
      <c r="AX1149" s="59"/>
      <c r="AY1149" s="59"/>
      <c r="AZ1149" s="59"/>
      <c r="BA1149" s="59"/>
      <c r="BB1149" s="59"/>
      <c r="BC1149" s="59"/>
      <c r="BD1149" s="59"/>
      <c r="BE1149" s="59"/>
      <c r="BF1149" s="59"/>
      <c r="BG1149" s="59"/>
      <c r="BH1149" s="59"/>
      <c r="BI1149" s="59"/>
      <c r="BJ1149" s="59"/>
      <c r="BK1149" s="59"/>
      <c r="BL1149" s="59"/>
      <c r="BM1149" s="59"/>
      <c r="BN1149" s="59"/>
      <c r="BO1149" s="59"/>
      <c r="BP1149" s="59"/>
      <c r="BQ1149" s="59"/>
      <c r="BR1149" s="59"/>
      <c r="BS1149" s="59"/>
      <c r="BT1149" s="59"/>
      <c r="BU1149" s="59"/>
      <c r="BV1149" s="59"/>
      <c r="BW1149" s="59"/>
      <c r="BX1149" s="59"/>
      <c r="BY1149" s="59"/>
      <c r="BZ1149" s="59"/>
      <c r="CA1149" s="59"/>
      <c r="CB1149" s="59"/>
    </row>
    <row r="1150" spans="1:80">
      <c r="A1150" s="74">
        <v>1149</v>
      </c>
      <c r="B1150" s="66" t="s">
        <v>67</v>
      </c>
      <c r="C1150" s="67" t="s">
        <v>303</v>
      </c>
      <c r="D1150" s="59" t="s">
        <v>172</v>
      </c>
      <c r="E1150" s="88"/>
      <c r="F1150" s="59"/>
      <c r="G1150" s="59"/>
      <c r="H1150" s="77" t="s">
        <v>76</v>
      </c>
      <c r="I1150" s="82">
        <v>12000</v>
      </c>
      <c r="J1150" s="59"/>
      <c r="K1150" s="85"/>
      <c r="L1150" s="86"/>
      <c r="M1150" s="87"/>
      <c r="N1150" s="59"/>
      <c r="O1150" s="59"/>
      <c r="P1150" s="59"/>
      <c r="Q1150" s="59"/>
      <c r="R1150" s="59"/>
      <c r="S1150" s="59"/>
      <c r="T1150" s="59"/>
      <c r="U1150" s="59"/>
      <c r="V1150" s="59"/>
      <c r="W1150" s="59"/>
      <c r="X1150" s="59"/>
      <c r="Y1150" s="59"/>
      <c r="Z1150" s="59"/>
      <c r="AA1150" s="59"/>
      <c r="AB1150" s="59"/>
      <c r="AC1150" s="59"/>
      <c r="AD1150" s="59"/>
      <c r="AE1150" s="59"/>
      <c r="AF1150" s="59"/>
      <c r="AG1150" s="59"/>
      <c r="AH1150" s="59"/>
      <c r="AI1150" s="59"/>
      <c r="AJ1150" s="59"/>
      <c r="AK1150" s="59"/>
      <c r="AL1150" s="59"/>
      <c r="AM1150" s="59"/>
      <c r="AN1150" s="59"/>
      <c r="AO1150" s="59"/>
      <c r="AP1150" s="59"/>
      <c r="AQ1150" s="59"/>
      <c r="AR1150" s="59"/>
      <c r="AS1150" s="59"/>
      <c r="AT1150" s="59"/>
      <c r="AU1150" s="59"/>
      <c r="AV1150" s="59"/>
      <c r="AW1150" s="59"/>
      <c r="AX1150" s="59"/>
      <c r="AY1150" s="59"/>
      <c r="AZ1150" s="59"/>
      <c r="BA1150" s="59"/>
      <c r="BB1150" s="59"/>
      <c r="BC1150" s="59"/>
      <c r="BD1150" s="59"/>
      <c r="BE1150" s="59"/>
      <c r="BF1150" s="59"/>
      <c r="BG1150" s="59"/>
      <c r="BH1150" s="59"/>
      <c r="BI1150" s="59"/>
      <c r="BJ1150" s="59"/>
      <c r="BK1150" s="59"/>
      <c r="BL1150" s="59"/>
      <c r="BM1150" s="59"/>
      <c r="BN1150" s="59"/>
      <c r="BO1150" s="59"/>
      <c r="BP1150" s="59"/>
      <c r="BQ1150" s="59"/>
      <c r="BR1150" s="59"/>
      <c r="BS1150" s="59"/>
      <c r="BT1150" s="59"/>
      <c r="BU1150" s="59"/>
      <c r="BV1150" s="59"/>
      <c r="BW1150" s="59"/>
      <c r="BX1150" s="59"/>
      <c r="BY1150" s="59"/>
      <c r="BZ1150" s="59"/>
      <c r="CA1150" s="59"/>
      <c r="CB1150" s="59"/>
    </row>
    <row r="1151" spans="1:80">
      <c r="A1151" s="74">
        <v>1150</v>
      </c>
      <c r="B1151" s="66" t="s">
        <v>67</v>
      </c>
      <c r="C1151" s="67" t="s">
        <v>303</v>
      </c>
      <c r="D1151" s="59" t="s">
        <v>173</v>
      </c>
      <c r="E1151" s="88"/>
      <c r="F1151" s="59"/>
      <c r="G1151" s="59"/>
      <c r="H1151" s="77" t="s">
        <v>76</v>
      </c>
      <c r="I1151" s="82">
        <v>12000</v>
      </c>
      <c r="J1151" s="59"/>
      <c r="K1151" s="85"/>
      <c r="L1151" s="86"/>
      <c r="M1151" s="87"/>
      <c r="N1151" s="59"/>
      <c r="O1151" s="59"/>
      <c r="P1151" s="59"/>
      <c r="Q1151" s="59"/>
      <c r="R1151" s="59"/>
      <c r="S1151" s="59"/>
      <c r="T1151" s="59"/>
      <c r="U1151" s="59"/>
      <c r="V1151" s="59"/>
      <c r="W1151" s="59"/>
      <c r="X1151" s="59"/>
      <c r="Y1151" s="59"/>
      <c r="Z1151" s="59"/>
      <c r="AA1151" s="59"/>
      <c r="AB1151" s="59"/>
      <c r="AC1151" s="59"/>
      <c r="AD1151" s="59"/>
      <c r="AE1151" s="59"/>
      <c r="AF1151" s="59"/>
      <c r="AG1151" s="59"/>
      <c r="AH1151" s="59"/>
      <c r="AI1151" s="59"/>
      <c r="AJ1151" s="59"/>
      <c r="AK1151" s="59"/>
      <c r="AL1151" s="59"/>
      <c r="AM1151" s="59"/>
      <c r="AN1151" s="59"/>
      <c r="AO1151" s="59"/>
      <c r="AP1151" s="59"/>
      <c r="AQ1151" s="59"/>
      <c r="AR1151" s="59"/>
      <c r="AS1151" s="59"/>
      <c r="AT1151" s="59"/>
      <c r="AU1151" s="59"/>
      <c r="AV1151" s="59"/>
      <c r="AW1151" s="59"/>
      <c r="AX1151" s="59"/>
      <c r="AY1151" s="59"/>
      <c r="AZ1151" s="59"/>
      <c r="BA1151" s="59"/>
      <c r="BB1151" s="59"/>
      <c r="BC1151" s="59"/>
      <c r="BD1151" s="59"/>
      <c r="BE1151" s="59"/>
      <c r="BF1151" s="59"/>
      <c r="BG1151" s="59"/>
      <c r="BH1151" s="59"/>
      <c r="BI1151" s="59"/>
      <c r="BJ1151" s="59"/>
      <c r="BK1151" s="59"/>
      <c r="BL1151" s="59"/>
      <c r="BM1151" s="59"/>
      <c r="BN1151" s="59"/>
      <c r="BO1151" s="59"/>
      <c r="BP1151" s="59"/>
      <c r="BQ1151" s="59"/>
      <c r="BR1151" s="59"/>
      <c r="BS1151" s="59"/>
      <c r="BT1151" s="59"/>
      <c r="BU1151" s="59"/>
      <c r="BV1151" s="59"/>
      <c r="BW1151" s="59"/>
      <c r="BX1151" s="59"/>
      <c r="BY1151" s="59"/>
      <c r="BZ1151" s="59"/>
      <c r="CA1151" s="59"/>
      <c r="CB1151" s="59"/>
    </row>
    <row r="1152" spans="1:80">
      <c r="A1152" s="74">
        <v>1151</v>
      </c>
      <c r="B1152" s="66" t="s">
        <v>67</v>
      </c>
      <c r="C1152" s="67" t="s">
        <v>303</v>
      </c>
      <c r="D1152" s="59" t="s">
        <v>174</v>
      </c>
      <c r="E1152" s="88"/>
      <c r="F1152" s="59"/>
      <c r="G1152" s="59"/>
      <c r="H1152" s="77" t="s">
        <v>76</v>
      </c>
      <c r="I1152" s="82">
        <v>12000</v>
      </c>
      <c r="J1152" s="59"/>
      <c r="K1152" s="85"/>
      <c r="L1152" s="86"/>
      <c r="M1152" s="87"/>
      <c r="N1152" s="59"/>
      <c r="O1152" s="59"/>
      <c r="P1152" s="59"/>
      <c r="Q1152" s="59"/>
      <c r="R1152" s="59"/>
      <c r="S1152" s="59"/>
      <c r="T1152" s="59"/>
      <c r="U1152" s="59"/>
      <c r="V1152" s="59"/>
      <c r="W1152" s="59"/>
      <c r="X1152" s="59"/>
      <c r="Y1152" s="59"/>
      <c r="Z1152" s="59"/>
      <c r="AA1152" s="59"/>
      <c r="AB1152" s="59"/>
      <c r="AC1152" s="59"/>
      <c r="AD1152" s="59"/>
      <c r="AE1152" s="59"/>
      <c r="AF1152" s="59"/>
      <c r="AG1152" s="59"/>
      <c r="AH1152" s="59"/>
      <c r="AI1152" s="59"/>
      <c r="AJ1152" s="59"/>
      <c r="AK1152" s="59"/>
      <c r="AL1152" s="59"/>
      <c r="AM1152" s="59"/>
      <c r="AN1152" s="59"/>
      <c r="AO1152" s="59"/>
      <c r="AP1152" s="59"/>
      <c r="AQ1152" s="59"/>
      <c r="AR1152" s="59"/>
      <c r="AS1152" s="59"/>
      <c r="AT1152" s="59"/>
      <c r="AU1152" s="59"/>
      <c r="AV1152" s="59"/>
      <c r="AW1152" s="59"/>
      <c r="AX1152" s="59"/>
      <c r="AY1152" s="59"/>
      <c r="AZ1152" s="59"/>
      <c r="BA1152" s="59"/>
      <c r="BB1152" s="59"/>
      <c r="BC1152" s="59"/>
      <c r="BD1152" s="59"/>
      <c r="BE1152" s="59"/>
      <c r="BF1152" s="59"/>
      <c r="BG1152" s="59"/>
      <c r="BH1152" s="59"/>
      <c r="BI1152" s="59"/>
      <c r="BJ1152" s="59"/>
      <c r="BK1152" s="59"/>
      <c r="BL1152" s="59"/>
      <c r="BM1152" s="59"/>
      <c r="BN1152" s="59"/>
      <c r="BO1152" s="59"/>
      <c r="BP1152" s="59"/>
      <c r="BQ1152" s="59"/>
      <c r="BR1152" s="59"/>
      <c r="BS1152" s="59"/>
      <c r="BT1152" s="59"/>
      <c r="BU1152" s="59"/>
      <c r="BV1152" s="59"/>
      <c r="BW1152" s="59"/>
      <c r="BX1152" s="59"/>
      <c r="BY1152" s="59"/>
      <c r="BZ1152" s="59"/>
      <c r="CA1152" s="59"/>
      <c r="CB1152" s="59"/>
    </row>
    <row r="1153" spans="1:80">
      <c r="A1153" s="74">
        <v>1152</v>
      </c>
      <c r="B1153" s="66" t="s">
        <v>67</v>
      </c>
      <c r="C1153" s="67" t="s">
        <v>303</v>
      </c>
      <c r="D1153" s="59" t="s">
        <v>175</v>
      </c>
      <c r="E1153" s="88"/>
      <c r="F1153" s="59"/>
      <c r="G1153" s="59"/>
      <c r="H1153" s="77" t="s">
        <v>76</v>
      </c>
      <c r="I1153" s="82">
        <v>12000</v>
      </c>
      <c r="J1153" s="59"/>
      <c r="K1153" s="85"/>
      <c r="L1153" s="86"/>
      <c r="M1153" s="87"/>
      <c r="N1153" s="59"/>
      <c r="O1153" s="59"/>
      <c r="P1153" s="59"/>
      <c r="Q1153" s="59"/>
      <c r="R1153" s="59"/>
      <c r="S1153" s="59"/>
      <c r="T1153" s="59"/>
      <c r="U1153" s="59"/>
      <c r="V1153" s="59"/>
      <c r="W1153" s="59"/>
      <c r="X1153" s="59"/>
      <c r="Y1153" s="59"/>
      <c r="Z1153" s="59"/>
      <c r="AA1153" s="59"/>
      <c r="AB1153" s="59"/>
      <c r="AC1153" s="59"/>
      <c r="AD1153" s="59"/>
      <c r="AE1153" s="59"/>
      <c r="AF1153" s="59"/>
      <c r="AG1153" s="59"/>
      <c r="AH1153" s="59"/>
      <c r="AI1153" s="59"/>
      <c r="AJ1153" s="59"/>
      <c r="AK1153" s="59"/>
      <c r="AL1153" s="59"/>
      <c r="AM1153" s="59"/>
      <c r="AN1153" s="59"/>
      <c r="AO1153" s="59"/>
      <c r="AP1153" s="59"/>
      <c r="AQ1153" s="59"/>
      <c r="AR1153" s="59"/>
      <c r="AS1153" s="59"/>
      <c r="AT1153" s="59"/>
      <c r="AU1153" s="59"/>
      <c r="AV1153" s="59"/>
      <c r="AW1153" s="59"/>
      <c r="AX1153" s="59"/>
      <c r="AY1153" s="59"/>
      <c r="AZ1153" s="59"/>
      <c r="BA1153" s="59"/>
      <c r="BB1153" s="59"/>
      <c r="BC1153" s="59"/>
      <c r="BD1153" s="59"/>
      <c r="BE1153" s="59"/>
      <c r="BF1153" s="59"/>
      <c r="BG1153" s="59"/>
      <c r="BH1153" s="59"/>
      <c r="BI1153" s="59"/>
      <c r="BJ1153" s="59"/>
      <c r="BK1153" s="59"/>
      <c r="BL1153" s="59"/>
      <c r="BM1153" s="59"/>
      <c r="BN1153" s="59"/>
      <c r="BO1153" s="59"/>
      <c r="BP1153" s="59"/>
      <c r="BQ1153" s="59"/>
      <c r="BR1153" s="59"/>
      <c r="BS1153" s="59"/>
      <c r="BT1153" s="59"/>
      <c r="BU1153" s="59"/>
      <c r="BV1153" s="59"/>
      <c r="BW1153" s="59"/>
      <c r="BX1153" s="59"/>
      <c r="BY1153" s="59"/>
      <c r="BZ1153" s="59"/>
      <c r="CA1153" s="59"/>
      <c r="CB1153" s="59"/>
    </row>
    <row r="1154" spans="1:80">
      <c r="A1154" s="74">
        <v>1153</v>
      </c>
      <c r="B1154" s="66" t="s">
        <v>67</v>
      </c>
      <c r="C1154" s="67" t="s">
        <v>303</v>
      </c>
      <c r="D1154" s="59" t="s">
        <v>176</v>
      </c>
      <c r="E1154" s="88"/>
      <c r="F1154" s="59"/>
      <c r="G1154" s="59"/>
      <c r="H1154" s="77" t="s">
        <v>76</v>
      </c>
      <c r="I1154" s="82">
        <v>12000</v>
      </c>
      <c r="J1154" s="59"/>
      <c r="K1154" s="85"/>
      <c r="L1154" s="86"/>
      <c r="M1154" s="87"/>
      <c r="N1154" s="59"/>
      <c r="O1154" s="59"/>
      <c r="P1154" s="59"/>
      <c r="Q1154" s="59"/>
      <c r="R1154" s="59"/>
      <c r="S1154" s="59"/>
      <c r="T1154" s="59"/>
      <c r="U1154" s="59"/>
      <c r="V1154" s="59"/>
      <c r="W1154" s="59"/>
      <c r="X1154" s="59"/>
      <c r="Y1154" s="59"/>
      <c r="Z1154" s="59"/>
      <c r="AA1154" s="59"/>
      <c r="AB1154" s="59"/>
      <c r="AC1154" s="59"/>
      <c r="AD1154" s="59"/>
      <c r="AE1154" s="59"/>
      <c r="AF1154" s="59"/>
      <c r="AG1154" s="59"/>
      <c r="AH1154" s="59"/>
      <c r="AI1154" s="59"/>
      <c r="AJ1154" s="59"/>
      <c r="AK1154" s="59"/>
      <c r="AL1154" s="59"/>
      <c r="AM1154" s="59"/>
      <c r="AN1154" s="59"/>
      <c r="AO1154" s="59"/>
      <c r="AP1154" s="59"/>
      <c r="AQ1154" s="59"/>
      <c r="AR1154" s="59"/>
      <c r="AS1154" s="59"/>
      <c r="AT1154" s="59"/>
      <c r="AU1154" s="59"/>
      <c r="AV1154" s="59"/>
      <c r="AW1154" s="59"/>
      <c r="AX1154" s="59"/>
      <c r="AY1154" s="59"/>
      <c r="AZ1154" s="59"/>
      <c r="BA1154" s="59"/>
      <c r="BB1154" s="59"/>
      <c r="BC1154" s="59"/>
      <c r="BD1154" s="59"/>
      <c r="BE1154" s="59"/>
      <c r="BF1154" s="59"/>
      <c r="BG1154" s="59"/>
      <c r="BH1154" s="59"/>
      <c r="BI1154" s="59"/>
      <c r="BJ1154" s="59"/>
      <c r="BK1154" s="59"/>
      <c r="BL1154" s="59"/>
      <c r="BM1154" s="59"/>
      <c r="BN1154" s="59"/>
      <c r="BO1154" s="59"/>
      <c r="BP1154" s="59"/>
      <c r="BQ1154" s="59"/>
      <c r="BR1154" s="59"/>
      <c r="BS1154" s="59"/>
      <c r="BT1154" s="59"/>
      <c r="BU1154" s="59"/>
      <c r="BV1154" s="59"/>
      <c r="BW1154" s="59"/>
      <c r="BX1154" s="59"/>
      <c r="BY1154" s="59"/>
      <c r="BZ1154" s="59"/>
      <c r="CA1154" s="59"/>
      <c r="CB1154" s="59"/>
    </row>
    <row r="1155" spans="1:80">
      <c r="A1155" s="74">
        <v>1154</v>
      </c>
      <c r="B1155" s="66" t="s">
        <v>67</v>
      </c>
      <c r="C1155" s="67" t="s">
        <v>303</v>
      </c>
      <c r="D1155" s="59" t="s">
        <v>177</v>
      </c>
      <c r="E1155" s="88"/>
      <c r="F1155" s="59"/>
      <c r="G1155" s="59"/>
      <c r="H1155" s="77" t="s">
        <v>76</v>
      </c>
      <c r="I1155" s="82">
        <v>12000</v>
      </c>
      <c r="J1155" s="59"/>
      <c r="K1155" s="85"/>
      <c r="L1155" s="86"/>
      <c r="M1155" s="87"/>
      <c r="N1155" s="59"/>
      <c r="O1155" s="59"/>
      <c r="P1155" s="59"/>
      <c r="Q1155" s="59"/>
      <c r="R1155" s="59"/>
      <c r="S1155" s="59"/>
      <c r="T1155" s="59"/>
      <c r="U1155" s="59"/>
      <c r="V1155" s="59"/>
      <c r="W1155" s="59"/>
      <c r="X1155" s="59"/>
      <c r="Y1155" s="59"/>
      <c r="Z1155" s="59"/>
      <c r="AA1155" s="59"/>
      <c r="AB1155" s="59"/>
      <c r="AC1155" s="59"/>
      <c r="AD1155" s="59"/>
      <c r="AE1155" s="59"/>
      <c r="AF1155" s="59"/>
      <c r="AG1155" s="59"/>
      <c r="AH1155" s="59"/>
      <c r="AI1155" s="59"/>
      <c r="AJ1155" s="59"/>
      <c r="AK1155" s="59"/>
      <c r="AL1155" s="59"/>
      <c r="AM1155" s="59"/>
      <c r="AN1155" s="59"/>
      <c r="AO1155" s="59"/>
      <c r="AP1155" s="59"/>
      <c r="AQ1155" s="59"/>
      <c r="AR1155" s="59"/>
      <c r="AS1155" s="59"/>
      <c r="AT1155" s="59"/>
      <c r="AU1155" s="59"/>
      <c r="AV1155" s="59"/>
      <c r="AW1155" s="59"/>
      <c r="AX1155" s="59"/>
      <c r="AY1155" s="59"/>
      <c r="AZ1155" s="59"/>
      <c r="BA1155" s="59"/>
      <c r="BB1155" s="59"/>
      <c r="BC1155" s="59"/>
      <c r="BD1155" s="59"/>
      <c r="BE1155" s="59"/>
      <c r="BF1155" s="59"/>
      <c r="BG1155" s="59"/>
      <c r="BH1155" s="59"/>
      <c r="BI1155" s="59"/>
      <c r="BJ1155" s="59"/>
      <c r="BK1155" s="59"/>
      <c r="BL1155" s="59"/>
      <c r="BM1155" s="59"/>
      <c r="BN1155" s="59"/>
      <c r="BO1155" s="59"/>
      <c r="BP1155" s="59"/>
      <c r="BQ1155" s="59"/>
      <c r="BR1155" s="59"/>
      <c r="BS1155" s="59"/>
      <c r="BT1155" s="59"/>
      <c r="BU1155" s="59"/>
      <c r="BV1155" s="59"/>
      <c r="BW1155" s="59"/>
      <c r="BX1155" s="59"/>
      <c r="BY1155" s="59"/>
      <c r="BZ1155" s="59"/>
      <c r="CA1155" s="59"/>
      <c r="CB1155" s="59"/>
    </row>
    <row r="1156" spans="1:80">
      <c r="A1156" s="74">
        <v>1155</v>
      </c>
      <c r="B1156" s="66" t="s">
        <v>67</v>
      </c>
      <c r="C1156" s="67" t="s">
        <v>303</v>
      </c>
      <c r="D1156" s="59" t="s">
        <v>178</v>
      </c>
      <c r="E1156" s="88"/>
      <c r="F1156" s="59"/>
      <c r="G1156" s="59"/>
      <c r="H1156" s="77" t="s">
        <v>76</v>
      </c>
      <c r="I1156" s="82">
        <v>12000</v>
      </c>
      <c r="J1156" s="59"/>
      <c r="K1156" s="85"/>
      <c r="L1156" s="86"/>
      <c r="M1156" s="87"/>
      <c r="N1156" s="59"/>
      <c r="O1156" s="59"/>
      <c r="P1156" s="59"/>
      <c r="Q1156" s="59"/>
      <c r="R1156" s="59"/>
      <c r="S1156" s="59"/>
      <c r="T1156" s="59"/>
      <c r="U1156" s="59"/>
      <c r="V1156" s="59"/>
      <c r="W1156" s="59"/>
      <c r="X1156" s="59"/>
      <c r="Y1156" s="59"/>
      <c r="Z1156" s="59"/>
      <c r="AA1156" s="59"/>
      <c r="AB1156" s="59"/>
      <c r="AC1156" s="59"/>
      <c r="AD1156" s="59"/>
      <c r="AE1156" s="59"/>
      <c r="AF1156" s="59"/>
      <c r="AG1156" s="59"/>
      <c r="AH1156" s="59"/>
      <c r="AI1156" s="59"/>
      <c r="AJ1156" s="59"/>
      <c r="AK1156" s="59"/>
      <c r="AL1156" s="59"/>
      <c r="AM1156" s="59"/>
      <c r="AN1156" s="59"/>
      <c r="AO1156" s="59"/>
      <c r="AP1156" s="59"/>
      <c r="AQ1156" s="59"/>
      <c r="AR1156" s="59"/>
      <c r="AS1156" s="59"/>
      <c r="AT1156" s="59"/>
      <c r="AU1156" s="59"/>
      <c r="AV1156" s="59"/>
      <c r="AW1156" s="59"/>
      <c r="AX1156" s="59"/>
      <c r="AY1156" s="59"/>
      <c r="AZ1156" s="59"/>
      <c r="BA1156" s="59"/>
      <c r="BB1156" s="59"/>
      <c r="BC1156" s="59"/>
      <c r="BD1156" s="59"/>
      <c r="BE1156" s="59"/>
      <c r="BF1156" s="59"/>
      <c r="BG1156" s="59"/>
      <c r="BH1156" s="59"/>
      <c r="BI1156" s="59"/>
      <c r="BJ1156" s="59"/>
      <c r="BK1156" s="59"/>
      <c r="BL1156" s="59"/>
      <c r="BM1156" s="59"/>
      <c r="BN1156" s="59"/>
      <c r="BO1156" s="59"/>
      <c r="BP1156" s="59"/>
      <c r="BQ1156" s="59"/>
      <c r="BR1156" s="59"/>
      <c r="BS1156" s="59"/>
      <c r="BT1156" s="59"/>
      <c r="BU1156" s="59"/>
      <c r="BV1156" s="59"/>
      <c r="BW1156" s="59"/>
      <c r="BX1156" s="59"/>
      <c r="BY1156" s="59"/>
      <c r="BZ1156" s="59"/>
      <c r="CA1156" s="59"/>
      <c r="CB1156" s="59"/>
    </row>
    <row r="1157" spans="1:80">
      <c r="A1157" s="74">
        <v>1156</v>
      </c>
      <c r="B1157" s="66" t="s">
        <v>67</v>
      </c>
      <c r="C1157" s="67" t="s">
        <v>303</v>
      </c>
      <c r="D1157" s="59" t="s">
        <v>179</v>
      </c>
      <c r="E1157" s="88"/>
      <c r="F1157" s="59"/>
      <c r="G1157" s="59"/>
      <c r="H1157" s="77" t="s">
        <v>76</v>
      </c>
      <c r="I1157" s="82">
        <v>12000</v>
      </c>
      <c r="J1157" s="59"/>
      <c r="K1157" s="85"/>
      <c r="L1157" s="86"/>
      <c r="M1157" s="87"/>
      <c r="N1157" s="59"/>
      <c r="O1157" s="59"/>
      <c r="P1157" s="59"/>
      <c r="Q1157" s="59"/>
      <c r="R1157" s="59"/>
      <c r="S1157" s="59"/>
      <c r="T1157" s="59"/>
      <c r="U1157" s="59"/>
      <c r="V1157" s="59"/>
      <c r="W1157" s="59"/>
      <c r="X1157" s="59"/>
      <c r="Y1157" s="59"/>
      <c r="Z1157" s="59"/>
      <c r="AA1157" s="59"/>
      <c r="AB1157" s="59"/>
      <c r="AC1157" s="59"/>
      <c r="AD1157" s="59"/>
      <c r="AE1157" s="59"/>
      <c r="AF1157" s="59"/>
      <c r="AG1157" s="59"/>
      <c r="AH1157" s="59"/>
      <c r="AI1157" s="59"/>
      <c r="AJ1157" s="59"/>
      <c r="AK1157" s="59"/>
      <c r="AL1157" s="59"/>
      <c r="AM1157" s="59"/>
      <c r="AN1157" s="59"/>
      <c r="AO1157" s="59"/>
      <c r="AP1157" s="59"/>
      <c r="AQ1157" s="59"/>
      <c r="AR1157" s="59"/>
      <c r="AS1157" s="59"/>
      <c r="AT1157" s="59"/>
      <c r="AU1157" s="59"/>
      <c r="AV1157" s="59"/>
      <c r="AW1157" s="59"/>
      <c r="AX1157" s="59"/>
      <c r="AY1157" s="59"/>
      <c r="AZ1157" s="59"/>
      <c r="BA1157" s="59"/>
      <c r="BB1157" s="59"/>
      <c r="BC1157" s="59"/>
      <c r="BD1157" s="59"/>
      <c r="BE1157" s="59"/>
      <c r="BF1157" s="59"/>
      <c r="BG1157" s="59"/>
      <c r="BH1157" s="59"/>
      <c r="BI1157" s="59"/>
      <c r="BJ1157" s="59"/>
      <c r="BK1157" s="59"/>
      <c r="BL1157" s="59"/>
      <c r="BM1157" s="59"/>
      <c r="BN1157" s="59"/>
      <c r="BO1157" s="59"/>
      <c r="BP1157" s="59"/>
      <c r="BQ1157" s="59"/>
      <c r="BR1157" s="59"/>
      <c r="BS1157" s="59"/>
      <c r="BT1157" s="59"/>
      <c r="BU1157" s="59"/>
      <c r="BV1157" s="59"/>
      <c r="BW1157" s="59"/>
      <c r="BX1157" s="59"/>
      <c r="BY1157" s="59"/>
      <c r="BZ1157" s="59"/>
      <c r="CA1157" s="59"/>
      <c r="CB1157" s="59"/>
    </row>
    <row r="1158" spans="1:80">
      <c r="A1158" s="74">
        <v>1157</v>
      </c>
      <c r="B1158" s="66" t="s">
        <v>67</v>
      </c>
      <c r="C1158" s="67" t="s">
        <v>303</v>
      </c>
      <c r="D1158" s="59" t="s">
        <v>180</v>
      </c>
      <c r="E1158" s="88"/>
      <c r="F1158" s="59"/>
      <c r="G1158" s="59"/>
      <c r="H1158" s="77" t="s">
        <v>76</v>
      </c>
      <c r="I1158" s="82">
        <v>12000</v>
      </c>
      <c r="J1158" s="59"/>
      <c r="K1158" s="85"/>
      <c r="L1158" s="86"/>
      <c r="M1158" s="87"/>
      <c r="N1158" s="59"/>
      <c r="O1158" s="59"/>
      <c r="P1158" s="59"/>
      <c r="Q1158" s="59"/>
      <c r="R1158" s="59"/>
      <c r="S1158" s="59"/>
      <c r="T1158" s="59"/>
      <c r="U1158" s="59"/>
      <c r="V1158" s="59"/>
      <c r="W1158" s="59"/>
      <c r="X1158" s="59"/>
      <c r="Y1158" s="59"/>
      <c r="Z1158" s="59"/>
      <c r="AA1158" s="59"/>
      <c r="AB1158" s="59"/>
      <c r="AC1158" s="59"/>
      <c r="AD1158" s="59"/>
      <c r="AE1158" s="59"/>
      <c r="AF1158" s="59"/>
      <c r="AG1158" s="59"/>
      <c r="AH1158" s="59"/>
      <c r="AI1158" s="59"/>
      <c r="AJ1158" s="59"/>
      <c r="AK1158" s="59"/>
      <c r="AL1158" s="59"/>
      <c r="AM1158" s="59"/>
      <c r="AN1158" s="59"/>
      <c r="AO1158" s="59"/>
      <c r="AP1158" s="59"/>
      <c r="AQ1158" s="59"/>
      <c r="AR1158" s="59"/>
      <c r="AS1158" s="59"/>
      <c r="AT1158" s="59"/>
      <c r="AU1158" s="59"/>
      <c r="AV1158" s="59"/>
      <c r="AW1158" s="59"/>
      <c r="AX1158" s="59"/>
      <c r="AY1158" s="59"/>
      <c r="AZ1158" s="59"/>
      <c r="BA1158" s="59"/>
      <c r="BB1158" s="59"/>
      <c r="BC1158" s="59"/>
      <c r="BD1158" s="59"/>
      <c r="BE1158" s="59"/>
      <c r="BF1158" s="59"/>
      <c r="BG1158" s="59"/>
      <c r="BH1158" s="59"/>
      <c r="BI1158" s="59"/>
      <c r="BJ1158" s="59"/>
      <c r="BK1158" s="59"/>
      <c r="BL1158" s="59"/>
      <c r="BM1158" s="59"/>
      <c r="BN1158" s="59"/>
      <c r="BO1158" s="59"/>
      <c r="BP1158" s="59"/>
      <c r="BQ1158" s="59"/>
      <c r="BR1158" s="59"/>
      <c r="BS1158" s="59"/>
      <c r="BT1158" s="59"/>
      <c r="BU1158" s="59"/>
      <c r="BV1158" s="59"/>
      <c r="BW1158" s="59"/>
      <c r="BX1158" s="59"/>
      <c r="BY1158" s="59"/>
      <c r="BZ1158" s="59"/>
      <c r="CA1158" s="59"/>
      <c r="CB1158" s="59"/>
    </row>
    <row r="1159" spans="1:80">
      <c r="A1159" s="74">
        <v>1158</v>
      </c>
      <c r="B1159" s="66" t="s">
        <v>67</v>
      </c>
      <c r="C1159" s="67" t="s">
        <v>303</v>
      </c>
      <c r="D1159" s="59" t="s">
        <v>181</v>
      </c>
      <c r="E1159" s="88"/>
      <c r="F1159" s="59"/>
      <c r="G1159" s="59"/>
      <c r="H1159" s="77" t="s">
        <v>76</v>
      </c>
      <c r="I1159" s="82">
        <v>12000</v>
      </c>
      <c r="J1159" s="59"/>
      <c r="K1159" s="85"/>
      <c r="L1159" s="86"/>
      <c r="M1159" s="87"/>
      <c r="N1159" s="59"/>
      <c r="O1159" s="59"/>
      <c r="P1159" s="59"/>
      <c r="Q1159" s="59"/>
      <c r="R1159" s="59"/>
      <c r="S1159" s="59"/>
      <c r="T1159" s="59"/>
      <c r="U1159" s="59"/>
      <c r="V1159" s="59"/>
      <c r="W1159" s="59"/>
      <c r="X1159" s="59"/>
      <c r="Y1159" s="59"/>
      <c r="Z1159" s="59"/>
      <c r="AA1159" s="59"/>
      <c r="AB1159" s="59"/>
      <c r="AC1159" s="59"/>
      <c r="AD1159" s="59"/>
      <c r="AE1159" s="59"/>
      <c r="AF1159" s="59"/>
      <c r="AG1159" s="59"/>
      <c r="AH1159" s="59"/>
      <c r="AI1159" s="59"/>
      <c r="AJ1159" s="59"/>
      <c r="AK1159" s="59"/>
      <c r="AL1159" s="59"/>
      <c r="AM1159" s="59"/>
      <c r="AN1159" s="59"/>
      <c r="AO1159" s="59"/>
      <c r="AP1159" s="59"/>
      <c r="AQ1159" s="59"/>
      <c r="AR1159" s="59"/>
      <c r="AS1159" s="59"/>
      <c r="AT1159" s="59"/>
      <c r="AU1159" s="59"/>
      <c r="AV1159" s="59"/>
      <c r="AW1159" s="59"/>
      <c r="AX1159" s="59"/>
      <c r="AY1159" s="59"/>
      <c r="AZ1159" s="59"/>
      <c r="BA1159" s="59"/>
      <c r="BB1159" s="59"/>
      <c r="BC1159" s="59"/>
      <c r="BD1159" s="59"/>
      <c r="BE1159" s="59"/>
      <c r="BF1159" s="59"/>
      <c r="BG1159" s="59"/>
      <c r="BH1159" s="59"/>
      <c r="BI1159" s="59"/>
      <c r="BJ1159" s="59"/>
      <c r="BK1159" s="59"/>
      <c r="BL1159" s="59"/>
      <c r="BM1159" s="59"/>
      <c r="BN1159" s="59"/>
      <c r="BO1159" s="59"/>
      <c r="BP1159" s="59"/>
      <c r="BQ1159" s="59"/>
      <c r="BR1159" s="59"/>
      <c r="BS1159" s="59"/>
      <c r="BT1159" s="59"/>
      <c r="BU1159" s="59"/>
      <c r="BV1159" s="59"/>
      <c r="BW1159" s="59"/>
      <c r="BX1159" s="59"/>
      <c r="BY1159" s="59"/>
      <c r="BZ1159" s="59"/>
      <c r="CA1159" s="59"/>
      <c r="CB1159" s="59"/>
    </row>
    <row r="1160" spans="1:80">
      <c r="A1160" s="74">
        <v>1159</v>
      </c>
      <c r="B1160" s="66" t="s">
        <v>67</v>
      </c>
      <c r="C1160" s="67" t="s">
        <v>303</v>
      </c>
      <c r="D1160" s="59" t="s">
        <v>182</v>
      </c>
      <c r="E1160" s="88"/>
      <c r="F1160" s="59"/>
      <c r="G1160" s="59"/>
      <c r="H1160" s="77" t="s">
        <v>76</v>
      </c>
      <c r="I1160" s="82">
        <v>12000</v>
      </c>
      <c r="J1160" s="59"/>
      <c r="K1160" s="85"/>
      <c r="L1160" s="86"/>
      <c r="M1160" s="87"/>
      <c r="N1160" s="59"/>
      <c r="O1160" s="59"/>
      <c r="P1160" s="59"/>
      <c r="Q1160" s="59"/>
      <c r="R1160" s="59"/>
      <c r="S1160" s="59"/>
      <c r="T1160" s="59"/>
      <c r="U1160" s="59"/>
      <c r="V1160" s="59"/>
      <c r="W1160" s="59"/>
      <c r="X1160" s="59"/>
      <c r="Y1160" s="59"/>
      <c r="Z1160" s="59"/>
      <c r="AA1160" s="59"/>
      <c r="AB1160" s="59"/>
      <c r="AC1160" s="59"/>
      <c r="AD1160" s="59"/>
      <c r="AE1160" s="59"/>
      <c r="AF1160" s="59"/>
      <c r="AG1160" s="59"/>
      <c r="AH1160" s="59"/>
      <c r="AI1160" s="59"/>
      <c r="AJ1160" s="59"/>
      <c r="AK1160" s="59"/>
      <c r="AL1160" s="59"/>
      <c r="AM1160" s="59"/>
      <c r="AN1160" s="59"/>
      <c r="AO1160" s="59"/>
      <c r="AP1160" s="59"/>
      <c r="AQ1160" s="59"/>
      <c r="AR1160" s="59"/>
      <c r="AS1160" s="59"/>
      <c r="AT1160" s="59"/>
      <c r="AU1160" s="59"/>
      <c r="AV1160" s="59"/>
      <c r="AW1160" s="59"/>
      <c r="AX1160" s="59"/>
      <c r="AY1160" s="59"/>
      <c r="AZ1160" s="59"/>
      <c r="BA1160" s="59"/>
      <c r="BB1160" s="59"/>
      <c r="BC1160" s="59"/>
      <c r="BD1160" s="59"/>
      <c r="BE1160" s="59"/>
      <c r="BF1160" s="59"/>
      <c r="BG1160" s="59"/>
      <c r="BH1160" s="59"/>
      <c r="BI1160" s="59"/>
      <c r="BJ1160" s="59"/>
      <c r="BK1160" s="59"/>
      <c r="BL1160" s="59"/>
      <c r="BM1160" s="59"/>
      <c r="BN1160" s="59"/>
      <c r="BO1160" s="59"/>
      <c r="BP1160" s="59"/>
      <c r="BQ1160" s="59"/>
      <c r="BR1160" s="59"/>
      <c r="BS1160" s="59"/>
      <c r="BT1160" s="59"/>
      <c r="BU1160" s="59"/>
      <c r="BV1160" s="59"/>
      <c r="BW1160" s="59"/>
      <c r="BX1160" s="59"/>
      <c r="BY1160" s="59"/>
      <c r="BZ1160" s="59"/>
      <c r="CA1160" s="59"/>
      <c r="CB1160" s="59"/>
    </row>
    <row r="1161" spans="1:80">
      <c r="A1161" s="74">
        <v>1160</v>
      </c>
      <c r="B1161" s="66" t="s">
        <v>67</v>
      </c>
      <c r="C1161" s="67" t="s">
        <v>303</v>
      </c>
      <c r="D1161" s="59" t="s">
        <v>183</v>
      </c>
      <c r="E1161" s="88"/>
      <c r="F1161" s="59"/>
      <c r="G1161" s="59"/>
      <c r="H1161" s="77" t="s">
        <v>76</v>
      </c>
      <c r="I1161" s="82">
        <v>12000</v>
      </c>
      <c r="J1161" s="59"/>
      <c r="K1161" s="85"/>
      <c r="L1161" s="86"/>
      <c r="M1161" s="87"/>
      <c r="N1161" s="59"/>
      <c r="O1161" s="59"/>
      <c r="P1161" s="59"/>
      <c r="Q1161" s="59"/>
      <c r="R1161" s="59"/>
      <c r="S1161" s="59"/>
      <c r="T1161" s="59"/>
      <c r="U1161" s="59"/>
      <c r="V1161" s="59"/>
      <c r="W1161" s="59"/>
      <c r="X1161" s="59"/>
      <c r="Y1161" s="59"/>
      <c r="Z1161" s="59"/>
      <c r="AA1161" s="59"/>
      <c r="AB1161" s="59"/>
      <c r="AC1161" s="59"/>
      <c r="AD1161" s="59"/>
      <c r="AE1161" s="59"/>
      <c r="AF1161" s="59"/>
      <c r="AG1161" s="59"/>
      <c r="AH1161" s="59"/>
      <c r="AI1161" s="59"/>
      <c r="AJ1161" s="59"/>
      <c r="AK1161" s="59"/>
      <c r="AL1161" s="59"/>
      <c r="AM1161" s="59"/>
      <c r="AN1161" s="59"/>
      <c r="AO1161" s="59"/>
      <c r="AP1161" s="59"/>
      <c r="AQ1161" s="59"/>
      <c r="AR1161" s="59"/>
      <c r="AS1161" s="59"/>
      <c r="AT1161" s="59"/>
      <c r="AU1161" s="59"/>
      <c r="AV1161" s="59"/>
      <c r="AW1161" s="59"/>
      <c r="AX1161" s="59"/>
      <c r="AY1161" s="59"/>
      <c r="AZ1161" s="59"/>
      <c r="BA1161" s="59"/>
      <c r="BB1161" s="59"/>
      <c r="BC1161" s="59"/>
      <c r="BD1161" s="59"/>
      <c r="BE1161" s="59"/>
      <c r="BF1161" s="59"/>
      <c r="BG1161" s="59"/>
      <c r="BH1161" s="59"/>
      <c r="BI1161" s="59"/>
      <c r="BJ1161" s="59"/>
      <c r="BK1161" s="59"/>
      <c r="BL1161" s="59"/>
      <c r="BM1161" s="59"/>
      <c r="BN1161" s="59"/>
      <c r="BO1161" s="59"/>
      <c r="BP1161" s="59"/>
      <c r="BQ1161" s="59"/>
      <c r="BR1161" s="59"/>
      <c r="BS1161" s="59"/>
      <c r="BT1161" s="59"/>
      <c r="BU1161" s="59"/>
      <c r="BV1161" s="59"/>
      <c r="BW1161" s="59"/>
      <c r="BX1161" s="59"/>
      <c r="BY1161" s="59"/>
      <c r="BZ1161" s="59"/>
      <c r="CA1161" s="59"/>
      <c r="CB1161" s="59"/>
    </row>
    <row r="1162" spans="1:80">
      <c r="A1162" s="74">
        <v>1161</v>
      </c>
      <c r="B1162" s="66" t="s">
        <v>67</v>
      </c>
      <c r="C1162" s="67" t="s">
        <v>303</v>
      </c>
      <c r="D1162" s="59" t="s">
        <v>184</v>
      </c>
      <c r="E1162" s="88"/>
      <c r="F1162" s="59"/>
      <c r="G1162" s="59"/>
      <c r="H1162" s="77" t="s">
        <v>76</v>
      </c>
      <c r="I1162" s="82">
        <v>12000</v>
      </c>
      <c r="J1162" s="59"/>
      <c r="K1162" s="85"/>
      <c r="L1162" s="86"/>
      <c r="M1162" s="98"/>
      <c r="N1162" s="59"/>
      <c r="O1162" s="59"/>
      <c r="P1162" s="59"/>
      <c r="Q1162" s="59"/>
      <c r="R1162" s="59"/>
      <c r="S1162" s="59"/>
      <c r="T1162" s="59"/>
      <c r="U1162" s="59"/>
      <c r="V1162" s="59"/>
      <c r="W1162" s="59"/>
      <c r="X1162" s="59"/>
      <c r="Y1162" s="59"/>
      <c r="Z1162" s="59"/>
      <c r="AA1162" s="59"/>
      <c r="AB1162" s="59"/>
      <c r="AC1162" s="59"/>
      <c r="AD1162" s="59"/>
      <c r="AE1162" s="59"/>
      <c r="AF1162" s="59"/>
      <c r="AG1162" s="59"/>
      <c r="AH1162" s="59"/>
      <c r="AI1162" s="59"/>
      <c r="AJ1162" s="59"/>
      <c r="AK1162" s="59"/>
      <c r="AL1162" s="59"/>
      <c r="AM1162" s="59"/>
      <c r="AN1162" s="59"/>
      <c r="AO1162" s="59"/>
      <c r="AP1162" s="59"/>
      <c r="AQ1162" s="59"/>
      <c r="AR1162" s="59"/>
      <c r="AS1162" s="59"/>
      <c r="AT1162" s="59"/>
      <c r="AU1162" s="59"/>
      <c r="AV1162" s="59"/>
      <c r="AW1162" s="59"/>
      <c r="AX1162" s="59"/>
      <c r="AY1162" s="59"/>
      <c r="AZ1162" s="59"/>
      <c r="BA1162" s="59"/>
      <c r="BB1162" s="59"/>
      <c r="BC1162" s="59"/>
      <c r="BD1162" s="59"/>
      <c r="BE1162" s="59"/>
      <c r="BF1162" s="59"/>
      <c r="BG1162" s="59"/>
      <c r="BH1162" s="59"/>
      <c r="BI1162" s="59"/>
      <c r="BJ1162" s="59"/>
      <c r="BK1162" s="59"/>
      <c r="BL1162" s="59"/>
      <c r="BM1162" s="59"/>
      <c r="BN1162" s="59"/>
      <c r="BO1162" s="59"/>
      <c r="BP1162" s="59"/>
      <c r="BQ1162" s="59"/>
      <c r="BR1162" s="59"/>
      <c r="BS1162" s="59"/>
      <c r="BT1162" s="59"/>
      <c r="BU1162" s="59"/>
      <c r="BV1162" s="59"/>
      <c r="BW1162" s="59"/>
      <c r="BX1162" s="59"/>
      <c r="BY1162" s="59"/>
      <c r="BZ1162" s="59"/>
      <c r="CA1162" s="59"/>
      <c r="CB1162" s="59"/>
    </row>
    <row r="1163" spans="1:80">
      <c r="A1163" s="74">
        <v>1162</v>
      </c>
      <c r="B1163" s="66" t="s">
        <v>67</v>
      </c>
      <c r="C1163" s="67" t="s">
        <v>303</v>
      </c>
      <c r="D1163" s="59" t="s">
        <v>185</v>
      </c>
      <c r="E1163" s="75" t="s">
        <v>70</v>
      </c>
      <c r="F1163" s="76">
        <v>46161.8821875</v>
      </c>
      <c r="G1163" s="76">
        <v>46160.8824074074</v>
      </c>
      <c r="H1163" s="77" t="s">
        <v>71</v>
      </c>
      <c r="I1163" s="78">
        <v>16000</v>
      </c>
      <c r="J1163" s="79" t="s">
        <v>72</v>
      </c>
      <c r="K1163" s="80" t="s">
        <v>73</v>
      </c>
      <c r="L1163" s="76">
        <v>46152.7271643519</v>
      </c>
      <c r="M1163" s="76">
        <v>46153.6673958333</v>
      </c>
      <c r="N1163" s="81" t="s">
        <v>74</v>
      </c>
      <c r="O1163" s="76">
        <v>46156.9166898148</v>
      </c>
      <c r="P1163" s="76">
        <v>46155.9169097222</v>
      </c>
      <c r="Q1163" s="59"/>
      <c r="R1163" s="59"/>
      <c r="S1163" s="59"/>
      <c r="T1163" s="59"/>
      <c r="U1163" s="59"/>
      <c r="V1163" s="59"/>
      <c r="W1163" s="59"/>
      <c r="X1163" s="59"/>
      <c r="Y1163" s="59"/>
      <c r="Z1163" s="59"/>
      <c r="AA1163" s="59"/>
      <c r="AB1163" s="59"/>
      <c r="AC1163" s="59"/>
      <c r="AD1163" s="59"/>
      <c r="AE1163" s="59"/>
      <c r="AF1163" s="59"/>
      <c r="AG1163" s="59"/>
      <c r="AH1163" s="59"/>
      <c r="AI1163" s="59"/>
      <c r="AJ1163" s="59"/>
      <c r="AK1163" s="59"/>
      <c r="AL1163" s="59"/>
      <c r="AM1163" s="59"/>
      <c r="AN1163" s="59"/>
      <c r="AO1163" s="59"/>
      <c r="AP1163" s="59"/>
      <c r="AQ1163" s="59"/>
      <c r="AR1163" s="59"/>
      <c r="AS1163" s="59"/>
      <c r="AT1163" s="59"/>
      <c r="AU1163" s="59"/>
      <c r="AV1163" s="59"/>
      <c r="AW1163" s="59"/>
      <c r="AX1163" s="59"/>
      <c r="AY1163" s="59"/>
      <c r="AZ1163" s="59"/>
      <c r="BA1163" s="59"/>
      <c r="BB1163" s="59"/>
      <c r="BC1163" s="59"/>
      <c r="BD1163" s="59"/>
      <c r="BE1163" s="59"/>
      <c r="BF1163" s="59"/>
      <c r="BG1163" s="59"/>
      <c r="BH1163" s="59"/>
      <c r="BI1163" s="59"/>
      <c r="BJ1163" s="59"/>
      <c r="BK1163" s="59"/>
      <c r="BL1163" s="59"/>
      <c r="BM1163" s="59"/>
      <c r="BN1163" s="59"/>
      <c r="BO1163" s="59"/>
      <c r="BP1163" s="59"/>
      <c r="BQ1163" s="59"/>
      <c r="BR1163" s="59"/>
    </row>
    <row r="1164" spans="1:80">
      <c r="A1164" s="74">
        <v>1163</v>
      </c>
      <c r="B1164" s="66" t="s">
        <v>67</v>
      </c>
      <c r="C1164" s="67" t="s">
        <v>303</v>
      </c>
      <c r="D1164" s="59" t="s">
        <v>186</v>
      </c>
      <c r="E1164" s="88"/>
      <c r="F1164" s="59"/>
      <c r="G1164" s="59"/>
      <c r="H1164" s="77" t="s">
        <v>76</v>
      </c>
      <c r="I1164" s="82">
        <v>12000</v>
      </c>
      <c r="J1164" s="59"/>
      <c r="K1164" s="85"/>
      <c r="L1164" s="86"/>
      <c r="M1164" s="99"/>
      <c r="N1164" s="59"/>
      <c r="O1164" s="59"/>
      <c r="P1164" s="59"/>
      <c r="Q1164" s="59"/>
      <c r="R1164" s="59"/>
      <c r="S1164" s="59"/>
      <c r="T1164" s="59"/>
      <c r="U1164" s="59"/>
      <c r="V1164" s="59"/>
      <c r="W1164" s="59"/>
      <c r="X1164" s="59"/>
      <c r="Y1164" s="59"/>
      <c r="Z1164" s="59"/>
      <c r="AA1164" s="59"/>
      <c r="AB1164" s="59"/>
      <c r="AC1164" s="59"/>
      <c r="AD1164" s="59"/>
      <c r="AE1164" s="59"/>
      <c r="AF1164" s="59"/>
      <c r="AG1164" s="59"/>
      <c r="AH1164" s="59"/>
      <c r="AI1164" s="59"/>
      <c r="AJ1164" s="59"/>
      <c r="AK1164" s="59"/>
      <c r="AL1164" s="59"/>
      <c r="AM1164" s="59"/>
      <c r="AN1164" s="59"/>
      <c r="AO1164" s="59"/>
      <c r="AP1164" s="59"/>
      <c r="AQ1164" s="59"/>
      <c r="AR1164" s="59"/>
      <c r="AS1164" s="59"/>
      <c r="AT1164" s="59"/>
      <c r="AU1164" s="59"/>
      <c r="AV1164" s="59"/>
      <c r="AW1164" s="59"/>
      <c r="AX1164" s="59"/>
      <c r="AY1164" s="59"/>
      <c r="AZ1164" s="59"/>
      <c r="BA1164" s="59"/>
      <c r="BB1164" s="59"/>
      <c r="BC1164" s="59"/>
      <c r="BD1164" s="59"/>
      <c r="BE1164" s="59"/>
      <c r="BF1164" s="59"/>
      <c r="BG1164" s="59"/>
      <c r="BH1164" s="59"/>
      <c r="BI1164" s="59"/>
      <c r="BJ1164" s="59"/>
      <c r="BK1164" s="59"/>
      <c r="BL1164" s="59"/>
      <c r="BM1164" s="59"/>
      <c r="BN1164" s="59"/>
      <c r="BO1164" s="59"/>
      <c r="BP1164" s="59"/>
      <c r="BQ1164" s="59"/>
      <c r="BR1164" s="59"/>
      <c r="BS1164" s="59"/>
      <c r="BT1164" s="59"/>
      <c r="BU1164" s="59"/>
      <c r="BV1164" s="59"/>
      <c r="BW1164" s="59"/>
      <c r="BX1164" s="59"/>
      <c r="BY1164" s="59"/>
      <c r="BZ1164" s="59"/>
      <c r="CA1164" s="59"/>
      <c r="CB1164" s="59"/>
    </row>
    <row r="1165" spans="1:80">
      <c r="A1165" s="74">
        <v>1164</v>
      </c>
      <c r="B1165" s="66" t="s">
        <v>67</v>
      </c>
      <c r="C1165" s="67" t="s">
        <v>303</v>
      </c>
      <c r="D1165" s="59" t="s">
        <v>187</v>
      </c>
      <c r="E1165" s="88"/>
      <c r="F1165" s="59"/>
      <c r="G1165" s="59"/>
      <c r="H1165" s="77" t="s">
        <v>76</v>
      </c>
      <c r="I1165" s="82">
        <v>12000</v>
      </c>
      <c r="J1165" s="59"/>
      <c r="K1165" s="85"/>
      <c r="L1165" s="86"/>
      <c r="M1165" s="87"/>
      <c r="N1165" s="59"/>
      <c r="O1165" s="59"/>
      <c r="P1165" s="59"/>
      <c r="Q1165" s="59"/>
      <c r="R1165" s="59"/>
      <c r="S1165" s="59"/>
      <c r="T1165" s="59"/>
      <c r="U1165" s="59"/>
      <c r="V1165" s="59"/>
      <c r="W1165" s="59"/>
      <c r="X1165" s="59"/>
      <c r="Y1165" s="59"/>
      <c r="Z1165" s="59"/>
      <c r="AA1165" s="59"/>
      <c r="AB1165" s="59"/>
      <c r="AC1165" s="59"/>
      <c r="AD1165" s="59"/>
      <c r="AE1165" s="59"/>
      <c r="AF1165" s="59"/>
      <c r="AG1165" s="59"/>
      <c r="AH1165" s="59"/>
      <c r="AI1165" s="59"/>
      <c r="AJ1165" s="59"/>
      <c r="AK1165" s="59"/>
      <c r="AL1165" s="59"/>
      <c r="AM1165" s="59"/>
      <c r="AN1165" s="59"/>
      <c r="AO1165" s="59"/>
      <c r="AP1165" s="59"/>
      <c r="AQ1165" s="59"/>
      <c r="AR1165" s="59"/>
      <c r="AS1165" s="59"/>
      <c r="AT1165" s="59"/>
      <c r="AU1165" s="59"/>
      <c r="AV1165" s="59"/>
      <c r="AW1165" s="59"/>
      <c r="AX1165" s="59"/>
      <c r="AY1165" s="59"/>
      <c r="AZ1165" s="59"/>
      <c r="BA1165" s="59"/>
      <c r="BB1165" s="59"/>
      <c r="BC1165" s="59"/>
      <c r="BD1165" s="59"/>
      <c r="BE1165" s="59"/>
      <c r="BF1165" s="59"/>
      <c r="BG1165" s="59"/>
      <c r="BH1165" s="59"/>
      <c r="BI1165" s="59"/>
      <c r="BJ1165" s="59"/>
      <c r="BK1165" s="59"/>
      <c r="BL1165" s="59"/>
      <c r="BM1165" s="59"/>
      <c r="BN1165" s="59"/>
      <c r="BO1165" s="59"/>
      <c r="BP1165" s="59"/>
      <c r="BQ1165" s="59"/>
      <c r="BR1165" s="59"/>
      <c r="BS1165" s="59"/>
      <c r="BT1165" s="59"/>
      <c r="BU1165" s="59"/>
      <c r="BV1165" s="59"/>
      <c r="BW1165" s="59"/>
      <c r="BX1165" s="59"/>
      <c r="BY1165" s="59"/>
      <c r="BZ1165" s="59"/>
      <c r="CA1165" s="59"/>
      <c r="CB1165" s="59"/>
    </row>
    <row r="1166" spans="1:80">
      <c r="A1166" s="74">
        <v>1165</v>
      </c>
      <c r="B1166" s="66" t="s">
        <v>67</v>
      </c>
      <c r="C1166" s="67" t="s">
        <v>303</v>
      </c>
      <c r="D1166" s="59" t="s">
        <v>188</v>
      </c>
      <c r="E1166" s="88"/>
      <c r="F1166" s="59"/>
      <c r="G1166" s="59"/>
      <c r="H1166" s="77" t="s">
        <v>76</v>
      </c>
      <c r="I1166" s="82">
        <v>12000</v>
      </c>
      <c r="J1166" s="59"/>
      <c r="K1166" s="85"/>
      <c r="L1166" s="86"/>
      <c r="M1166" s="87"/>
      <c r="N1166" s="59"/>
      <c r="O1166" s="59"/>
      <c r="P1166" s="59"/>
      <c r="Q1166" s="59"/>
      <c r="R1166" s="59"/>
      <c r="S1166" s="59"/>
      <c r="T1166" s="59"/>
      <c r="U1166" s="59"/>
      <c r="V1166" s="59"/>
      <c r="W1166" s="59"/>
      <c r="X1166" s="59"/>
      <c r="Y1166" s="59"/>
      <c r="Z1166" s="59"/>
      <c r="AA1166" s="59"/>
      <c r="AB1166" s="59"/>
      <c r="AC1166" s="59"/>
      <c r="AD1166" s="59"/>
      <c r="AE1166" s="59"/>
      <c r="AF1166" s="59"/>
      <c r="AG1166" s="59"/>
      <c r="AH1166" s="59"/>
      <c r="AI1166" s="59"/>
      <c r="AJ1166" s="59"/>
      <c r="AK1166" s="59"/>
      <c r="AL1166" s="59"/>
      <c r="AM1166" s="59"/>
      <c r="AN1166" s="59"/>
      <c r="AO1166" s="59"/>
      <c r="AP1166" s="59"/>
      <c r="AQ1166" s="59"/>
      <c r="AR1166" s="59"/>
      <c r="AS1166" s="59"/>
      <c r="AT1166" s="59"/>
      <c r="AU1166" s="59"/>
      <c r="AV1166" s="59"/>
      <c r="AW1166" s="59"/>
      <c r="AX1166" s="59"/>
      <c r="AY1166" s="59"/>
      <c r="AZ1166" s="59"/>
      <c r="BA1166" s="59"/>
      <c r="BB1166" s="59"/>
      <c r="BC1166" s="59"/>
      <c r="BD1166" s="59"/>
      <c r="BE1166" s="59"/>
      <c r="BF1166" s="59"/>
      <c r="BG1166" s="59"/>
      <c r="BH1166" s="59"/>
      <c r="BI1166" s="59"/>
      <c r="BJ1166" s="59"/>
      <c r="BK1166" s="59"/>
      <c r="BL1166" s="59"/>
      <c r="BM1166" s="59"/>
      <c r="BN1166" s="59"/>
      <c r="BO1166" s="59"/>
      <c r="BP1166" s="59"/>
      <c r="BQ1166" s="59"/>
      <c r="BR1166" s="59"/>
      <c r="BS1166" s="59"/>
      <c r="BT1166" s="59"/>
      <c r="BU1166" s="59"/>
      <c r="BV1166" s="59"/>
      <c r="BW1166" s="59"/>
      <c r="BX1166" s="59"/>
      <c r="BY1166" s="59"/>
      <c r="BZ1166" s="59"/>
      <c r="CA1166" s="59"/>
      <c r="CB1166" s="59"/>
    </row>
    <row r="1167" spans="1:80">
      <c r="A1167" s="74">
        <v>1166</v>
      </c>
      <c r="B1167" s="66" t="s">
        <v>67</v>
      </c>
      <c r="C1167" s="67" t="s">
        <v>303</v>
      </c>
      <c r="D1167" s="59" t="s">
        <v>189</v>
      </c>
      <c r="E1167" s="88"/>
      <c r="F1167" s="59"/>
      <c r="G1167" s="59"/>
      <c r="H1167" s="77" t="s">
        <v>76</v>
      </c>
      <c r="I1167" s="82">
        <v>12000</v>
      </c>
      <c r="J1167" s="59"/>
      <c r="K1167" s="85"/>
      <c r="L1167" s="86"/>
      <c r="M1167" s="87"/>
      <c r="N1167" s="59"/>
      <c r="O1167" s="59"/>
      <c r="P1167" s="59"/>
      <c r="Q1167" s="59"/>
      <c r="R1167" s="59"/>
      <c r="S1167" s="59"/>
      <c r="T1167" s="59"/>
      <c r="U1167" s="59"/>
      <c r="V1167" s="59"/>
      <c r="W1167" s="59"/>
      <c r="X1167" s="59"/>
      <c r="Y1167" s="59"/>
      <c r="Z1167" s="59"/>
      <c r="AA1167" s="59"/>
      <c r="AB1167" s="59"/>
      <c r="AC1167" s="59"/>
      <c r="AD1167" s="59"/>
      <c r="AE1167" s="59"/>
      <c r="AF1167" s="59"/>
      <c r="AG1167" s="59"/>
      <c r="AH1167" s="59"/>
      <c r="AI1167" s="59"/>
      <c r="AJ1167" s="59"/>
      <c r="AK1167" s="59"/>
      <c r="AL1167" s="59"/>
      <c r="AM1167" s="59"/>
      <c r="AN1167" s="59"/>
      <c r="AO1167" s="59"/>
      <c r="AP1167" s="59"/>
      <c r="AQ1167" s="59"/>
      <c r="AR1167" s="59"/>
      <c r="AS1167" s="59"/>
      <c r="AT1167" s="59"/>
      <c r="AU1167" s="59"/>
      <c r="AV1167" s="59"/>
      <c r="AW1167" s="59"/>
      <c r="AX1167" s="59"/>
      <c r="AY1167" s="59"/>
      <c r="AZ1167" s="59"/>
      <c r="BA1167" s="59"/>
      <c r="BB1167" s="59"/>
      <c r="BC1167" s="59"/>
      <c r="BD1167" s="59"/>
      <c r="BE1167" s="59"/>
      <c r="BF1167" s="59"/>
      <c r="BG1167" s="59"/>
      <c r="BH1167" s="59"/>
      <c r="BI1167" s="59"/>
      <c r="BJ1167" s="59"/>
      <c r="BK1167" s="59"/>
      <c r="BL1167" s="59"/>
      <c r="BM1167" s="59"/>
      <c r="BN1167" s="59"/>
      <c r="BO1167" s="59"/>
      <c r="BP1167" s="59"/>
      <c r="BQ1167" s="59"/>
      <c r="BR1167" s="59"/>
      <c r="BS1167" s="59"/>
      <c r="BT1167" s="59"/>
      <c r="BU1167" s="59"/>
      <c r="BV1167" s="59"/>
      <c r="BW1167" s="59"/>
      <c r="BX1167" s="59"/>
      <c r="BY1167" s="59"/>
      <c r="BZ1167" s="59"/>
      <c r="CA1167" s="59"/>
      <c r="CB1167" s="59"/>
    </row>
    <row r="1168" spans="1:80">
      <c r="A1168" s="74">
        <v>1167</v>
      </c>
      <c r="B1168" s="66" t="s">
        <v>67</v>
      </c>
      <c r="C1168" s="67" t="s">
        <v>303</v>
      </c>
      <c r="D1168" s="59" t="s">
        <v>190</v>
      </c>
      <c r="E1168" s="88"/>
      <c r="F1168" s="59"/>
      <c r="G1168" s="59"/>
      <c r="H1168" s="77" t="s">
        <v>76</v>
      </c>
      <c r="I1168" s="82">
        <v>12000</v>
      </c>
      <c r="J1168" s="59"/>
      <c r="K1168" s="85"/>
      <c r="L1168" s="86"/>
      <c r="M1168" s="87"/>
      <c r="N1168" s="59"/>
      <c r="O1168" s="59"/>
      <c r="P1168" s="59"/>
      <c r="Q1168" s="59"/>
      <c r="R1168" s="59"/>
      <c r="S1168" s="59"/>
      <c r="T1168" s="59"/>
      <c r="U1168" s="59"/>
      <c r="V1168" s="59"/>
      <c r="W1168" s="59"/>
      <c r="X1168" s="59"/>
      <c r="Y1168" s="59"/>
      <c r="Z1168" s="59"/>
      <c r="AA1168" s="59"/>
      <c r="AB1168" s="59"/>
      <c r="AC1168" s="59"/>
      <c r="AD1168" s="59"/>
      <c r="AE1168" s="59"/>
      <c r="AF1168" s="59"/>
      <c r="AG1168" s="59"/>
      <c r="AH1168" s="59"/>
      <c r="AI1168" s="59"/>
      <c r="AJ1168" s="59"/>
      <c r="AK1168" s="59"/>
      <c r="AL1168" s="59"/>
      <c r="AM1168" s="59"/>
      <c r="AN1168" s="59"/>
      <c r="AO1168" s="59"/>
      <c r="AP1168" s="59"/>
      <c r="AQ1168" s="59"/>
      <c r="AR1168" s="59"/>
      <c r="AS1168" s="59"/>
      <c r="AT1168" s="59"/>
      <c r="AU1168" s="59"/>
      <c r="AV1168" s="59"/>
      <c r="AW1168" s="59"/>
      <c r="AX1168" s="59"/>
      <c r="AY1168" s="59"/>
      <c r="AZ1168" s="59"/>
      <c r="BA1168" s="59"/>
      <c r="BB1168" s="59"/>
      <c r="BC1168" s="59"/>
      <c r="BD1168" s="59"/>
      <c r="BE1168" s="59"/>
      <c r="BF1168" s="59"/>
      <c r="BG1168" s="59"/>
      <c r="BH1168" s="59"/>
      <c r="BI1168" s="59"/>
      <c r="BJ1168" s="59"/>
      <c r="BK1168" s="59"/>
      <c r="BL1168" s="59"/>
      <c r="BM1168" s="59"/>
      <c r="BN1168" s="59"/>
      <c r="BO1168" s="59"/>
      <c r="BP1168" s="59"/>
      <c r="BQ1168" s="59"/>
      <c r="BR1168" s="59"/>
      <c r="BS1168" s="59"/>
      <c r="BT1168" s="59"/>
      <c r="BU1168" s="59"/>
      <c r="BV1168" s="59"/>
      <c r="BW1168" s="59"/>
      <c r="BX1168" s="59"/>
      <c r="BY1168" s="59"/>
      <c r="BZ1168" s="59"/>
      <c r="CA1168" s="59"/>
      <c r="CB1168" s="59"/>
    </row>
    <row r="1169" spans="1:80">
      <c r="A1169" s="74">
        <v>1168</v>
      </c>
      <c r="B1169" s="66" t="s">
        <v>67</v>
      </c>
      <c r="C1169" s="67" t="s">
        <v>303</v>
      </c>
      <c r="D1169" s="59" t="s">
        <v>191</v>
      </c>
      <c r="E1169" s="88"/>
      <c r="F1169" s="59"/>
      <c r="G1169" s="59"/>
      <c r="H1169" s="77" t="s">
        <v>76</v>
      </c>
      <c r="I1169" s="82">
        <v>12000</v>
      </c>
      <c r="J1169" s="59"/>
      <c r="K1169" s="85"/>
      <c r="L1169" s="86"/>
      <c r="M1169" s="87"/>
      <c r="N1169" s="59"/>
      <c r="O1169" s="59"/>
      <c r="P1169" s="59"/>
      <c r="Q1169" s="59"/>
      <c r="R1169" s="59"/>
      <c r="S1169" s="59"/>
      <c r="T1169" s="59"/>
      <c r="U1169" s="59"/>
      <c r="V1169" s="59"/>
      <c r="W1169" s="59"/>
      <c r="X1169" s="59"/>
      <c r="Y1169" s="59"/>
      <c r="Z1169" s="59"/>
      <c r="AA1169" s="59"/>
      <c r="AB1169" s="59"/>
      <c r="AC1169" s="59"/>
      <c r="AD1169" s="59"/>
      <c r="AE1169" s="59"/>
      <c r="AF1169" s="59"/>
      <c r="AG1169" s="59"/>
      <c r="AH1169" s="59"/>
      <c r="AI1169" s="59"/>
      <c r="AJ1169" s="59"/>
      <c r="AK1169" s="59"/>
      <c r="AL1169" s="59"/>
      <c r="AM1169" s="59"/>
      <c r="AN1169" s="59"/>
      <c r="AO1169" s="59"/>
      <c r="AP1169" s="59"/>
      <c r="AQ1169" s="59"/>
      <c r="AR1169" s="59"/>
      <c r="AS1169" s="59"/>
      <c r="AT1169" s="59"/>
      <c r="AU1169" s="59"/>
      <c r="AV1169" s="59"/>
      <c r="AW1169" s="59"/>
      <c r="AX1169" s="59"/>
      <c r="AY1169" s="59"/>
      <c r="AZ1169" s="59"/>
      <c r="BA1169" s="59"/>
      <c r="BB1169" s="59"/>
      <c r="BC1169" s="59"/>
      <c r="BD1169" s="59"/>
      <c r="BE1169" s="59"/>
      <c r="BF1169" s="59"/>
      <c r="BG1169" s="59"/>
      <c r="BH1169" s="59"/>
      <c r="BI1169" s="59"/>
      <c r="BJ1169" s="59"/>
      <c r="BK1169" s="59"/>
      <c r="BL1169" s="59"/>
      <c r="BM1169" s="59"/>
      <c r="BN1169" s="59"/>
      <c r="BO1169" s="59"/>
      <c r="BP1169" s="59"/>
      <c r="BQ1169" s="59"/>
      <c r="BR1169" s="59"/>
      <c r="BS1169" s="59"/>
      <c r="BT1169" s="59"/>
      <c r="BU1169" s="59"/>
      <c r="BV1169" s="59"/>
      <c r="BW1169" s="59"/>
      <c r="BX1169" s="59"/>
      <c r="BY1169" s="59"/>
      <c r="BZ1169" s="59"/>
      <c r="CA1169" s="59"/>
      <c r="CB1169" s="59"/>
    </row>
    <row r="1170" spans="1:80">
      <c r="A1170" s="74">
        <v>1169</v>
      </c>
      <c r="B1170" s="66" t="s">
        <v>67</v>
      </c>
      <c r="C1170" s="67" t="s">
        <v>303</v>
      </c>
      <c r="D1170" s="59" t="s">
        <v>192</v>
      </c>
      <c r="E1170" s="88"/>
      <c r="F1170" s="59"/>
      <c r="G1170" s="59"/>
      <c r="H1170" s="77" t="s">
        <v>76</v>
      </c>
      <c r="I1170" s="82">
        <v>12000</v>
      </c>
      <c r="J1170" s="59"/>
      <c r="K1170" s="85"/>
      <c r="L1170" s="86"/>
      <c r="M1170" s="87"/>
      <c r="N1170" s="59"/>
      <c r="O1170" s="59"/>
      <c r="P1170" s="59"/>
      <c r="Q1170" s="59"/>
      <c r="R1170" s="59"/>
      <c r="S1170" s="59"/>
      <c r="T1170" s="59"/>
      <c r="U1170" s="59"/>
      <c r="V1170" s="59"/>
      <c r="W1170" s="59"/>
      <c r="X1170" s="59"/>
      <c r="Y1170" s="59"/>
      <c r="Z1170" s="59"/>
      <c r="AA1170" s="59"/>
      <c r="AB1170" s="59"/>
      <c r="AC1170" s="59"/>
      <c r="AD1170" s="59"/>
      <c r="AE1170" s="59"/>
      <c r="AF1170" s="59"/>
      <c r="AG1170" s="59"/>
      <c r="AH1170" s="59"/>
      <c r="AI1170" s="59"/>
      <c r="AJ1170" s="59"/>
      <c r="AK1170" s="59"/>
      <c r="AL1170" s="59"/>
      <c r="AM1170" s="59"/>
      <c r="AN1170" s="59"/>
      <c r="AO1170" s="59"/>
      <c r="AP1170" s="59"/>
      <c r="AQ1170" s="59"/>
      <c r="AR1170" s="59"/>
      <c r="AS1170" s="59"/>
      <c r="AT1170" s="59"/>
      <c r="AU1170" s="59"/>
      <c r="AV1170" s="59"/>
      <c r="AW1170" s="59"/>
      <c r="AX1170" s="59"/>
      <c r="AY1170" s="59"/>
      <c r="AZ1170" s="59"/>
      <c r="BA1170" s="59"/>
      <c r="BB1170" s="59"/>
      <c r="BC1170" s="59"/>
      <c r="BD1170" s="59"/>
      <c r="BE1170" s="59"/>
      <c r="BF1170" s="59"/>
      <c r="BG1170" s="59"/>
      <c r="BH1170" s="59"/>
      <c r="BI1170" s="59"/>
      <c r="BJ1170" s="59"/>
      <c r="BK1170" s="59"/>
      <c r="BL1170" s="59"/>
      <c r="BM1170" s="59"/>
      <c r="BN1170" s="59"/>
      <c r="BO1170" s="59"/>
      <c r="BP1170" s="59"/>
      <c r="BQ1170" s="59"/>
      <c r="BR1170" s="59"/>
      <c r="BS1170" s="59"/>
      <c r="BT1170" s="59"/>
      <c r="BU1170" s="59"/>
      <c r="BV1170" s="59"/>
      <c r="BW1170" s="59"/>
      <c r="BX1170" s="59"/>
      <c r="BY1170" s="59"/>
      <c r="BZ1170" s="59"/>
      <c r="CA1170" s="59"/>
      <c r="CB1170" s="59"/>
    </row>
    <row r="1171" spans="1:80">
      <c r="A1171" s="74">
        <v>1170</v>
      </c>
      <c r="B1171" s="66" t="s">
        <v>67</v>
      </c>
      <c r="C1171" s="67" t="s">
        <v>303</v>
      </c>
      <c r="D1171" s="59" t="s">
        <v>193</v>
      </c>
      <c r="E1171" s="88"/>
      <c r="F1171" s="59"/>
      <c r="G1171" s="59"/>
      <c r="H1171" s="77" t="s">
        <v>76</v>
      </c>
      <c r="I1171" s="82">
        <v>12000</v>
      </c>
      <c r="J1171" s="59"/>
      <c r="K1171" s="85"/>
      <c r="L1171" s="86"/>
      <c r="M1171" s="87"/>
      <c r="N1171" s="59"/>
      <c r="O1171" s="59"/>
      <c r="P1171" s="59"/>
      <c r="Q1171" s="59"/>
      <c r="R1171" s="59"/>
      <c r="S1171" s="59"/>
      <c r="T1171" s="59"/>
      <c r="U1171" s="59"/>
      <c r="V1171" s="59"/>
      <c r="W1171" s="59"/>
      <c r="X1171" s="59"/>
      <c r="Y1171" s="59"/>
      <c r="Z1171" s="59"/>
      <c r="AA1171" s="59"/>
      <c r="AB1171" s="59"/>
      <c r="AC1171" s="59"/>
      <c r="AD1171" s="59"/>
      <c r="AE1171" s="59"/>
      <c r="AF1171" s="59"/>
      <c r="AG1171" s="59"/>
      <c r="AH1171" s="59"/>
      <c r="AI1171" s="59"/>
      <c r="AJ1171" s="59"/>
      <c r="AK1171" s="59"/>
      <c r="AL1171" s="59"/>
      <c r="AM1171" s="59"/>
      <c r="AN1171" s="59"/>
      <c r="AO1171" s="59"/>
      <c r="AP1171" s="59"/>
      <c r="AQ1171" s="59"/>
      <c r="AR1171" s="59"/>
      <c r="AS1171" s="59"/>
      <c r="AT1171" s="59"/>
      <c r="AU1171" s="59"/>
      <c r="AV1171" s="59"/>
      <c r="AW1171" s="59"/>
      <c r="AX1171" s="59"/>
      <c r="AY1171" s="59"/>
      <c r="AZ1171" s="59"/>
      <c r="BA1171" s="59"/>
      <c r="BB1171" s="59"/>
      <c r="BC1171" s="59"/>
      <c r="BD1171" s="59"/>
      <c r="BE1171" s="59"/>
      <c r="BF1171" s="59"/>
      <c r="BG1171" s="59"/>
      <c r="BH1171" s="59"/>
      <c r="BI1171" s="59"/>
      <c r="BJ1171" s="59"/>
      <c r="BK1171" s="59"/>
      <c r="BL1171" s="59"/>
      <c r="BM1171" s="59"/>
      <c r="BN1171" s="59"/>
      <c r="BO1171" s="59"/>
      <c r="BP1171" s="59"/>
      <c r="BQ1171" s="59"/>
      <c r="BR1171" s="59"/>
      <c r="BS1171" s="59"/>
      <c r="BT1171" s="59"/>
      <c r="BU1171" s="59"/>
      <c r="BV1171" s="59"/>
      <c r="BW1171" s="59"/>
      <c r="BX1171" s="59"/>
      <c r="BY1171" s="59"/>
      <c r="BZ1171" s="59"/>
      <c r="CA1171" s="59"/>
      <c r="CB1171" s="59"/>
    </row>
    <row r="1172" spans="1:80">
      <c r="A1172" s="74">
        <v>1171</v>
      </c>
      <c r="B1172" s="66" t="s">
        <v>67</v>
      </c>
      <c r="C1172" s="67" t="s">
        <v>303</v>
      </c>
      <c r="D1172" s="59" t="s">
        <v>194</v>
      </c>
      <c r="E1172" s="88"/>
      <c r="F1172" s="59"/>
      <c r="G1172" s="59"/>
      <c r="H1172" s="77" t="s">
        <v>76</v>
      </c>
      <c r="I1172" s="82">
        <v>12000</v>
      </c>
      <c r="J1172" s="59"/>
      <c r="K1172" s="85"/>
      <c r="L1172" s="86"/>
      <c r="M1172" s="87"/>
      <c r="N1172" s="59"/>
      <c r="O1172" s="59"/>
      <c r="P1172" s="59"/>
      <c r="Q1172" s="59"/>
      <c r="R1172" s="59"/>
      <c r="S1172" s="59"/>
      <c r="T1172" s="59"/>
      <c r="U1172" s="59"/>
      <c r="V1172" s="59"/>
      <c r="W1172" s="59"/>
      <c r="X1172" s="59"/>
      <c r="Y1172" s="59"/>
      <c r="Z1172" s="59"/>
      <c r="AA1172" s="59"/>
      <c r="AB1172" s="59"/>
      <c r="AC1172" s="59"/>
      <c r="AD1172" s="59"/>
      <c r="AE1172" s="59"/>
      <c r="AF1172" s="59"/>
      <c r="AG1172" s="59"/>
      <c r="AH1172" s="59"/>
      <c r="AI1172" s="59"/>
      <c r="AJ1172" s="59"/>
      <c r="AK1172" s="59"/>
      <c r="AL1172" s="59"/>
      <c r="AM1172" s="59"/>
      <c r="AN1172" s="59"/>
      <c r="AO1172" s="59"/>
      <c r="AP1172" s="59"/>
      <c r="AQ1172" s="59"/>
      <c r="AR1172" s="59"/>
      <c r="AS1172" s="59"/>
      <c r="AT1172" s="59"/>
      <c r="AU1172" s="59"/>
      <c r="AV1172" s="59"/>
      <c r="AW1172" s="59"/>
      <c r="AX1172" s="59"/>
      <c r="AY1172" s="59"/>
      <c r="AZ1172" s="59"/>
      <c r="BA1172" s="59"/>
      <c r="BB1172" s="59"/>
      <c r="BC1172" s="59"/>
      <c r="BD1172" s="59"/>
      <c r="BE1172" s="59"/>
      <c r="BF1172" s="59"/>
      <c r="BG1172" s="59"/>
      <c r="BH1172" s="59"/>
      <c r="BI1172" s="59"/>
      <c r="BJ1172" s="59"/>
      <c r="BK1172" s="59"/>
      <c r="BL1172" s="59"/>
      <c r="BM1172" s="59"/>
      <c r="BN1172" s="59"/>
      <c r="BO1172" s="59"/>
      <c r="BP1172" s="59"/>
      <c r="BQ1172" s="59"/>
      <c r="BR1172" s="59"/>
      <c r="BS1172" s="59"/>
      <c r="BT1172" s="59"/>
      <c r="BU1172" s="59"/>
      <c r="BV1172" s="59"/>
      <c r="BW1172" s="59"/>
      <c r="BX1172" s="59"/>
      <c r="BY1172" s="59"/>
      <c r="BZ1172" s="59"/>
      <c r="CA1172" s="59"/>
      <c r="CB1172" s="59"/>
    </row>
    <row r="1173" spans="1:80">
      <c r="A1173" s="74">
        <v>1172</v>
      </c>
      <c r="B1173" s="66" t="s">
        <v>67</v>
      </c>
      <c r="C1173" s="67" t="s">
        <v>303</v>
      </c>
      <c r="D1173" s="59" t="s">
        <v>195</v>
      </c>
      <c r="E1173" s="88"/>
      <c r="F1173" s="59"/>
      <c r="G1173" s="59"/>
      <c r="H1173" s="77" t="s">
        <v>76</v>
      </c>
      <c r="I1173" s="82">
        <v>12000</v>
      </c>
      <c r="J1173" s="59"/>
      <c r="K1173" s="85"/>
      <c r="L1173" s="86"/>
      <c r="M1173" s="87"/>
      <c r="N1173" s="59"/>
      <c r="O1173" s="59"/>
      <c r="P1173" s="59"/>
      <c r="Q1173" s="59"/>
      <c r="R1173" s="59"/>
      <c r="S1173" s="59"/>
      <c r="T1173" s="59"/>
      <c r="U1173" s="59"/>
      <c r="V1173" s="59"/>
      <c r="W1173" s="59"/>
      <c r="X1173" s="59"/>
      <c r="Y1173" s="59"/>
      <c r="Z1173" s="59"/>
      <c r="AA1173" s="59"/>
      <c r="AB1173" s="59"/>
      <c r="AC1173" s="59"/>
      <c r="AD1173" s="59"/>
      <c r="AE1173" s="59"/>
      <c r="AF1173" s="59"/>
      <c r="AG1173" s="59"/>
      <c r="AH1173" s="59"/>
      <c r="AI1173" s="59"/>
      <c r="AJ1173" s="59"/>
      <c r="AK1173" s="59"/>
      <c r="AL1173" s="59"/>
      <c r="AM1173" s="59"/>
      <c r="AN1173" s="59"/>
      <c r="AO1173" s="59"/>
      <c r="AP1173" s="59"/>
      <c r="AQ1173" s="59"/>
      <c r="AR1173" s="59"/>
      <c r="AS1173" s="59"/>
      <c r="AT1173" s="59"/>
      <c r="AU1173" s="59"/>
      <c r="AV1173" s="59"/>
      <c r="AW1173" s="59"/>
      <c r="AX1173" s="59"/>
      <c r="AY1173" s="59"/>
      <c r="AZ1173" s="59"/>
      <c r="BA1173" s="59"/>
      <c r="BB1173" s="59"/>
      <c r="BC1173" s="59"/>
      <c r="BD1173" s="59"/>
      <c r="BE1173" s="59"/>
      <c r="BF1173" s="59"/>
      <c r="BG1173" s="59"/>
      <c r="BH1173" s="59"/>
      <c r="BI1173" s="59"/>
      <c r="BJ1173" s="59"/>
      <c r="BK1173" s="59"/>
      <c r="BL1173" s="59"/>
      <c r="BM1173" s="59"/>
      <c r="BN1173" s="59"/>
      <c r="BO1173" s="59"/>
      <c r="BP1173" s="59"/>
      <c r="BQ1173" s="59"/>
      <c r="BR1173" s="59"/>
      <c r="BS1173" s="59"/>
      <c r="BT1173" s="59"/>
      <c r="BU1173" s="59"/>
      <c r="BV1173" s="59"/>
      <c r="BW1173" s="59"/>
      <c r="BX1173" s="59"/>
      <c r="BY1173" s="59"/>
      <c r="BZ1173" s="59"/>
      <c r="CA1173" s="59"/>
      <c r="CB1173" s="59"/>
    </row>
    <row r="1174" spans="1:80">
      <c r="A1174" s="74">
        <v>1173</v>
      </c>
      <c r="B1174" s="66" t="s">
        <v>67</v>
      </c>
      <c r="C1174" s="67" t="s">
        <v>303</v>
      </c>
      <c r="D1174" s="59" t="s">
        <v>196</v>
      </c>
      <c r="E1174" s="88"/>
      <c r="F1174" s="59"/>
      <c r="G1174" s="59"/>
      <c r="H1174" s="77" t="s">
        <v>76</v>
      </c>
      <c r="I1174" s="82">
        <v>12000</v>
      </c>
      <c r="J1174" s="59"/>
      <c r="K1174" s="85"/>
      <c r="L1174" s="86"/>
      <c r="M1174" s="87"/>
      <c r="N1174" s="59"/>
      <c r="O1174" s="59"/>
      <c r="P1174" s="59"/>
      <c r="Q1174" s="59"/>
      <c r="R1174" s="59"/>
      <c r="S1174" s="59"/>
      <c r="T1174" s="59"/>
      <c r="U1174" s="59"/>
      <c r="V1174" s="59"/>
      <c r="W1174" s="59"/>
      <c r="X1174" s="59"/>
      <c r="Y1174" s="59"/>
      <c r="Z1174" s="59"/>
      <c r="AA1174" s="59"/>
      <c r="AB1174" s="59"/>
      <c r="AC1174" s="59"/>
      <c r="AD1174" s="59"/>
      <c r="AE1174" s="59"/>
      <c r="AF1174" s="59"/>
      <c r="AG1174" s="59"/>
      <c r="AH1174" s="59"/>
      <c r="AI1174" s="59"/>
      <c r="AJ1174" s="59"/>
      <c r="AK1174" s="59"/>
      <c r="AL1174" s="59"/>
      <c r="AM1174" s="59"/>
      <c r="AN1174" s="59"/>
      <c r="AO1174" s="59"/>
      <c r="AP1174" s="59"/>
      <c r="AQ1174" s="59"/>
      <c r="AR1174" s="59"/>
      <c r="AS1174" s="59"/>
      <c r="AT1174" s="59"/>
      <c r="AU1174" s="59"/>
      <c r="AV1174" s="59"/>
      <c r="AW1174" s="59"/>
      <c r="AX1174" s="59"/>
      <c r="AY1174" s="59"/>
      <c r="AZ1174" s="59"/>
      <c r="BA1174" s="59"/>
      <c r="BB1174" s="59"/>
      <c r="BC1174" s="59"/>
      <c r="BD1174" s="59"/>
      <c r="BE1174" s="59"/>
      <c r="BF1174" s="59"/>
      <c r="BG1174" s="59"/>
      <c r="BH1174" s="59"/>
      <c r="BI1174" s="59"/>
      <c r="BJ1174" s="59"/>
      <c r="BK1174" s="59"/>
      <c r="BL1174" s="59"/>
      <c r="BM1174" s="59"/>
      <c r="BN1174" s="59"/>
      <c r="BO1174" s="59"/>
      <c r="BP1174" s="59"/>
      <c r="BQ1174" s="59"/>
      <c r="BR1174" s="59"/>
      <c r="BS1174" s="59"/>
      <c r="BT1174" s="59"/>
      <c r="BU1174" s="59"/>
      <c r="BV1174" s="59"/>
      <c r="BW1174" s="59"/>
      <c r="BX1174" s="59"/>
      <c r="BY1174" s="59"/>
      <c r="BZ1174" s="59"/>
      <c r="CA1174" s="59"/>
      <c r="CB1174" s="59"/>
    </row>
    <row r="1175" spans="1:80">
      <c r="A1175" s="74">
        <v>1174</v>
      </c>
      <c r="B1175" s="66" t="s">
        <v>67</v>
      </c>
      <c r="C1175" s="67" t="s">
        <v>303</v>
      </c>
      <c r="D1175" s="59" t="s">
        <v>197</v>
      </c>
      <c r="E1175" s="88"/>
      <c r="F1175" s="59"/>
      <c r="G1175" s="59"/>
      <c r="H1175" s="77" t="s">
        <v>76</v>
      </c>
      <c r="I1175" s="82">
        <v>12000</v>
      </c>
      <c r="J1175" s="59"/>
      <c r="K1175" s="85"/>
      <c r="L1175" s="86"/>
      <c r="M1175" s="87"/>
      <c r="N1175" s="59"/>
      <c r="O1175" s="59"/>
      <c r="P1175" s="59"/>
      <c r="Q1175" s="59"/>
      <c r="R1175" s="59"/>
      <c r="S1175" s="59"/>
      <c r="T1175" s="59"/>
      <c r="U1175" s="59"/>
      <c r="V1175" s="59"/>
      <c r="W1175" s="59"/>
      <c r="X1175" s="59"/>
      <c r="Y1175" s="59"/>
      <c r="Z1175" s="59"/>
      <c r="AA1175" s="59"/>
      <c r="AB1175" s="59"/>
      <c r="AC1175" s="59"/>
      <c r="AD1175" s="59"/>
      <c r="AE1175" s="59"/>
      <c r="AF1175" s="59"/>
      <c r="AG1175" s="59"/>
      <c r="AH1175" s="59"/>
      <c r="AI1175" s="59"/>
      <c r="AJ1175" s="59"/>
      <c r="AK1175" s="59"/>
      <c r="AL1175" s="59"/>
      <c r="AM1175" s="59"/>
      <c r="AN1175" s="59"/>
      <c r="AO1175" s="59"/>
      <c r="AP1175" s="59"/>
      <c r="AQ1175" s="59"/>
      <c r="AR1175" s="59"/>
      <c r="AS1175" s="59"/>
      <c r="AT1175" s="59"/>
      <c r="AU1175" s="59"/>
      <c r="AV1175" s="59"/>
      <c r="AW1175" s="59"/>
      <c r="AX1175" s="59"/>
      <c r="AY1175" s="59"/>
      <c r="AZ1175" s="59"/>
      <c r="BA1175" s="59"/>
      <c r="BB1175" s="59"/>
      <c r="BC1175" s="59"/>
      <c r="BD1175" s="59"/>
      <c r="BE1175" s="59"/>
      <c r="BF1175" s="59"/>
      <c r="BG1175" s="59"/>
      <c r="BH1175" s="59"/>
      <c r="BI1175" s="59"/>
      <c r="BJ1175" s="59"/>
      <c r="BK1175" s="59"/>
      <c r="BL1175" s="59"/>
      <c r="BM1175" s="59"/>
      <c r="BN1175" s="59"/>
      <c r="BO1175" s="59"/>
      <c r="BP1175" s="59"/>
      <c r="BQ1175" s="59"/>
      <c r="BR1175" s="59"/>
      <c r="BS1175" s="59"/>
      <c r="BT1175" s="59"/>
      <c r="BU1175" s="59"/>
      <c r="BV1175" s="59"/>
      <c r="BW1175" s="59"/>
      <c r="BX1175" s="59"/>
      <c r="BY1175" s="59"/>
      <c r="BZ1175" s="59"/>
      <c r="CA1175" s="59"/>
      <c r="CB1175" s="59"/>
    </row>
    <row r="1176" spans="1:80">
      <c r="A1176" s="74">
        <v>1175</v>
      </c>
      <c r="B1176" s="66" t="s">
        <v>67</v>
      </c>
      <c r="C1176" s="67" t="s">
        <v>303</v>
      </c>
      <c r="D1176" s="59" t="s">
        <v>198</v>
      </c>
      <c r="E1176" s="88"/>
      <c r="F1176" s="59"/>
      <c r="G1176" s="59"/>
      <c r="H1176" s="77" t="s">
        <v>76</v>
      </c>
      <c r="I1176" s="82">
        <v>12000</v>
      </c>
      <c r="J1176" s="59"/>
      <c r="K1176" s="85"/>
      <c r="L1176" s="86"/>
      <c r="M1176" s="87"/>
      <c r="N1176" s="59"/>
      <c r="O1176" s="59"/>
      <c r="P1176" s="59"/>
      <c r="Q1176" s="59"/>
      <c r="R1176" s="59"/>
      <c r="S1176" s="59"/>
      <c r="T1176" s="59"/>
      <c r="U1176" s="59"/>
      <c r="V1176" s="59"/>
      <c r="W1176" s="59"/>
      <c r="X1176" s="59"/>
      <c r="Y1176" s="59"/>
      <c r="Z1176" s="59"/>
      <c r="AA1176" s="59"/>
      <c r="AB1176" s="59"/>
      <c r="AC1176" s="59"/>
      <c r="AD1176" s="59"/>
      <c r="AE1176" s="59"/>
      <c r="AF1176" s="59"/>
      <c r="AG1176" s="59"/>
      <c r="AH1176" s="59"/>
      <c r="AI1176" s="59"/>
      <c r="AJ1176" s="59"/>
      <c r="AK1176" s="59"/>
      <c r="AL1176" s="59"/>
      <c r="AM1176" s="59"/>
      <c r="AN1176" s="59"/>
      <c r="AO1176" s="59"/>
      <c r="AP1176" s="59"/>
      <c r="AQ1176" s="59"/>
      <c r="AR1176" s="59"/>
      <c r="AS1176" s="59"/>
      <c r="AT1176" s="59"/>
      <c r="AU1176" s="59"/>
      <c r="AV1176" s="59"/>
      <c r="AW1176" s="59"/>
      <c r="AX1176" s="59"/>
      <c r="AY1176" s="59"/>
      <c r="AZ1176" s="59"/>
      <c r="BA1176" s="59"/>
      <c r="BB1176" s="59"/>
      <c r="BC1176" s="59"/>
      <c r="BD1176" s="59"/>
      <c r="BE1176" s="59"/>
      <c r="BF1176" s="59"/>
      <c r="BG1176" s="59"/>
      <c r="BH1176" s="59"/>
      <c r="BI1176" s="59"/>
      <c r="BJ1176" s="59"/>
      <c r="BK1176" s="59"/>
      <c r="BL1176" s="59"/>
      <c r="BM1176" s="59"/>
      <c r="BN1176" s="59"/>
      <c r="BO1176" s="59"/>
      <c r="BP1176" s="59"/>
      <c r="BQ1176" s="59"/>
      <c r="BR1176" s="59"/>
      <c r="BS1176" s="59"/>
      <c r="BT1176" s="59"/>
      <c r="BU1176" s="59"/>
      <c r="BV1176" s="59"/>
      <c r="BW1176" s="59"/>
      <c r="BX1176" s="59"/>
      <c r="BY1176" s="59"/>
      <c r="BZ1176" s="59"/>
      <c r="CA1176" s="59"/>
      <c r="CB1176" s="59"/>
    </row>
    <row r="1177" spans="1:80">
      <c r="A1177" s="74">
        <v>1176</v>
      </c>
      <c r="B1177" s="66" t="s">
        <v>67</v>
      </c>
      <c r="C1177" s="67" t="s">
        <v>303</v>
      </c>
      <c r="D1177" s="59" t="s">
        <v>199</v>
      </c>
      <c r="E1177" s="88"/>
      <c r="F1177" s="59"/>
      <c r="G1177" s="59"/>
      <c r="H1177" s="77" t="s">
        <v>76</v>
      </c>
      <c r="I1177" s="82">
        <v>12000</v>
      </c>
      <c r="J1177" s="59"/>
      <c r="K1177" s="85"/>
      <c r="L1177" s="86"/>
      <c r="M1177" s="87"/>
      <c r="N1177" s="59"/>
      <c r="O1177" s="59"/>
      <c r="P1177" s="59"/>
      <c r="Q1177" s="59"/>
      <c r="R1177" s="59"/>
      <c r="S1177" s="59"/>
      <c r="T1177" s="59"/>
      <c r="U1177" s="59"/>
      <c r="V1177" s="59"/>
      <c r="W1177" s="59"/>
      <c r="X1177" s="59"/>
      <c r="Y1177" s="59"/>
      <c r="Z1177" s="59"/>
      <c r="AA1177" s="59"/>
      <c r="AB1177" s="59"/>
      <c r="AC1177" s="59"/>
      <c r="AD1177" s="59"/>
      <c r="AE1177" s="59"/>
      <c r="AF1177" s="59"/>
      <c r="AG1177" s="59"/>
      <c r="AH1177" s="59"/>
      <c r="AI1177" s="59"/>
      <c r="AJ1177" s="59"/>
      <c r="AK1177" s="59"/>
      <c r="AL1177" s="59"/>
      <c r="AM1177" s="59"/>
      <c r="AN1177" s="59"/>
      <c r="AO1177" s="59"/>
      <c r="AP1177" s="59"/>
      <c r="AQ1177" s="59"/>
      <c r="AR1177" s="59"/>
      <c r="AS1177" s="59"/>
      <c r="AT1177" s="59"/>
      <c r="AU1177" s="59"/>
      <c r="AV1177" s="59"/>
      <c r="AW1177" s="59"/>
      <c r="AX1177" s="59"/>
      <c r="AY1177" s="59"/>
      <c r="AZ1177" s="59"/>
      <c r="BA1177" s="59"/>
      <c r="BB1177" s="59"/>
      <c r="BC1177" s="59"/>
      <c r="BD1177" s="59"/>
      <c r="BE1177" s="59"/>
      <c r="BF1177" s="59"/>
      <c r="BG1177" s="59"/>
      <c r="BH1177" s="59"/>
      <c r="BI1177" s="59"/>
      <c r="BJ1177" s="59"/>
      <c r="BK1177" s="59"/>
      <c r="BL1177" s="59"/>
      <c r="BM1177" s="59"/>
      <c r="BN1177" s="59"/>
      <c r="BO1177" s="59"/>
      <c r="BP1177" s="59"/>
      <c r="BQ1177" s="59"/>
      <c r="BR1177" s="59"/>
      <c r="BS1177" s="59"/>
      <c r="BT1177" s="59"/>
      <c r="BU1177" s="59"/>
      <c r="BV1177" s="59"/>
      <c r="BW1177" s="59"/>
      <c r="BX1177" s="59"/>
      <c r="BY1177" s="59"/>
      <c r="BZ1177" s="59"/>
      <c r="CA1177" s="59"/>
      <c r="CB1177" s="59"/>
    </row>
    <row r="1178" spans="1:80">
      <c r="A1178" s="74">
        <v>1177</v>
      </c>
      <c r="B1178" s="66" t="s">
        <v>67</v>
      </c>
      <c r="C1178" s="67" t="s">
        <v>303</v>
      </c>
      <c r="D1178" s="59" t="s">
        <v>200</v>
      </c>
      <c r="E1178" s="88"/>
      <c r="F1178" s="59"/>
      <c r="G1178" s="59"/>
      <c r="H1178" s="77" t="s">
        <v>76</v>
      </c>
      <c r="I1178" s="82">
        <v>12000</v>
      </c>
      <c r="J1178" s="59"/>
      <c r="K1178" s="85"/>
      <c r="L1178" s="86"/>
      <c r="M1178" s="87"/>
      <c r="N1178" s="59"/>
      <c r="O1178" s="59"/>
      <c r="P1178" s="59"/>
      <c r="Q1178" s="59"/>
      <c r="R1178" s="59"/>
      <c r="S1178" s="59"/>
      <c r="T1178" s="59"/>
      <c r="U1178" s="59"/>
      <c r="V1178" s="59"/>
      <c r="W1178" s="59"/>
      <c r="X1178" s="59"/>
      <c r="Y1178" s="59"/>
      <c r="Z1178" s="59"/>
      <c r="AA1178" s="59"/>
      <c r="AB1178" s="59"/>
      <c r="AC1178" s="59"/>
      <c r="AD1178" s="59"/>
      <c r="AE1178" s="59"/>
      <c r="AF1178" s="59"/>
      <c r="AG1178" s="59"/>
      <c r="AH1178" s="59"/>
      <c r="AI1178" s="59"/>
      <c r="AJ1178" s="59"/>
      <c r="AK1178" s="59"/>
      <c r="AL1178" s="59"/>
      <c r="AM1178" s="59"/>
      <c r="AN1178" s="59"/>
      <c r="AO1178" s="59"/>
      <c r="AP1178" s="59"/>
      <c r="AQ1178" s="59"/>
      <c r="AR1178" s="59"/>
      <c r="AS1178" s="59"/>
      <c r="AT1178" s="59"/>
      <c r="AU1178" s="59"/>
      <c r="AV1178" s="59"/>
      <c r="AW1178" s="59"/>
      <c r="AX1178" s="59"/>
      <c r="AY1178" s="59"/>
      <c r="AZ1178" s="59"/>
      <c r="BA1178" s="59"/>
      <c r="BB1178" s="59"/>
      <c r="BC1178" s="59"/>
      <c r="BD1178" s="59"/>
      <c r="BE1178" s="59"/>
      <c r="BF1178" s="59"/>
      <c r="BG1178" s="59"/>
      <c r="BH1178" s="59"/>
      <c r="BI1178" s="59"/>
      <c r="BJ1178" s="59"/>
      <c r="BK1178" s="59"/>
      <c r="BL1178" s="59"/>
      <c r="BM1178" s="59"/>
      <c r="BN1178" s="59"/>
      <c r="BO1178" s="59"/>
      <c r="BP1178" s="59"/>
      <c r="BQ1178" s="59"/>
      <c r="BR1178" s="59"/>
      <c r="BS1178" s="59"/>
      <c r="BT1178" s="59"/>
      <c r="BU1178" s="59"/>
      <c r="BV1178" s="59"/>
      <c r="BW1178" s="59"/>
      <c r="BX1178" s="59"/>
      <c r="BY1178" s="59"/>
      <c r="BZ1178" s="59"/>
      <c r="CA1178" s="59"/>
      <c r="CB1178" s="59"/>
    </row>
    <row r="1179" spans="1:80">
      <c r="A1179" s="74">
        <v>1178</v>
      </c>
      <c r="B1179" s="66" t="s">
        <v>67</v>
      </c>
      <c r="C1179" s="67" t="s">
        <v>303</v>
      </c>
      <c r="D1179" s="59" t="s">
        <v>201</v>
      </c>
      <c r="E1179" s="88"/>
      <c r="F1179" s="59"/>
      <c r="G1179" s="59"/>
      <c r="H1179" s="77" t="s">
        <v>76</v>
      </c>
      <c r="I1179" s="82">
        <v>12000</v>
      </c>
      <c r="J1179" s="59"/>
      <c r="K1179" s="85"/>
      <c r="L1179" s="86"/>
      <c r="M1179" s="87"/>
      <c r="N1179" s="59"/>
      <c r="O1179" s="59"/>
      <c r="P1179" s="59"/>
      <c r="Q1179" s="59"/>
      <c r="R1179" s="59"/>
      <c r="S1179" s="59"/>
      <c r="T1179" s="59"/>
      <c r="U1179" s="59"/>
      <c r="V1179" s="59"/>
      <c r="W1179" s="59"/>
      <c r="X1179" s="59"/>
      <c r="Y1179" s="59"/>
      <c r="Z1179" s="59"/>
      <c r="AA1179" s="59"/>
      <c r="AB1179" s="59"/>
      <c r="AC1179" s="59"/>
      <c r="AD1179" s="59"/>
      <c r="AE1179" s="59"/>
      <c r="AF1179" s="59"/>
      <c r="AG1179" s="59"/>
      <c r="AH1179" s="59"/>
      <c r="AI1179" s="59"/>
      <c r="AJ1179" s="59"/>
      <c r="AK1179" s="59"/>
      <c r="AL1179" s="59"/>
      <c r="AM1179" s="59"/>
      <c r="AN1179" s="59"/>
      <c r="AO1179" s="59"/>
      <c r="AP1179" s="59"/>
      <c r="AQ1179" s="59"/>
      <c r="AR1179" s="59"/>
      <c r="AS1179" s="59"/>
      <c r="AT1179" s="59"/>
      <c r="AU1179" s="59"/>
      <c r="AV1179" s="59"/>
      <c r="AW1179" s="59"/>
      <c r="AX1179" s="59"/>
      <c r="AY1179" s="59"/>
      <c r="AZ1179" s="59"/>
      <c r="BA1179" s="59"/>
      <c r="BB1179" s="59"/>
      <c r="BC1179" s="59"/>
      <c r="BD1179" s="59"/>
      <c r="BE1179" s="59"/>
      <c r="BF1179" s="59"/>
      <c r="BG1179" s="59"/>
      <c r="BH1179" s="59"/>
      <c r="BI1179" s="59"/>
      <c r="BJ1179" s="59"/>
      <c r="BK1179" s="59"/>
      <c r="BL1179" s="59"/>
      <c r="BM1179" s="59"/>
      <c r="BN1179" s="59"/>
      <c r="BO1179" s="59"/>
      <c r="BP1179" s="59"/>
      <c r="BQ1179" s="59"/>
      <c r="BR1179" s="59"/>
      <c r="BS1179" s="59"/>
      <c r="BT1179" s="59"/>
      <c r="BU1179" s="59"/>
      <c r="BV1179" s="59"/>
      <c r="BW1179" s="59"/>
      <c r="BX1179" s="59"/>
      <c r="BY1179" s="59"/>
      <c r="BZ1179" s="59"/>
      <c r="CA1179" s="59"/>
      <c r="CB1179" s="59"/>
    </row>
    <row r="1180" spans="1:80">
      <c r="A1180" s="74">
        <v>1179</v>
      </c>
      <c r="B1180" s="66" t="s">
        <v>67</v>
      </c>
      <c r="C1180" s="67" t="s">
        <v>303</v>
      </c>
      <c r="D1180" s="59" t="s">
        <v>202</v>
      </c>
      <c r="E1180" s="88"/>
      <c r="F1180" s="59"/>
      <c r="G1180" s="59"/>
      <c r="H1180" s="77" t="s">
        <v>76</v>
      </c>
      <c r="I1180" s="82">
        <v>12000</v>
      </c>
      <c r="J1180" s="59"/>
      <c r="K1180" s="85"/>
      <c r="L1180" s="86"/>
      <c r="M1180" s="87"/>
      <c r="N1180" s="59"/>
      <c r="O1180" s="59"/>
      <c r="P1180" s="59"/>
      <c r="Q1180" s="59"/>
      <c r="R1180" s="59"/>
      <c r="S1180" s="59"/>
      <c r="T1180" s="59"/>
      <c r="U1180" s="59"/>
      <c r="V1180" s="59"/>
      <c r="W1180" s="59"/>
      <c r="X1180" s="59"/>
      <c r="Y1180" s="59"/>
      <c r="Z1180" s="59"/>
      <c r="AA1180" s="59"/>
      <c r="AB1180" s="59"/>
      <c r="AC1180" s="59"/>
      <c r="AD1180" s="59"/>
      <c r="AE1180" s="59"/>
      <c r="AF1180" s="59"/>
      <c r="AG1180" s="59"/>
      <c r="AH1180" s="59"/>
      <c r="AI1180" s="59"/>
      <c r="AJ1180" s="59"/>
      <c r="AK1180" s="59"/>
      <c r="AL1180" s="59"/>
      <c r="AM1180" s="59"/>
      <c r="AN1180" s="59"/>
      <c r="AO1180" s="59"/>
      <c r="AP1180" s="59"/>
      <c r="AQ1180" s="59"/>
      <c r="AR1180" s="59"/>
      <c r="AS1180" s="59"/>
      <c r="AT1180" s="59"/>
      <c r="AU1180" s="59"/>
      <c r="AV1180" s="59"/>
      <c r="AW1180" s="59"/>
      <c r="AX1180" s="59"/>
      <c r="AY1180" s="59"/>
      <c r="AZ1180" s="59"/>
      <c r="BA1180" s="59"/>
      <c r="BB1180" s="59"/>
      <c r="BC1180" s="59"/>
      <c r="BD1180" s="59"/>
      <c r="BE1180" s="59"/>
      <c r="BF1180" s="59"/>
      <c r="BG1180" s="59"/>
      <c r="BH1180" s="59"/>
      <c r="BI1180" s="59"/>
      <c r="BJ1180" s="59"/>
      <c r="BK1180" s="59"/>
      <c r="BL1180" s="59"/>
      <c r="BM1180" s="59"/>
      <c r="BN1180" s="59"/>
      <c r="BO1180" s="59"/>
      <c r="BP1180" s="59"/>
      <c r="BQ1180" s="59"/>
      <c r="BR1180" s="59"/>
      <c r="BS1180" s="59"/>
      <c r="BT1180" s="59"/>
      <c r="BU1180" s="59"/>
      <c r="BV1180" s="59"/>
      <c r="BW1180" s="59"/>
      <c r="BX1180" s="59"/>
      <c r="BY1180" s="59"/>
      <c r="BZ1180" s="59"/>
      <c r="CA1180" s="59"/>
      <c r="CB1180" s="59"/>
    </row>
    <row r="1181" spans="1:80">
      <c r="A1181" s="74">
        <v>1180</v>
      </c>
      <c r="B1181" s="66" t="s">
        <v>67</v>
      </c>
      <c r="C1181" s="67" t="s">
        <v>303</v>
      </c>
      <c r="D1181" s="59" t="s">
        <v>203</v>
      </c>
      <c r="E1181" s="88"/>
      <c r="F1181" s="59"/>
      <c r="G1181" s="59"/>
      <c r="H1181" s="77" t="s">
        <v>76</v>
      </c>
      <c r="I1181" s="82">
        <v>12000</v>
      </c>
      <c r="J1181" s="59"/>
      <c r="K1181" s="85"/>
      <c r="L1181" s="86"/>
      <c r="M1181" s="87"/>
      <c r="N1181" s="59"/>
      <c r="O1181" s="59"/>
      <c r="P1181" s="59"/>
      <c r="Q1181" s="59"/>
      <c r="R1181" s="59"/>
      <c r="S1181" s="59"/>
      <c r="T1181" s="59"/>
      <c r="U1181" s="59"/>
      <c r="V1181" s="59"/>
      <c r="W1181" s="59"/>
      <c r="X1181" s="59"/>
      <c r="Y1181" s="59"/>
      <c r="Z1181" s="59"/>
      <c r="AA1181" s="59"/>
      <c r="AB1181" s="59"/>
      <c r="AC1181" s="59"/>
      <c r="AD1181" s="59"/>
      <c r="AE1181" s="59"/>
      <c r="AF1181" s="59"/>
      <c r="AG1181" s="59"/>
      <c r="AH1181" s="59"/>
      <c r="AI1181" s="59"/>
      <c r="AJ1181" s="59"/>
      <c r="AK1181" s="59"/>
      <c r="AL1181" s="59"/>
      <c r="AM1181" s="59"/>
      <c r="AN1181" s="59"/>
      <c r="AO1181" s="59"/>
      <c r="AP1181" s="59"/>
      <c r="AQ1181" s="59"/>
      <c r="AR1181" s="59"/>
      <c r="AS1181" s="59"/>
      <c r="AT1181" s="59"/>
      <c r="AU1181" s="59"/>
      <c r="AV1181" s="59"/>
      <c r="AW1181" s="59"/>
      <c r="AX1181" s="59"/>
      <c r="AY1181" s="59"/>
      <c r="AZ1181" s="59"/>
      <c r="BA1181" s="59"/>
      <c r="BB1181" s="59"/>
      <c r="BC1181" s="59"/>
      <c r="BD1181" s="59"/>
      <c r="BE1181" s="59"/>
      <c r="BF1181" s="59"/>
      <c r="BG1181" s="59"/>
      <c r="BH1181" s="59"/>
      <c r="BI1181" s="59"/>
      <c r="BJ1181" s="59"/>
      <c r="BK1181" s="59"/>
      <c r="BL1181" s="59"/>
      <c r="BM1181" s="59"/>
      <c r="BN1181" s="59"/>
      <c r="BO1181" s="59"/>
      <c r="BP1181" s="59"/>
      <c r="BQ1181" s="59"/>
      <c r="BR1181" s="59"/>
      <c r="BS1181" s="59"/>
      <c r="BT1181" s="59"/>
      <c r="BU1181" s="59"/>
      <c r="BV1181" s="59"/>
      <c r="BW1181" s="59"/>
      <c r="BX1181" s="59"/>
      <c r="BY1181" s="59"/>
      <c r="BZ1181" s="59"/>
      <c r="CA1181" s="59"/>
      <c r="CB1181" s="59"/>
    </row>
    <row r="1182" spans="1:80">
      <c r="A1182" s="74">
        <v>1181</v>
      </c>
      <c r="B1182" s="66" t="s">
        <v>67</v>
      </c>
      <c r="C1182" s="67" t="s">
        <v>303</v>
      </c>
      <c r="D1182" s="59" t="s">
        <v>204</v>
      </c>
      <c r="E1182" s="88"/>
      <c r="F1182" s="59"/>
      <c r="G1182" s="59"/>
      <c r="H1182" s="77" t="s">
        <v>76</v>
      </c>
      <c r="I1182" s="82">
        <v>12000</v>
      </c>
      <c r="J1182" s="59"/>
      <c r="K1182" s="85"/>
      <c r="L1182" s="86"/>
      <c r="M1182" s="87"/>
      <c r="N1182" s="59"/>
      <c r="O1182" s="59"/>
      <c r="P1182" s="59"/>
      <c r="Q1182" s="59"/>
      <c r="R1182" s="59"/>
      <c r="S1182" s="59"/>
      <c r="T1182" s="59"/>
      <c r="U1182" s="59"/>
      <c r="V1182" s="59"/>
      <c r="W1182" s="59"/>
      <c r="X1182" s="59"/>
      <c r="Y1182" s="59"/>
      <c r="Z1182" s="59"/>
      <c r="AA1182" s="59"/>
      <c r="AB1182" s="59"/>
      <c r="AC1182" s="59"/>
      <c r="AD1182" s="59"/>
      <c r="AE1182" s="59"/>
      <c r="AF1182" s="59"/>
      <c r="AG1182" s="59"/>
      <c r="AH1182" s="59"/>
      <c r="AI1182" s="59"/>
      <c r="AJ1182" s="59"/>
      <c r="AK1182" s="59"/>
      <c r="AL1182" s="59"/>
      <c r="AM1182" s="59"/>
      <c r="AN1182" s="59"/>
      <c r="AO1182" s="59"/>
      <c r="AP1182" s="59"/>
      <c r="AQ1182" s="59"/>
      <c r="AR1182" s="59"/>
      <c r="AS1182" s="59"/>
      <c r="AT1182" s="59"/>
      <c r="AU1182" s="59"/>
      <c r="AV1182" s="59"/>
      <c r="AW1182" s="59"/>
      <c r="AX1182" s="59"/>
      <c r="AY1182" s="59"/>
      <c r="AZ1182" s="59"/>
      <c r="BA1182" s="59"/>
      <c r="BB1182" s="59"/>
      <c r="BC1182" s="59"/>
      <c r="BD1182" s="59"/>
      <c r="BE1182" s="59"/>
      <c r="BF1182" s="59"/>
      <c r="BG1182" s="59"/>
      <c r="BH1182" s="59"/>
      <c r="BI1182" s="59"/>
      <c r="BJ1182" s="59"/>
      <c r="BK1182" s="59"/>
      <c r="BL1182" s="59"/>
      <c r="BM1182" s="59"/>
      <c r="BN1182" s="59"/>
      <c r="BO1182" s="59"/>
      <c r="BP1182" s="59"/>
      <c r="BQ1182" s="59"/>
      <c r="BR1182" s="59"/>
      <c r="BS1182" s="59"/>
      <c r="BT1182" s="59"/>
      <c r="BU1182" s="59"/>
      <c r="BV1182" s="59"/>
      <c r="BW1182" s="59"/>
      <c r="BX1182" s="59"/>
      <c r="BY1182" s="59"/>
      <c r="BZ1182" s="59"/>
      <c r="CA1182" s="59"/>
      <c r="CB1182" s="59"/>
    </row>
    <row r="1183" spans="1:80">
      <c r="A1183" s="74">
        <v>1182</v>
      </c>
      <c r="B1183" s="66" t="s">
        <v>67</v>
      </c>
      <c r="C1183" s="67" t="s">
        <v>303</v>
      </c>
      <c r="D1183" s="59" t="s">
        <v>205</v>
      </c>
      <c r="E1183" s="88"/>
      <c r="F1183" s="59"/>
      <c r="G1183" s="59"/>
      <c r="H1183" s="77" t="s">
        <v>76</v>
      </c>
      <c r="I1183" s="82">
        <v>12000</v>
      </c>
      <c r="J1183" s="59"/>
      <c r="K1183" s="85"/>
      <c r="L1183" s="86"/>
      <c r="M1183" s="87"/>
      <c r="N1183" s="59"/>
      <c r="O1183" s="59"/>
      <c r="P1183" s="59"/>
      <c r="Q1183" s="59"/>
      <c r="R1183" s="59"/>
      <c r="S1183" s="59"/>
      <c r="T1183" s="59"/>
      <c r="U1183" s="59"/>
      <c r="V1183" s="59"/>
      <c r="W1183" s="59"/>
      <c r="X1183" s="59"/>
      <c r="Y1183" s="59"/>
      <c r="Z1183" s="59"/>
      <c r="AA1183" s="59"/>
      <c r="AB1183" s="59"/>
      <c r="AC1183" s="59"/>
      <c r="AD1183" s="59"/>
      <c r="AE1183" s="59"/>
      <c r="AF1183" s="59"/>
      <c r="AG1183" s="59"/>
      <c r="AH1183" s="59"/>
      <c r="AI1183" s="59"/>
      <c r="AJ1183" s="59"/>
      <c r="AK1183" s="59"/>
      <c r="AL1183" s="59"/>
      <c r="AM1183" s="59"/>
      <c r="AN1183" s="59"/>
      <c r="AO1183" s="59"/>
      <c r="AP1183" s="59"/>
      <c r="AQ1183" s="59"/>
      <c r="AR1183" s="59"/>
      <c r="AS1183" s="59"/>
      <c r="AT1183" s="59"/>
      <c r="AU1183" s="59"/>
      <c r="AV1183" s="59"/>
      <c r="AW1183" s="59"/>
      <c r="AX1183" s="59"/>
      <c r="AY1183" s="59"/>
      <c r="AZ1183" s="59"/>
      <c r="BA1183" s="59"/>
      <c r="BB1183" s="59"/>
      <c r="BC1183" s="59"/>
      <c r="BD1183" s="59"/>
      <c r="BE1183" s="59"/>
      <c r="BF1183" s="59"/>
      <c r="BG1183" s="59"/>
      <c r="BH1183" s="59"/>
      <c r="BI1183" s="59"/>
      <c r="BJ1183" s="59"/>
      <c r="BK1183" s="59"/>
      <c r="BL1183" s="59"/>
      <c r="BM1183" s="59"/>
      <c r="BN1183" s="59"/>
      <c r="BO1183" s="59"/>
      <c r="BP1183" s="59"/>
      <c r="BQ1183" s="59"/>
      <c r="BR1183" s="59"/>
      <c r="BS1183" s="59"/>
      <c r="BT1183" s="59"/>
      <c r="BU1183" s="59"/>
      <c r="BV1183" s="59"/>
      <c r="BW1183" s="59"/>
      <c r="BX1183" s="59"/>
      <c r="BY1183" s="59"/>
      <c r="BZ1183" s="59"/>
      <c r="CA1183" s="59"/>
      <c r="CB1183" s="59"/>
    </row>
    <row r="1184" spans="1:80">
      <c r="A1184" s="74">
        <v>1183</v>
      </c>
      <c r="B1184" s="66" t="s">
        <v>67</v>
      </c>
      <c r="C1184" s="67" t="s">
        <v>303</v>
      </c>
      <c r="D1184" s="59" t="s">
        <v>206</v>
      </c>
      <c r="E1184" s="88"/>
      <c r="F1184" s="59"/>
      <c r="G1184" s="59"/>
      <c r="H1184" s="77" t="s">
        <v>76</v>
      </c>
      <c r="I1184" s="82">
        <v>12000</v>
      </c>
      <c r="J1184" s="59"/>
      <c r="K1184" s="85"/>
      <c r="L1184" s="86"/>
      <c r="M1184" s="87"/>
      <c r="N1184" s="59"/>
      <c r="O1184" s="59"/>
      <c r="P1184" s="59"/>
      <c r="Q1184" s="59"/>
      <c r="R1184" s="59"/>
      <c r="S1184" s="59"/>
      <c r="T1184" s="59"/>
      <c r="U1184" s="59"/>
      <c r="V1184" s="59"/>
      <c r="W1184" s="59"/>
      <c r="X1184" s="59"/>
      <c r="Y1184" s="59"/>
      <c r="Z1184" s="59"/>
      <c r="AA1184" s="59"/>
      <c r="AB1184" s="59"/>
      <c r="AC1184" s="59"/>
      <c r="AD1184" s="59"/>
      <c r="AE1184" s="59"/>
      <c r="AF1184" s="59"/>
      <c r="AG1184" s="59"/>
      <c r="AH1184" s="59"/>
      <c r="AI1184" s="59"/>
      <c r="AJ1184" s="59"/>
      <c r="AK1184" s="59"/>
      <c r="AL1184" s="59"/>
      <c r="AM1184" s="59"/>
      <c r="AN1184" s="59"/>
      <c r="AO1184" s="59"/>
      <c r="AP1184" s="59"/>
      <c r="AQ1184" s="59"/>
      <c r="AR1184" s="59"/>
      <c r="AS1184" s="59"/>
      <c r="AT1184" s="59"/>
      <c r="AU1184" s="59"/>
      <c r="AV1184" s="59"/>
      <c r="AW1184" s="59"/>
      <c r="AX1184" s="59"/>
      <c r="AY1184" s="59"/>
      <c r="AZ1184" s="59"/>
      <c r="BA1184" s="59"/>
      <c r="BB1184" s="59"/>
      <c r="BC1184" s="59"/>
      <c r="BD1184" s="59"/>
      <c r="BE1184" s="59"/>
      <c r="BF1184" s="59"/>
      <c r="BG1184" s="59"/>
      <c r="BH1184" s="59"/>
      <c r="BI1184" s="59"/>
      <c r="BJ1184" s="59"/>
      <c r="BK1184" s="59"/>
      <c r="BL1184" s="59"/>
      <c r="BM1184" s="59"/>
      <c r="BN1184" s="59"/>
      <c r="BO1184" s="59"/>
      <c r="BP1184" s="59"/>
      <c r="BQ1184" s="59"/>
      <c r="BR1184" s="59"/>
      <c r="BS1184" s="59"/>
      <c r="BT1184" s="59"/>
      <c r="BU1184" s="59"/>
      <c r="BV1184" s="59"/>
      <c r="BW1184" s="59"/>
      <c r="BX1184" s="59"/>
      <c r="BY1184" s="59"/>
      <c r="BZ1184" s="59"/>
      <c r="CA1184" s="59"/>
      <c r="CB1184" s="59"/>
    </row>
    <row r="1185" spans="1:80">
      <c r="A1185" s="74">
        <v>1184</v>
      </c>
      <c r="B1185" s="66" t="s">
        <v>67</v>
      </c>
      <c r="C1185" s="67" t="s">
        <v>303</v>
      </c>
      <c r="D1185" s="59" t="s">
        <v>207</v>
      </c>
      <c r="E1185" s="88"/>
      <c r="F1185" s="59"/>
      <c r="G1185" s="59"/>
      <c r="H1185" s="77" t="s">
        <v>76</v>
      </c>
      <c r="I1185" s="82">
        <v>12000</v>
      </c>
      <c r="J1185" s="59"/>
      <c r="K1185" s="85"/>
      <c r="L1185" s="86"/>
      <c r="M1185" s="98"/>
      <c r="N1185" s="59"/>
      <c r="O1185" s="59"/>
      <c r="P1185" s="59"/>
      <c r="Q1185" s="59"/>
      <c r="R1185" s="59"/>
      <c r="S1185" s="59"/>
      <c r="T1185" s="59"/>
      <c r="U1185" s="59"/>
      <c r="V1185" s="59"/>
      <c r="W1185" s="59"/>
      <c r="X1185" s="59"/>
      <c r="Y1185" s="59"/>
      <c r="Z1185" s="59"/>
      <c r="AA1185" s="59"/>
      <c r="AB1185" s="59"/>
      <c r="AC1185" s="59"/>
      <c r="AD1185" s="59"/>
      <c r="AE1185" s="59"/>
      <c r="AF1185" s="59"/>
      <c r="AG1185" s="59"/>
      <c r="AH1185" s="59"/>
      <c r="AI1185" s="59"/>
      <c r="AJ1185" s="59"/>
      <c r="AK1185" s="59"/>
      <c r="AL1185" s="59"/>
      <c r="AM1185" s="59"/>
      <c r="AN1185" s="59"/>
      <c r="AO1185" s="59"/>
      <c r="AP1185" s="59"/>
      <c r="AQ1185" s="59"/>
      <c r="AR1185" s="59"/>
      <c r="AS1185" s="59"/>
      <c r="AT1185" s="59"/>
      <c r="AU1185" s="59"/>
      <c r="AV1185" s="59"/>
      <c r="AW1185" s="59"/>
      <c r="AX1185" s="59"/>
      <c r="AY1185" s="59"/>
      <c r="AZ1185" s="59"/>
      <c r="BA1185" s="59"/>
      <c r="BB1185" s="59"/>
      <c r="BC1185" s="59"/>
      <c r="BD1185" s="59"/>
      <c r="BE1185" s="59"/>
      <c r="BF1185" s="59"/>
      <c r="BG1185" s="59"/>
      <c r="BH1185" s="59"/>
      <c r="BI1185" s="59"/>
      <c r="BJ1185" s="59"/>
      <c r="BK1185" s="59"/>
      <c r="BL1185" s="59"/>
      <c r="BM1185" s="59"/>
      <c r="BN1185" s="59"/>
      <c r="BO1185" s="59"/>
      <c r="BP1185" s="59"/>
      <c r="BQ1185" s="59"/>
      <c r="BR1185" s="59"/>
      <c r="BS1185" s="59"/>
      <c r="BT1185" s="59"/>
      <c r="BU1185" s="59"/>
      <c r="BV1185" s="59"/>
      <c r="BW1185" s="59"/>
      <c r="BX1185" s="59"/>
      <c r="BY1185" s="59"/>
      <c r="BZ1185" s="59"/>
      <c r="CA1185" s="59"/>
      <c r="CB1185" s="59"/>
    </row>
    <row r="1186" spans="1:80">
      <c r="A1186" s="74">
        <v>1185</v>
      </c>
      <c r="B1186" s="66" t="s">
        <v>67</v>
      </c>
      <c r="C1186" s="67" t="s">
        <v>303</v>
      </c>
      <c r="D1186" s="59" t="s">
        <v>208</v>
      </c>
      <c r="E1186" s="88"/>
      <c r="F1186" s="59"/>
      <c r="G1186" s="59"/>
      <c r="H1186" s="77" t="s">
        <v>71</v>
      </c>
      <c r="I1186" s="78">
        <v>16000</v>
      </c>
      <c r="J1186" s="59"/>
      <c r="K1186" s="85"/>
      <c r="L1186" s="86"/>
      <c r="M1186" s="87"/>
      <c r="N1186" s="59"/>
      <c r="O1186" s="59"/>
      <c r="P1186" s="59"/>
      <c r="Q1186" s="59"/>
      <c r="R1186" s="59"/>
      <c r="S1186" s="59"/>
      <c r="T1186" s="59"/>
      <c r="U1186" s="59"/>
      <c r="V1186" s="59"/>
      <c r="W1186" s="59"/>
      <c r="X1186" s="59"/>
      <c r="Y1186" s="59"/>
      <c r="Z1186" s="59"/>
      <c r="AA1186" s="59"/>
      <c r="AB1186" s="59"/>
      <c r="AC1186" s="59"/>
      <c r="AD1186" s="59"/>
      <c r="AE1186" s="59"/>
      <c r="AF1186" s="59"/>
      <c r="AG1186" s="59"/>
      <c r="AH1186" s="59"/>
      <c r="AI1186" s="59"/>
      <c r="AJ1186" s="59"/>
      <c r="AK1186" s="59"/>
      <c r="AL1186" s="59"/>
      <c r="AM1186" s="59"/>
      <c r="AN1186" s="59"/>
      <c r="AO1186" s="59"/>
      <c r="AP1186" s="59"/>
      <c r="AQ1186" s="59"/>
      <c r="AR1186" s="59"/>
      <c r="AS1186" s="59"/>
      <c r="AT1186" s="59"/>
      <c r="AU1186" s="59"/>
      <c r="AV1186" s="59"/>
      <c r="AW1186" s="59"/>
      <c r="AX1186" s="59"/>
      <c r="AY1186" s="59"/>
      <c r="AZ1186" s="59"/>
      <c r="BA1186" s="59"/>
      <c r="BB1186" s="59"/>
      <c r="BC1186" s="59"/>
      <c r="BD1186" s="59"/>
      <c r="BE1186" s="59"/>
      <c r="BF1186" s="59"/>
      <c r="BG1186" s="59"/>
      <c r="BH1186" s="59"/>
      <c r="BI1186" s="59"/>
      <c r="BJ1186" s="59"/>
      <c r="BK1186" s="59"/>
      <c r="BL1186" s="59"/>
      <c r="BM1186" s="59"/>
      <c r="BN1186" s="59"/>
      <c r="BO1186" s="59"/>
      <c r="BP1186" s="59"/>
      <c r="BQ1186" s="59"/>
      <c r="BR1186" s="59"/>
      <c r="BS1186" s="59"/>
      <c r="BT1186" s="59"/>
      <c r="BU1186" s="59"/>
      <c r="BV1186" s="59"/>
      <c r="BW1186" s="59"/>
      <c r="BX1186" s="59"/>
      <c r="BY1186" s="59"/>
      <c r="BZ1186" s="59"/>
      <c r="CA1186" s="59"/>
      <c r="CB1186" s="59"/>
    </row>
    <row r="1187" spans="1:80">
      <c r="A1187" s="74">
        <v>1186</v>
      </c>
      <c r="B1187" s="66" t="s">
        <v>67</v>
      </c>
      <c r="C1187" s="67" t="s">
        <v>303</v>
      </c>
      <c r="D1187" s="59" t="s">
        <v>209</v>
      </c>
      <c r="E1187" s="88"/>
      <c r="F1187" s="59"/>
      <c r="G1187" s="59"/>
      <c r="H1187" s="77" t="s">
        <v>76</v>
      </c>
      <c r="I1187" s="82">
        <v>12000</v>
      </c>
      <c r="J1187" s="59"/>
      <c r="K1187" s="85"/>
      <c r="L1187" s="86"/>
      <c r="M1187" s="99"/>
      <c r="N1187" s="59"/>
      <c r="O1187" s="59"/>
      <c r="P1187" s="59"/>
      <c r="Q1187" s="59"/>
      <c r="R1187" s="59"/>
      <c r="S1187" s="59"/>
      <c r="T1187" s="59"/>
      <c r="U1187" s="59"/>
      <c r="V1187" s="59"/>
      <c r="W1187" s="59"/>
      <c r="X1187" s="59"/>
      <c r="Y1187" s="59"/>
      <c r="Z1187" s="59"/>
      <c r="AA1187" s="59"/>
      <c r="AB1187" s="59"/>
      <c r="AC1187" s="59"/>
      <c r="AD1187" s="59"/>
      <c r="AE1187" s="59"/>
      <c r="AF1187" s="59"/>
      <c r="AG1187" s="59"/>
      <c r="AH1187" s="59"/>
      <c r="AI1187" s="59"/>
      <c r="AJ1187" s="59"/>
      <c r="AK1187" s="59"/>
      <c r="AL1187" s="59"/>
      <c r="AM1187" s="59"/>
      <c r="AN1187" s="59"/>
      <c r="AO1187" s="59"/>
      <c r="AP1187" s="59"/>
      <c r="AQ1187" s="59"/>
      <c r="AR1187" s="59"/>
      <c r="AS1187" s="59"/>
      <c r="AT1187" s="59"/>
      <c r="AU1187" s="59"/>
      <c r="AV1187" s="59"/>
      <c r="AW1187" s="59"/>
      <c r="AX1187" s="59"/>
      <c r="AY1187" s="59"/>
      <c r="AZ1187" s="59"/>
      <c r="BA1187" s="59"/>
      <c r="BB1187" s="59"/>
      <c r="BC1187" s="59"/>
      <c r="BD1187" s="59"/>
      <c r="BE1187" s="59"/>
      <c r="BF1187" s="59"/>
      <c r="BG1187" s="59"/>
      <c r="BH1187" s="59"/>
      <c r="BI1187" s="59"/>
      <c r="BJ1187" s="59"/>
      <c r="BK1187" s="59"/>
      <c r="BL1187" s="59"/>
      <c r="BM1187" s="59"/>
      <c r="BN1187" s="59"/>
      <c r="BO1187" s="59"/>
      <c r="BP1187" s="59"/>
      <c r="BQ1187" s="59"/>
      <c r="BR1187" s="59"/>
      <c r="BS1187" s="59"/>
      <c r="BT1187" s="59"/>
      <c r="BU1187" s="59"/>
      <c r="BV1187" s="59"/>
      <c r="BW1187" s="59"/>
      <c r="BX1187" s="59"/>
      <c r="BY1187" s="59"/>
      <c r="BZ1187" s="59"/>
      <c r="CA1187" s="59"/>
      <c r="CB1187" s="59"/>
    </row>
    <row r="1188" spans="1:80">
      <c r="A1188" s="74">
        <v>1187</v>
      </c>
      <c r="B1188" s="66" t="s">
        <v>67</v>
      </c>
      <c r="C1188" s="67" t="s">
        <v>303</v>
      </c>
      <c r="D1188" s="59" t="s">
        <v>210</v>
      </c>
      <c r="E1188" s="88"/>
      <c r="F1188" s="59"/>
      <c r="G1188" s="59"/>
      <c r="H1188" s="77" t="s">
        <v>76</v>
      </c>
      <c r="I1188" s="82">
        <v>12000</v>
      </c>
      <c r="J1188" s="59"/>
      <c r="K1188" s="85"/>
      <c r="L1188" s="86"/>
      <c r="M1188" s="87"/>
      <c r="N1188" s="59"/>
      <c r="O1188" s="59"/>
      <c r="P1188" s="59"/>
      <c r="Q1188" s="59"/>
      <c r="R1188" s="59"/>
      <c r="S1188" s="59"/>
      <c r="T1188" s="59"/>
      <c r="U1188" s="59"/>
      <c r="V1188" s="59"/>
      <c r="W1188" s="59"/>
      <c r="X1188" s="59"/>
      <c r="Y1188" s="59"/>
      <c r="Z1188" s="59"/>
      <c r="AA1188" s="59"/>
      <c r="AB1188" s="59"/>
      <c r="AC1188" s="59"/>
      <c r="AD1188" s="59"/>
      <c r="AE1188" s="59"/>
      <c r="AF1188" s="59"/>
      <c r="AG1188" s="59"/>
      <c r="AH1188" s="59"/>
      <c r="AI1188" s="59"/>
      <c r="AJ1188" s="59"/>
      <c r="AK1188" s="59"/>
      <c r="AL1188" s="59"/>
      <c r="AM1188" s="59"/>
      <c r="AN1188" s="59"/>
      <c r="AO1188" s="59"/>
      <c r="AP1188" s="59"/>
      <c r="AQ1188" s="59"/>
      <c r="AR1188" s="59"/>
      <c r="AS1188" s="59"/>
      <c r="AT1188" s="59"/>
      <c r="AU1188" s="59"/>
      <c r="AV1188" s="59"/>
      <c r="AW1188" s="59"/>
      <c r="AX1188" s="59"/>
      <c r="AY1188" s="59"/>
      <c r="AZ1188" s="59"/>
      <c r="BA1188" s="59"/>
      <c r="BB1188" s="59"/>
      <c r="BC1188" s="59"/>
      <c r="BD1188" s="59"/>
      <c r="BE1188" s="59"/>
      <c r="BF1188" s="59"/>
      <c r="BG1188" s="59"/>
      <c r="BH1188" s="59"/>
      <c r="BI1188" s="59"/>
      <c r="BJ1188" s="59"/>
      <c r="BK1188" s="59"/>
      <c r="BL1188" s="59"/>
      <c r="BM1188" s="59"/>
      <c r="BN1188" s="59"/>
      <c r="BO1188" s="59"/>
      <c r="BP1188" s="59"/>
      <c r="BQ1188" s="59"/>
      <c r="BR1188" s="59"/>
      <c r="BS1188" s="59"/>
      <c r="BT1188" s="59"/>
      <c r="BU1188" s="59"/>
      <c r="BV1188" s="59"/>
      <c r="BW1188" s="59"/>
      <c r="BX1188" s="59"/>
      <c r="BY1188" s="59"/>
      <c r="BZ1188" s="59"/>
      <c r="CA1188" s="59"/>
      <c r="CB1188" s="59"/>
    </row>
    <row r="1189" spans="1:80">
      <c r="A1189" s="74">
        <v>1188</v>
      </c>
      <c r="B1189" s="66" t="s">
        <v>67</v>
      </c>
      <c r="C1189" s="67" t="s">
        <v>303</v>
      </c>
      <c r="D1189" s="59" t="s">
        <v>211</v>
      </c>
      <c r="E1189" s="88"/>
      <c r="F1189" s="59"/>
      <c r="G1189" s="59"/>
      <c r="H1189" s="77" t="s">
        <v>76</v>
      </c>
      <c r="I1189" s="82">
        <v>12000</v>
      </c>
      <c r="J1189" s="59"/>
      <c r="K1189" s="85"/>
      <c r="L1189" s="86"/>
      <c r="M1189" s="87"/>
      <c r="N1189" s="59"/>
      <c r="O1189" s="59"/>
      <c r="P1189" s="59"/>
      <c r="Q1189" s="59"/>
      <c r="R1189" s="59"/>
      <c r="S1189" s="59"/>
      <c r="T1189" s="59"/>
      <c r="U1189" s="59"/>
      <c r="V1189" s="59"/>
      <c r="W1189" s="59"/>
      <c r="X1189" s="59"/>
      <c r="Y1189" s="59"/>
      <c r="Z1189" s="59"/>
      <c r="AA1189" s="59"/>
      <c r="AB1189" s="59"/>
      <c r="AC1189" s="59"/>
      <c r="AD1189" s="59"/>
      <c r="AE1189" s="59"/>
      <c r="AF1189" s="59"/>
      <c r="AG1189" s="59"/>
      <c r="AH1189" s="59"/>
      <c r="AI1189" s="59"/>
      <c r="AJ1189" s="59"/>
      <c r="AK1189" s="59"/>
      <c r="AL1189" s="59"/>
      <c r="AM1189" s="59"/>
      <c r="AN1189" s="59"/>
      <c r="AO1189" s="59"/>
      <c r="AP1189" s="59"/>
      <c r="AQ1189" s="59"/>
      <c r="AR1189" s="59"/>
      <c r="AS1189" s="59"/>
      <c r="AT1189" s="59"/>
      <c r="AU1189" s="59"/>
      <c r="AV1189" s="59"/>
      <c r="AW1189" s="59"/>
      <c r="AX1189" s="59"/>
      <c r="AY1189" s="59"/>
      <c r="AZ1189" s="59"/>
      <c r="BA1189" s="59"/>
      <c r="BB1189" s="59"/>
      <c r="BC1189" s="59"/>
      <c r="BD1189" s="59"/>
      <c r="BE1189" s="59"/>
      <c r="BF1189" s="59"/>
      <c r="BG1189" s="59"/>
      <c r="BH1189" s="59"/>
      <c r="BI1189" s="59"/>
      <c r="BJ1189" s="59"/>
      <c r="BK1189" s="59"/>
      <c r="BL1189" s="59"/>
      <c r="BM1189" s="59"/>
      <c r="BN1189" s="59"/>
      <c r="BO1189" s="59"/>
      <c r="BP1189" s="59"/>
      <c r="BQ1189" s="59"/>
      <c r="BR1189" s="59"/>
      <c r="BS1189" s="59"/>
      <c r="BT1189" s="59"/>
      <c r="BU1189" s="59"/>
      <c r="BV1189" s="59"/>
      <c r="BW1189" s="59"/>
      <c r="BX1189" s="59"/>
      <c r="BY1189" s="59"/>
      <c r="BZ1189" s="59"/>
      <c r="CA1189" s="59"/>
      <c r="CB1189" s="59"/>
    </row>
    <row r="1190" spans="1:80">
      <c r="A1190" s="74">
        <v>1189</v>
      </c>
      <c r="B1190" s="66" t="s">
        <v>67</v>
      </c>
      <c r="C1190" s="67" t="s">
        <v>303</v>
      </c>
      <c r="D1190" s="59" t="s">
        <v>212</v>
      </c>
      <c r="E1190" s="88"/>
      <c r="F1190" s="59"/>
      <c r="G1190" s="59"/>
      <c r="H1190" s="77" t="s">
        <v>76</v>
      </c>
      <c r="I1190" s="82">
        <v>12000</v>
      </c>
      <c r="J1190" s="59"/>
      <c r="K1190" s="85"/>
      <c r="L1190" s="86"/>
      <c r="M1190" s="87"/>
      <c r="N1190" s="59"/>
      <c r="O1190" s="59"/>
      <c r="P1190" s="59"/>
      <c r="Q1190" s="59"/>
      <c r="R1190" s="59"/>
      <c r="S1190" s="59"/>
      <c r="T1190" s="59"/>
      <c r="U1190" s="59"/>
      <c r="V1190" s="59"/>
      <c r="W1190" s="59"/>
      <c r="X1190" s="59"/>
      <c r="Y1190" s="59"/>
      <c r="Z1190" s="59"/>
      <c r="AA1190" s="59"/>
      <c r="AB1190" s="59"/>
      <c r="AC1190" s="59"/>
      <c r="AD1190" s="59"/>
      <c r="AE1190" s="59"/>
      <c r="AF1190" s="59"/>
      <c r="AG1190" s="59"/>
      <c r="AH1190" s="59"/>
      <c r="AI1190" s="59"/>
      <c r="AJ1190" s="59"/>
      <c r="AK1190" s="59"/>
      <c r="AL1190" s="59"/>
      <c r="AM1190" s="59"/>
      <c r="AN1190" s="59"/>
      <c r="AO1190" s="59"/>
      <c r="AP1190" s="59"/>
      <c r="AQ1190" s="59"/>
      <c r="AR1190" s="59"/>
      <c r="AS1190" s="59"/>
      <c r="AT1190" s="59"/>
      <c r="AU1190" s="59"/>
      <c r="AV1190" s="59"/>
      <c r="AW1190" s="59"/>
      <c r="AX1190" s="59"/>
      <c r="AY1190" s="59"/>
      <c r="AZ1190" s="59"/>
      <c r="BA1190" s="59"/>
      <c r="BB1190" s="59"/>
      <c r="BC1190" s="59"/>
      <c r="BD1190" s="59"/>
      <c r="BE1190" s="59"/>
      <c r="BF1190" s="59"/>
      <c r="BG1190" s="59"/>
      <c r="BH1190" s="59"/>
      <c r="BI1190" s="59"/>
      <c r="BJ1190" s="59"/>
      <c r="BK1190" s="59"/>
      <c r="BL1190" s="59"/>
      <c r="BM1190" s="59"/>
      <c r="BN1190" s="59"/>
      <c r="BO1190" s="59"/>
      <c r="BP1190" s="59"/>
      <c r="BQ1190" s="59"/>
      <c r="BR1190" s="59"/>
      <c r="BS1190" s="59"/>
      <c r="BT1190" s="59"/>
      <c r="BU1190" s="59"/>
      <c r="BV1190" s="59"/>
      <c r="BW1190" s="59"/>
      <c r="BX1190" s="59"/>
      <c r="BY1190" s="59"/>
      <c r="BZ1190" s="59"/>
      <c r="CA1190" s="59"/>
      <c r="CB1190" s="59"/>
    </row>
    <row r="1191" spans="1:80">
      <c r="A1191" s="74">
        <v>1190</v>
      </c>
      <c r="B1191" s="66" t="s">
        <v>67</v>
      </c>
      <c r="C1191" s="67" t="s">
        <v>303</v>
      </c>
      <c r="D1191" s="59" t="s">
        <v>213</v>
      </c>
      <c r="E1191" s="88"/>
      <c r="F1191" s="59"/>
      <c r="G1191" s="59"/>
      <c r="H1191" s="77" t="s">
        <v>76</v>
      </c>
      <c r="I1191" s="82">
        <v>12000</v>
      </c>
      <c r="J1191" s="59"/>
      <c r="K1191" s="85"/>
      <c r="L1191" s="86"/>
      <c r="M1191" s="87"/>
      <c r="N1191" s="59"/>
      <c r="O1191" s="59"/>
      <c r="P1191" s="59"/>
      <c r="Q1191" s="59"/>
      <c r="R1191" s="59"/>
      <c r="S1191" s="59"/>
      <c r="T1191" s="59"/>
      <c r="U1191" s="59"/>
      <c r="V1191" s="59"/>
      <c r="W1191" s="59"/>
      <c r="X1191" s="59"/>
      <c r="Y1191" s="59"/>
      <c r="Z1191" s="59"/>
      <c r="AA1191" s="59"/>
      <c r="AB1191" s="59"/>
      <c r="AC1191" s="59"/>
      <c r="AD1191" s="59"/>
      <c r="AE1191" s="59"/>
      <c r="AF1191" s="59"/>
      <c r="AG1191" s="59"/>
      <c r="AH1191" s="59"/>
      <c r="AI1191" s="59"/>
      <c r="AJ1191" s="59"/>
      <c r="AK1191" s="59"/>
      <c r="AL1191" s="59"/>
      <c r="AM1191" s="59"/>
      <c r="AN1191" s="59"/>
      <c r="AO1191" s="59"/>
      <c r="AP1191" s="59"/>
      <c r="AQ1191" s="59"/>
      <c r="AR1191" s="59"/>
      <c r="AS1191" s="59"/>
      <c r="AT1191" s="59"/>
      <c r="AU1191" s="59"/>
      <c r="AV1191" s="59"/>
      <c r="AW1191" s="59"/>
      <c r="AX1191" s="59"/>
      <c r="AY1191" s="59"/>
      <c r="AZ1191" s="59"/>
      <c r="BA1191" s="59"/>
      <c r="BB1191" s="59"/>
      <c r="BC1191" s="59"/>
      <c r="BD1191" s="59"/>
      <c r="BE1191" s="59"/>
      <c r="BF1191" s="59"/>
      <c r="BG1191" s="59"/>
      <c r="BH1191" s="59"/>
      <c r="BI1191" s="59"/>
      <c r="BJ1191" s="59"/>
      <c r="BK1191" s="59"/>
      <c r="BL1191" s="59"/>
      <c r="BM1191" s="59"/>
      <c r="BN1191" s="59"/>
      <c r="BO1191" s="59"/>
      <c r="BP1191" s="59"/>
      <c r="BQ1191" s="59"/>
      <c r="BR1191" s="59"/>
      <c r="BS1191" s="59"/>
      <c r="BT1191" s="59"/>
      <c r="BU1191" s="59"/>
      <c r="BV1191" s="59"/>
      <c r="BW1191" s="59"/>
      <c r="BX1191" s="59"/>
      <c r="BY1191" s="59"/>
      <c r="BZ1191" s="59"/>
      <c r="CA1191" s="59"/>
      <c r="CB1191" s="59"/>
    </row>
    <row r="1192" spans="1:80">
      <c r="A1192" s="74">
        <v>1191</v>
      </c>
      <c r="B1192" s="66" t="s">
        <v>67</v>
      </c>
      <c r="C1192" s="67" t="s">
        <v>303</v>
      </c>
      <c r="D1192" s="59" t="s">
        <v>214</v>
      </c>
      <c r="E1192" s="88"/>
      <c r="F1192" s="59"/>
      <c r="G1192" s="59"/>
      <c r="H1192" s="77" t="s">
        <v>76</v>
      </c>
      <c r="I1192" s="82">
        <v>12000</v>
      </c>
      <c r="J1192" s="59"/>
      <c r="K1192" s="85"/>
      <c r="L1192" s="86"/>
      <c r="M1192" s="87"/>
      <c r="N1192" s="59"/>
      <c r="O1192" s="59"/>
      <c r="P1192" s="59"/>
      <c r="Q1192" s="59"/>
      <c r="R1192" s="59"/>
      <c r="S1192" s="59"/>
      <c r="T1192" s="59"/>
      <c r="U1192" s="59"/>
      <c r="V1192" s="59"/>
      <c r="W1192" s="59"/>
      <c r="X1192" s="59"/>
      <c r="Y1192" s="59"/>
      <c r="Z1192" s="59"/>
      <c r="AA1192" s="59"/>
      <c r="AB1192" s="59"/>
      <c r="AC1192" s="59"/>
      <c r="AD1192" s="59"/>
      <c r="AE1192" s="59"/>
      <c r="AF1192" s="59"/>
      <c r="AG1192" s="59"/>
      <c r="AH1192" s="59"/>
      <c r="AI1192" s="59"/>
      <c r="AJ1192" s="59"/>
      <c r="AK1192" s="59"/>
      <c r="AL1192" s="59"/>
      <c r="AM1192" s="59"/>
      <c r="AN1192" s="59"/>
      <c r="AO1192" s="59"/>
      <c r="AP1192" s="59"/>
      <c r="AQ1192" s="59"/>
      <c r="AR1192" s="59"/>
      <c r="AS1192" s="59"/>
      <c r="AT1192" s="59"/>
      <c r="AU1192" s="59"/>
      <c r="AV1192" s="59"/>
      <c r="AW1192" s="59"/>
      <c r="AX1192" s="59"/>
      <c r="AY1192" s="59"/>
      <c r="AZ1192" s="59"/>
      <c r="BA1192" s="59"/>
      <c r="BB1192" s="59"/>
      <c r="BC1192" s="59"/>
      <c r="BD1192" s="59"/>
      <c r="BE1192" s="59"/>
      <c r="BF1192" s="59"/>
      <c r="BG1192" s="59"/>
      <c r="BH1192" s="59"/>
      <c r="BI1192" s="59"/>
      <c r="BJ1192" s="59"/>
      <c r="BK1192" s="59"/>
      <c r="BL1192" s="59"/>
      <c r="BM1192" s="59"/>
      <c r="BN1192" s="59"/>
      <c r="BO1192" s="59"/>
      <c r="BP1192" s="59"/>
      <c r="BQ1192" s="59"/>
      <c r="BR1192" s="59"/>
      <c r="BS1192" s="59"/>
      <c r="BT1192" s="59"/>
      <c r="BU1192" s="59"/>
      <c r="BV1192" s="59"/>
      <c r="BW1192" s="59"/>
      <c r="BX1192" s="59"/>
      <c r="BY1192" s="59"/>
      <c r="BZ1192" s="59"/>
      <c r="CA1192" s="59"/>
      <c r="CB1192" s="59"/>
    </row>
    <row r="1193" spans="1:80">
      <c r="A1193" s="74">
        <v>1192</v>
      </c>
      <c r="B1193" s="66" t="s">
        <v>67</v>
      </c>
      <c r="C1193" s="67" t="s">
        <v>303</v>
      </c>
      <c r="D1193" s="59" t="s">
        <v>215</v>
      </c>
      <c r="E1193" s="88"/>
      <c r="F1193" s="59"/>
      <c r="G1193" s="59"/>
      <c r="H1193" s="77" t="s">
        <v>76</v>
      </c>
      <c r="I1193" s="82">
        <v>12000</v>
      </c>
      <c r="J1193" s="59"/>
      <c r="K1193" s="85"/>
      <c r="L1193" s="86"/>
      <c r="M1193" s="87"/>
      <c r="N1193" s="59"/>
      <c r="O1193" s="59"/>
      <c r="P1193" s="59"/>
      <c r="Q1193" s="59"/>
      <c r="R1193" s="59"/>
      <c r="S1193" s="59"/>
      <c r="T1193" s="59"/>
      <c r="U1193" s="59"/>
      <c r="V1193" s="59"/>
      <c r="W1193" s="59"/>
      <c r="X1193" s="59"/>
      <c r="Y1193" s="59"/>
      <c r="Z1193" s="59"/>
      <c r="AA1193" s="59"/>
      <c r="AB1193" s="59"/>
      <c r="AC1193" s="59"/>
      <c r="AD1193" s="59"/>
      <c r="AE1193" s="59"/>
      <c r="AF1193" s="59"/>
      <c r="AG1193" s="59"/>
      <c r="AH1193" s="59"/>
      <c r="AI1193" s="59"/>
      <c r="AJ1193" s="59"/>
      <c r="AK1193" s="59"/>
      <c r="AL1193" s="59"/>
      <c r="AM1193" s="59"/>
      <c r="AN1193" s="59"/>
      <c r="AO1193" s="59"/>
      <c r="AP1193" s="59"/>
      <c r="AQ1193" s="59"/>
      <c r="AR1193" s="59"/>
      <c r="AS1193" s="59"/>
      <c r="AT1193" s="59"/>
      <c r="AU1193" s="59"/>
      <c r="AV1193" s="59"/>
      <c r="AW1193" s="59"/>
      <c r="AX1193" s="59"/>
      <c r="AY1193" s="59"/>
      <c r="AZ1193" s="59"/>
      <c r="BA1193" s="59"/>
      <c r="BB1193" s="59"/>
      <c r="BC1193" s="59"/>
      <c r="BD1193" s="59"/>
      <c r="BE1193" s="59"/>
      <c r="BF1193" s="59"/>
      <c r="BG1193" s="59"/>
      <c r="BH1193" s="59"/>
      <c r="BI1193" s="59"/>
      <c r="BJ1193" s="59"/>
      <c r="BK1193" s="59"/>
      <c r="BL1193" s="59"/>
      <c r="BM1193" s="59"/>
      <c r="BN1193" s="59"/>
      <c r="BO1193" s="59"/>
      <c r="BP1193" s="59"/>
      <c r="BQ1193" s="59"/>
      <c r="BR1193" s="59"/>
      <c r="BS1193" s="59"/>
      <c r="BT1193" s="59"/>
      <c r="BU1193" s="59"/>
      <c r="BV1193" s="59"/>
      <c r="BW1193" s="59"/>
      <c r="BX1193" s="59"/>
      <c r="BY1193" s="59"/>
      <c r="BZ1193" s="59"/>
      <c r="CA1193" s="59"/>
      <c r="CB1193" s="59"/>
    </row>
    <row r="1194" spans="1:80">
      <c r="A1194" s="74">
        <v>1193</v>
      </c>
      <c r="B1194" s="66" t="s">
        <v>67</v>
      </c>
      <c r="C1194" s="67" t="s">
        <v>303</v>
      </c>
      <c r="D1194" s="59" t="s">
        <v>216</v>
      </c>
      <c r="E1194" s="88"/>
      <c r="F1194" s="59"/>
      <c r="G1194" s="59"/>
      <c r="H1194" s="77" t="s">
        <v>76</v>
      </c>
      <c r="I1194" s="82">
        <v>12000</v>
      </c>
      <c r="J1194" s="59"/>
      <c r="K1194" s="85"/>
      <c r="L1194" s="86"/>
      <c r="M1194" s="87"/>
      <c r="N1194" s="59"/>
      <c r="O1194" s="59"/>
      <c r="P1194" s="59"/>
      <c r="Q1194" s="59"/>
      <c r="R1194" s="59"/>
      <c r="S1194" s="59"/>
      <c r="T1194" s="59"/>
      <c r="U1194" s="59"/>
      <c r="V1194" s="59"/>
      <c r="W1194" s="59"/>
      <c r="X1194" s="59"/>
      <c r="Y1194" s="59"/>
      <c r="Z1194" s="59"/>
      <c r="AA1194" s="59"/>
      <c r="AB1194" s="59"/>
      <c r="AC1194" s="59"/>
      <c r="AD1194" s="59"/>
      <c r="AE1194" s="59"/>
      <c r="AF1194" s="59"/>
      <c r="AG1194" s="59"/>
      <c r="AH1194" s="59"/>
      <c r="AI1194" s="59"/>
      <c r="AJ1194" s="59"/>
      <c r="AK1194" s="59"/>
      <c r="AL1194" s="59"/>
      <c r="AM1194" s="59"/>
      <c r="AN1194" s="59"/>
      <c r="AO1194" s="59"/>
      <c r="AP1194" s="59"/>
      <c r="AQ1194" s="59"/>
      <c r="AR1194" s="59"/>
      <c r="AS1194" s="59"/>
      <c r="AT1194" s="59"/>
      <c r="AU1194" s="59"/>
      <c r="AV1194" s="59"/>
      <c r="AW1194" s="59"/>
      <c r="AX1194" s="59"/>
      <c r="AY1194" s="59"/>
      <c r="AZ1194" s="59"/>
      <c r="BA1194" s="59"/>
      <c r="BB1194" s="59"/>
      <c r="BC1194" s="59"/>
      <c r="BD1194" s="59"/>
      <c r="BE1194" s="59"/>
      <c r="BF1194" s="59"/>
      <c r="BG1194" s="59"/>
      <c r="BH1194" s="59"/>
      <c r="BI1194" s="59"/>
      <c r="BJ1194" s="59"/>
      <c r="BK1194" s="59"/>
      <c r="BL1194" s="59"/>
      <c r="BM1194" s="59"/>
      <c r="BN1194" s="59"/>
      <c r="BO1194" s="59"/>
      <c r="BP1194" s="59"/>
      <c r="BQ1194" s="59"/>
      <c r="BR1194" s="59"/>
      <c r="BS1194" s="59"/>
      <c r="BT1194" s="59"/>
      <c r="BU1194" s="59"/>
      <c r="BV1194" s="59"/>
      <c r="BW1194" s="59"/>
      <c r="BX1194" s="59"/>
      <c r="BY1194" s="59"/>
      <c r="BZ1194" s="59"/>
      <c r="CA1194" s="59"/>
      <c r="CB1194" s="59"/>
    </row>
    <row r="1195" spans="1:80">
      <c r="A1195" s="74">
        <v>1194</v>
      </c>
      <c r="B1195" s="66" t="s">
        <v>67</v>
      </c>
      <c r="C1195" s="67" t="s">
        <v>303</v>
      </c>
      <c r="D1195" s="59" t="s">
        <v>217</v>
      </c>
      <c r="E1195" s="88"/>
      <c r="F1195" s="59"/>
      <c r="G1195" s="59"/>
      <c r="H1195" s="77" t="s">
        <v>76</v>
      </c>
      <c r="I1195" s="82">
        <v>12000</v>
      </c>
      <c r="J1195" s="59"/>
      <c r="K1195" s="85"/>
      <c r="L1195" s="86"/>
      <c r="M1195" s="87"/>
      <c r="N1195" s="59"/>
      <c r="O1195" s="59"/>
      <c r="P1195" s="59"/>
      <c r="Q1195" s="59"/>
      <c r="R1195" s="59"/>
      <c r="S1195" s="59"/>
      <c r="T1195" s="59"/>
      <c r="U1195" s="59"/>
      <c r="V1195" s="59"/>
      <c r="W1195" s="59"/>
      <c r="X1195" s="59"/>
      <c r="Y1195" s="59"/>
      <c r="Z1195" s="59"/>
      <c r="AA1195" s="59"/>
      <c r="AB1195" s="59"/>
      <c r="AC1195" s="59"/>
      <c r="AD1195" s="59"/>
      <c r="AE1195" s="59"/>
      <c r="AF1195" s="59"/>
      <c r="AG1195" s="59"/>
      <c r="AH1195" s="59"/>
      <c r="AI1195" s="59"/>
      <c r="AJ1195" s="59"/>
      <c r="AK1195" s="59"/>
      <c r="AL1195" s="59"/>
      <c r="AM1195" s="59"/>
      <c r="AN1195" s="59"/>
      <c r="AO1195" s="59"/>
      <c r="AP1195" s="59"/>
      <c r="AQ1195" s="59"/>
      <c r="AR1195" s="59"/>
      <c r="AS1195" s="59"/>
      <c r="AT1195" s="59"/>
      <c r="AU1195" s="59"/>
      <c r="AV1195" s="59"/>
      <c r="AW1195" s="59"/>
      <c r="AX1195" s="59"/>
      <c r="AY1195" s="59"/>
      <c r="AZ1195" s="59"/>
      <c r="BA1195" s="59"/>
      <c r="BB1195" s="59"/>
      <c r="BC1195" s="59"/>
      <c r="BD1195" s="59"/>
      <c r="BE1195" s="59"/>
      <c r="BF1195" s="59"/>
      <c r="BG1195" s="59"/>
      <c r="BH1195" s="59"/>
      <c r="BI1195" s="59"/>
      <c r="BJ1195" s="59"/>
      <c r="BK1195" s="59"/>
      <c r="BL1195" s="59"/>
      <c r="BM1195" s="59"/>
      <c r="BN1195" s="59"/>
      <c r="BO1195" s="59"/>
      <c r="BP1195" s="59"/>
      <c r="BQ1195" s="59"/>
      <c r="BR1195" s="59"/>
      <c r="BS1195" s="59"/>
      <c r="BT1195" s="59"/>
      <c r="BU1195" s="59"/>
      <c r="BV1195" s="59"/>
      <c r="BW1195" s="59"/>
      <c r="BX1195" s="59"/>
      <c r="BY1195" s="59"/>
      <c r="BZ1195" s="59"/>
      <c r="CA1195" s="59"/>
      <c r="CB1195" s="59"/>
    </row>
    <row r="1196" spans="1:80">
      <c r="A1196" s="74">
        <v>1195</v>
      </c>
      <c r="B1196" s="66" t="s">
        <v>67</v>
      </c>
      <c r="C1196" s="67" t="s">
        <v>303</v>
      </c>
      <c r="D1196" s="59" t="s">
        <v>218</v>
      </c>
      <c r="E1196" s="88"/>
      <c r="F1196" s="59"/>
      <c r="G1196" s="59"/>
      <c r="H1196" s="77" t="s">
        <v>76</v>
      </c>
      <c r="I1196" s="82">
        <v>12000</v>
      </c>
      <c r="J1196" s="59"/>
      <c r="K1196" s="85"/>
      <c r="L1196" s="86"/>
      <c r="M1196" s="87"/>
      <c r="N1196" s="59"/>
      <c r="O1196" s="59"/>
      <c r="P1196" s="59"/>
      <c r="Q1196" s="59"/>
      <c r="R1196" s="59"/>
      <c r="S1196" s="59"/>
      <c r="T1196" s="59"/>
      <c r="U1196" s="59"/>
      <c r="V1196" s="59"/>
      <c r="W1196" s="59"/>
      <c r="X1196" s="59"/>
      <c r="Y1196" s="59"/>
      <c r="Z1196" s="59"/>
      <c r="AA1196" s="59"/>
      <c r="AB1196" s="59"/>
      <c r="AC1196" s="59"/>
      <c r="AD1196" s="59"/>
      <c r="AE1196" s="59"/>
      <c r="AF1196" s="59"/>
      <c r="AG1196" s="59"/>
      <c r="AH1196" s="59"/>
      <c r="AI1196" s="59"/>
      <c r="AJ1196" s="59"/>
      <c r="AK1196" s="59"/>
      <c r="AL1196" s="59"/>
      <c r="AM1196" s="59"/>
      <c r="AN1196" s="59"/>
      <c r="AO1196" s="59"/>
      <c r="AP1196" s="59"/>
      <c r="AQ1196" s="59"/>
      <c r="AR1196" s="59"/>
      <c r="AS1196" s="59"/>
      <c r="AT1196" s="59"/>
      <c r="AU1196" s="59"/>
      <c r="AV1196" s="59"/>
      <c r="AW1196" s="59"/>
      <c r="AX1196" s="59"/>
      <c r="AY1196" s="59"/>
      <c r="AZ1196" s="59"/>
      <c r="BA1196" s="59"/>
      <c r="BB1196" s="59"/>
      <c r="BC1196" s="59"/>
      <c r="BD1196" s="59"/>
      <c r="BE1196" s="59"/>
      <c r="BF1196" s="59"/>
      <c r="BG1196" s="59"/>
      <c r="BH1196" s="59"/>
      <c r="BI1196" s="59"/>
      <c r="BJ1196" s="59"/>
      <c r="BK1196" s="59"/>
      <c r="BL1196" s="59"/>
      <c r="BM1196" s="59"/>
      <c r="BN1196" s="59"/>
      <c r="BO1196" s="59"/>
      <c r="BP1196" s="59"/>
      <c r="BQ1196" s="59"/>
      <c r="BR1196" s="59"/>
      <c r="BS1196" s="59"/>
      <c r="BT1196" s="59"/>
      <c r="BU1196" s="59"/>
      <c r="BV1196" s="59"/>
      <c r="BW1196" s="59"/>
      <c r="BX1196" s="59"/>
      <c r="BY1196" s="59"/>
      <c r="BZ1196" s="59"/>
      <c r="CA1196" s="59"/>
      <c r="CB1196" s="59"/>
    </row>
    <row r="1197" spans="1:80">
      <c r="A1197" s="74">
        <v>1196</v>
      </c>
      <c r="B1197" s="66" t="s">
        <v>67</v>
      </c>
      <c r="C1197" s="67" t="s">
        <v>303</v>
      </c>
      <c r="D1197" s="59" t="s">
        <v>219</v>
      </c>
      <c r="E1197" s="88"/>
      <c r="F1197" s="59"/>
      <c r="G1197" s="59"/>
      <c r="H1197" s="77" t="s">
        <v>76</v>
      </c>
      <c r="I1197" s="82">
        <v>12000</v>
      </c>
      <c r="J1197" s="59"/>
      <c r="K1197" s="85"/>
      <c r="L1197" s="86"/>
      <c r="M1197" s="87"/>
      <c r="N1197" s="59"/>
      <c r="O1197" s="59"/>
      <c r="P1197" s="59"/>
      <c r="Q1197" s="59"/>
      <c r="R1197" s="59"/>
      <c r="S1197" s="59"/>
      <c r="T1197" s="59"/>
      <c r="U1197" s="59"/>
      <c r="V1197" s="59"/>
      <c r="W1197" s="59"/>
      <c r="X1197" s="59"/>
      <c r="Y1197" s="59"/>
      <c r="Z1197" s="59"/>
      <c r="AA1197" s="59"/>
      <c r="AB1197" s="59"/>
      <c r="AC1197" s="59"/>
      <c r="AD1197" s="59"/>
      <c r="AE1197" s="59"/>
      <c r="AF1197" s="59"/>
      <c r="AG1197" s="59"/>
      <c r="AH1197" s="59"/>
      <c r="AI1197" s="59"/>
      <c r="AJ1197" s="59"/>
      <c r="AK1197" s="59"/>
      <c r="AL1197" s="59"/>
      <c r="AM1197" s="59"/>
      <c r="AN1197" s="59"/>
      <c r="AO1197" s="59"/>
      <c r="AP1197" s="59"/>
      <c r="AQ1197" s="59"/>
      <c r="AR1197" s="59"/>
      <c r="AS1197" s="59"/>
      <c r="AT1197" s="59"/>
      <c r="AU1197" s="59"/>
      <c r="AV1197" s="59"/>
      <c r="AW1197" s="59"/>
      <c r="AX1197" s="59"/>
      <c r="AY1197" s="59"/>
      <c r="AZ1197" s="59"/>
      <c r="BA1197" s="59"/>
      <c r="BB1197" s="59"/>
      <c r="BC1197" s="59"/>
      <c r="BD1197" s="59"/>
      <c r="BE1197" s="59"/>
      <c r="BF1197" s="59"/>
      <c r="BG1197" s="59"/>
      <c r="BH1197" s="59"/>
      <c r="BI1197" s="59"/>
      <c r="BJ1197" s="59"/>
      <c r="BK1197" s="59"/>
      <c r="BL1197" s="59"/>
      <c r="BM1197" s="59"/>
      <c r="BN1197" s="59"/>
      <c r="BO1197" s="59"/>
      <c r="BP1197" s="59"/>
      <c r="BQ1197" s="59"/>
      <c r="BR1197" s="59"/>
      <c r="BS1197" s="59"/>
      <c r="BT1197" s="59"/>
      <c r="BU1197" s="59"/>
      <c r="BV1197" s="59"/>
      <c r="BW1197" s="59"/>
      <c r="BX1197" s="59"/>
      <c r="BY1197" s="59"/>
      <c r="BZ1197" s="59"/>
      <c r="CA1197" s="59"/>
      <c r="CB1197" s="59"/>
    </row>
    <row r="1198" spans="1:80">
      <c r="A1198" s="74">
        <v>1197</v>
      </c>
      <c r="B1198" s="66" t="s">
        <v>67</v>
      </c>
      <c r="C1198" s="67" t="s">
        <v>303</v>
      </c>
      <c r="D1198" s="59" t="s">
        <v>220</v>
      </c>
      <c r="E1198" s="88"/>
      <c r="F1198" s="59"/>
      <c r="G1198" s="59"/>
      <c r="H1198" s="77" t="s">
        <v>76</v>
      </c>
      <c r="I1198" s="82">
        <v>12000</v>
      </c>
      <c r="J1198" s="59"/>
      <c r="K1198" s="85"/>
      <c r="L1198" s="86"/>
      <c r="M1198" s="87"/>
      <c r="N1198" s="59"/>
      <c r="O1198" s="59"/>
      <c r="P1198" s="59"/>
      <c r="Q1198" s="59"/>
      <c r="R1198" s="59"/>
      <c r="S1198" s="59"/>
      <c r="T1198" s="59"/>
      <c r="U1198" s="59"/>
      <c r="V1198" s="59"/>
      <c r="W1198" s="59"/>
      <c r="X1198" s="59"/>
      <c r="Y1198" s="59"/>
      <c r="Z1198" s="59"/>
      <c r="AA1198" s="59"/>
      <c r="AB1198" s="59"/>
      <c r="AC1198" s="59"/>
      <c r="AD1198" s="59"/>
      <c r="AE1198" s="59"/>
      <c r="AF1198" s="59"/>
      <c r="AG1198" s="59"/>
      <c r="AH1198" s="59"/>
      <c r="AI1198" s="59"/>
      <c r="AJ1198" s="59"/>
      <c r="AK1198" s="59"/>
      <c r="AL1198" s="59"/>
      <c r="AM1198" s="59"/>
      <c r="AN1198" s="59"/>
      <c r="AO1198" s="59"/>
      <c r="AP1198" s="59"/>
      <c r="AQ1198" s="59"/>
      <c r="AR1198" s="59"/>
      <c r="AS1198" s="59"/>
      <c r="AT1198" s="59"/>
      <c r="AU1198" s="59"/>
      <c r="AV1198" s="59"/>
      <c r="AW1198" s="59"/>
      <c r="AX1198" s="59"/>
      <c r="AY1198" s="59"/>
      <c r="AZ1198" s="59"/>
      <c r="BA1198" s="59"/>
      <c r="BB1198" s="59"/>
      <c r="BC1198" s="59"/>
      <c r="BD1198" s="59"/>
      <c r="BE1198" s="59"/>
      <c r="BF1198" s="59"/>
      <c r="BG1198" s="59"/>
      <c r="BH1198" s="59"/>
      <c r="BI1198" s="59"/>
      <c r="BJ1198" s="59"/>
      <c r="BK1198" s="59"/>
      <c r="BL1198" s="59"/>
      <c r="BM1198" s="59"/>
      <c r="BN1198" s="59"/>
      <c r="BO1198" s="59"/>
      <c r="BP1198" s="59"/>
      <c r="BQ1198" s="59"/>
      <c r="BR1198" s="59"/>
      <c r="BS1198" s="59"/>
      <c r="BT1198" s="59"/>
      <c r="BU1198" s="59"/>
      <c r="BV1198" s="59"/>
      <c r="BW1198" s="59"/>
      <c r="BX1198" s="59"/>
      <c r="BY1198" s="59"/>
      <c r="BZ1198" s="59"/>
      <c r="CA1198" s="59"/>
      <c r="CB1198" s="59"/>
    </row>
    <row r="1199" spans="1:80">
      <c r="A1199" s="74">
        <v>1198</v>
      </c>
      <c r="B1199" s="66" t="s">
        <v>67</v>
      </c>
      <c r="C1199" s="67" t="s">
        <v>303</v>
      </c>
      <c r="D1199" s="59" t="s">
        <v>221</v>
      </c>
      <c r="E1199" s="88"/>
      <c r="F1199" s="59"/>
      <c r="G1199" s="59"/>
      <c r="H1199" s="77" t="s">
        <v>76</v>
      </c>
      <c r="I1199" s="82">
        <v>12000</v>
      </c>
      <c r="J1199" s="59"/>
      <c r="K1199" s="85"/>
      <c r="L1199" s="86"/>
      <c r="M1199" s="87"/>
      <c r="N1199" s="59"/>
      <c r="O1199" s="59"/>
      <c r="P1199" s="59"/>
      <c r="Q1199" s="59"/>
      <c r="R1199" s="59"/>
      <c r="S1199" s="59"/>
      <c r="T1199" s="59"/>
      <c r="U1199" s="59"/>
      <c r="V1199" s="59"/>
      <c r="W1199" s="59"/>
      <c r="X1199" s="59"/>
      <c r="Y1199" s="59"/>
      <c r="Z1199" s="59"/>
      <c r="AA1199" s="59"/>
      <c r="AB1199" s="59"/>
      <c r="AC1199" s="59"/>
      <c r="AD1199" s="59"/>
      <c r="AE1199" s="59"/>
      <c r="AF1199" s="59"/>
      <c r="AG1199" s="59"/>
      <c r="AH1199" s="59"/>
      <c r="AI1199" s="59"/>
      <c r="AJ1199" s="59"/>
      <c r="AK1199" s="59"/>
      <c r="AL1199" s="59"/>
      <c r="AM1199" s="59"/>
      <c r="AN1199" s="59"/>
      <c r="AO1199" s="59"/>
      <c r="AP1199" s="59"/>
      <c r="AQ1199" s="59"/>
      <c r="AR1199" s="59"/>
      <c r="AS1199" s="59"/>
      <c r="AT1199" s="59"/>
      <c r="AU1199" s="59"/>
      <c r="AV1199" s="59"/>
      <c r="AW1199" s="59"/>
      <c r="AX1199" s="59"/>
      <c r="AY1199" s="59"/>
      <c r="AZ1199" s="59"/>
      <c r="BA1199" s="59"/>
      <c r="BB1199" s="59"/>
      <c r="BC1199" s="59"/>
      <c r="BD1199" s="59"/>
      <c r="BE1199" s="59"/>
      <c r="BF1199" s="59"/>
      <c r="BG1199" s="59"/>
      <c r="BH1199" s="59"/>
      <c r="BI1199" s="59"/>
      <c r="BJ1199" s="59"/>
      <c r="BK1199" s="59"/>
      <c r="BL1199" s="59"/>
      <c r="BM1199" s="59"/>
      <c r="BN1199" s="59"/>
      <c r="BO1199" s="59"/>
      <c r="BP1199" s="59"/>
      <c r="BQ1199" s="59"/>
      <c r="BR1199" s="59"/>
      <c r="BS1199" s="59"/>
      <c r="BT1199" s="59"/>
      <c r="BU1199" s="59"/>
      <c r="BV1199" s="59"/>
      <c r="BW1199" s="59"/>
      <c r="BX1199" s="59"/>
      <c r="BY1199" s="59"/>
      <c r="BZ1199" s="59"/>
      <c r="CA1199" s="59"/>
      <c r="CB1199" s="59"/>
    </row>
    <row r="1200" spans="1:80">
      <c r="A1200" s="74">
        <v>1199</v>
      </c>
      <c r="B1200" s="66" t="s">
        <v>67</v>
      </c>
      <c r="C1200" s="67" t="s">
        <v>303</v>
      </c>
      <c r="D1200" s="59" t="s">
        <v>222</v>
      </c>
      <c r="E1200" s="88"/>
      <c r="F1200" s="59"/>
      <c r="G1200" s="59"/>
      <c r="H1200" s="77" t="s">
        <v>76</v>
      </c>
      <c r="I1200" s="82">
        <v>12000</v>
      </c>
      <c r="J1200" s="59"/>
      <c r="K1200" s="85"/>
      <c r="L1200" s="86"/>
      <c r="M1200" s="87"/>
      <c r="N1200" s="59"/>
      <c r="O1200" s="59"/>
      <c r="P1200" s="59"/>
      <c r="Q1200" s="59"/>
      <c r="R1200" s="59"/>
      <c r="S1200" s="59"/>
      <c r="T1200" s="59"/>
      <c r="U1200" s="59"/>
      <c r="V1200" s="59"/>
      <c r="W1200" s="59"/>
      <c r="X1200" s="59"/>
      <c r="Y1200" s="59"/>
      <c r="Z1200" s="59"/>
      <c r="AA1200" s="59"/>
      <c r="AB1200" s="59"/>
      <c r="AC1200" s="59"/>
      <c r="AD1200" s="59"/>
      <c r="AE1200" s="59"/>
      <c r="AF1200" s="59"/>
      <c r="AG1200" s="59"/>
      <c r="AH1200" s="59"/>
      <c r="AI1200" s="59"/>
      <c r="AJ1200" s="59"/>
      <c r="AK1200" s="59"/>
      <c r="AL1200" s="59"/>
      <c r="AM1200" s="59"/>
      <c r="AN1200" s="59"/>
      <c r="AO1200" s="59"/>
      <c r="AP1200" s="59"/>
      <c r="AQ1200" s="59"/>
      <c r="AR1200" s="59"/>
      <c r="AS1200" s="59"/>
      <c r="AT1200" s="59"/>
      <c r="AU1200" s="59"/>
      <c r="AV1200" s="59"/>
      <c r="AW1200" s="59"/>
      <c r="AX1200" s="59"/>
      <c r="AY1200" s="59"/>
      <c r="AZ1200" s="59"/>
      <c r="BA1200" s="59"/>
      <c r="BB1200" s="59"/>
      <c r="BC1200" s="59"/>
      <c r="BD1200" s="59"/>
      <c r="BE1200" s="59"/>
      <c r="BF1200" s="59"/>
      <c r="BG1200" s="59"/>
      <c r="BH1200" s="59"/>
      <c r="BI1200" s="59"/>
      <c r="BJ1200" s="59"/>
      <c r="BK1200" s="59"/>
      <c r="BL1200" s="59"/>
      <c r="BM1200" s="59"/>
      <c r="BN1200" s="59"/>
      <c r="BO1200" s="59"/>
      <c r="BP1200" s="59"/>
      <c r="BQ1200" s="59"/>
      <c r="BR1200" s="59"/>
      <c r="BS1200" s="59"/>
      <c r="BT1200" s="59"/>
      <c r="BU1200" s="59"/>
      <c r="BV1200" s="59"/>
      <c r="BW1200" s="59"/>
      <c r="BX1200" s="59"/>
      <c r="BY1200" s="59"/>
      <c r="BZ1200" s="59"/>
      <c r="CA1200" s="59"/>
      <c r="CB1200" s="59"/>
    </row>
    <row r="1201" spans="1:80">
      <c r="A1201" s="74">
        <v>1200</v>
      </c>
      <c r="B1201" s="66" t="s">
        <v>67</v>
      </c>
      <c r="C1201" s="67" t="s">
        <v>303</v>
      </c>
      <c r="D1201" s="59" t="s">
        <v>223</v>
      </c>
      <c r="E1201" s="88"/>
      <c r="F1201" s="59"/>
      <c r="G1201" s="59"/>
      <c r="H1201" s="77" t="s">
        <v>76</v>
      </c>
      <c r="I1201" s="82">
        <v>12000</v>
      </c>
      <c r="J1201" s="59"/>
      <c r="K1201" s="85"/>
      <c r="L1201" s="86"/>
      <c r="M1201" s="87"/>
      <c r="N1201" s="59"/>
      <c r="O1201" s="59"/>
      <c r="P1201" s="59"/>
      <c r="Q1201" s="59"/>
      <c r="R1201" s="59"/>
      <c r="S1201" s="59"/>
      <c r="T1201" s="59"/>
      <c r="U1201" s="59"/>
      <c r="V1201" s="59"/>
      <c r="W1201" s="59"/>
      <c r="X1201" s="59"/>
      <c r="Y1201" s="59"/>
      <c r="Z1201" s="59"/>
      <c r="AA1201" s="59"/>
      <c r="AB1201" s="59"/>
      <c r="AC1201" s="59"/>
      <c r="AD1201" s="59"/>
      <c r="AE1201" s="59"/>
      <c r="AF1201" s="59"/>
      <c r="AG1201" s="59"/>
      <c r="AH1201" s="59"/>
      <c r="AI1201" s="59"/>
      <c r="AJ1201" s="59"/>
      <c r="AK1201" s="59"/>
      <c r="AL1201" s="59"/>
      <c r="AM1201" s="59"/>
      <c r="AN1201" s="59"/>
      <c r="AO1201" s="59"/>
      <c r="AP1201" s="59"/>
      <c r="AQ1201" s="59"/>
      <c r="AR1201" s="59"/>
      <c r="AS1201" s="59"/>
      <c r="AT1201" s="59"/>
      <c r="AU1201" s="59"/>
      <c r="AV1201" s="59"/>
      <c r="AW1201" s="59"/>
      <c r="AX1201" s="59"/>
      <c r="AY1201" s="59"/>
      <c r="AZ1201" s="59"/>
      <c r="BA1201" s="59"/>
      <c r="BB1201" s="59"/>
      <c r="BC1201" s="59"/>
      <c r="BD1201" s="59"/>
      <c r="BE1201" s="59"/>
      <c r="BF1201" s="59"/>
      <c r="BG1201" s="59"/>
      <c r="BH1201" s="59"/>
      <c r="BI1201" s="59"/>
      <c r="BJ1201" s="59"/>
      <c r="BK1201" s="59"/>
      <c r="BL1201" s="59"/>
      <c r="BM1201" s="59"/>
      <c r="BN1201" s="59"/>
      <c r="BO1201" s="59"/>
      <c r="BP1201" s="59"/>
      <c r="BQ1201" s="59"/>
      <c r="BR1201" s="59"/>
      <c r="BS1201" s="59"/>
      <c r="BT1201" s="59"/>
      <c r="BU1201" s="59"/>
      <c r="BV1201" s="59"/>
      <c r="BW1201" s="59"/>
      <c r="BX1201" s="59"/>
      <c r="BY1201" s="59"/>
      <c r="BZ1201" s="59"/>
      <c r="CA1201" s="59"/>
      <c r="CB1201" s="59"/>
    </row>
    <row r="1202" spans="1:80">
      <c r="A1202" s="74">
        <v>1201</v>
      </c>
      <c r="B1202" s="66" t="s">
        <v>67</v>
      </c>
      <c r="C1202" s="67" t="s">
        <v>303</v>
      </c>
      <c r="D1202" s="59" t="s">
        <v>224</v>
      </c>
      <c r="E1202" s="88"/>
      <c r="F1202" s="59"/>
      <c r="G1202" s="59"/>
      <c r="H1202" s="77" t="s">
        <v>76</v>
      </c>
      <c r="I1202" s="82">
        <v>12000</v>
      </c>
      <c r="J1202" s="59"/>
      <c r="K1202" s="85"/>
      <c r="L1202" s="86"/>
      <c r="M1202" s="87"/>
      <c r="N1202" s="59"/>
      <c r="O1202" s="59"/>
      <c r="P1202" s="59"/>
      <c r="Q1202" s="59"/>
      <c r="R1202" s="59"/>
      <c r="S1202" s="59"/>
      <c r="T1202" s="59"/>
      <c r="U1202" s="59"/>
      <c r="V1202" s="59"/>
      <c r="W1202" s="59"/>
      <c r="X1202" s="59"/>
      <c r="Y1202" s="59"/>
      <c r="Z1202" s="59"/>
      <c r="AA1202" s="59"/>
      <c r="AB1202" s="59"/>
      <c r="AC1202" s="59"/>
      <c r="AD1202" s="59"/>
      <c r="AE1202" s="59"/>
      <c r="AF1202" s="59"/>
      <c r="AG1202" s="59"/>
      <c r="AH1202" s="59"/>
      <c r="AI1202" s="59"/>
      <c r="AJ1202" s="59"/>
      <c r="AK1202" s="59"/>
      <c r="AL1202" s="59"/>
      <c r="AM1202" s="59"/>
      <c r="AN1202" s="59"/>
      <c r="AO1202" s="59"/>
      <c r="AP1202" s="59"/>
      <c r="AQ1202" s="59"/>
      <c r="AR1202" s="59"/>
      <c r="AS1202" s="59"/>
      <c r="AT1202" s="59"/>
      <c r="AU1202" s="59"/>
      <c r="AV1202" s="59"/>
      <c r="AW1202" s="59"/>
      <c r="AX1202" s="59"/>
      <c r="AY1202" s="59"/>
      <c r="AZ1202" s="59"/>
      <c r="BA1202" s="59"/>
      <c r="BB1202" s="59"/>
      <c r="BC1202" s="59"/>
      <c r="BD1202" s="59"/>
      <c r="BE1202" s="59"/>
      <c r="BF1202" s="59"/>
      <c r="BG1202" s="59"/>
      <c r="BH1202" s="59"/>
      <c r="BI1202" s="59"/>
      <c r="BJ1202" s="59"/>
      <c r="BK1202" s="59"/>
      <c r="BL1202" s="59"/>
      <c r="BM1202" s="59"/>
      <c r="BN1202" s="59"/>
      <c r="BO1202" s="59"/>
      <c r="BP1202" s="59"/>
      <c r="BQ1202" s="59"/>
      <c r="BR1202" s="59"/>
      <c r="BS1202" s="59"/>
      <c r="BT1202" s="59"/>
      <c r="BU1202" s="59"/>
      <c r="BV1202" s="59"/>
      <c r="BW1202" s="59"/>
      <c r="BX1202" s="59"/>
      <c r="BY1202" s="59"/>
      <c r="BZ1202" s="59"/>
      <c r="CA1202" s="59"/>
      <c r="CB1202" s="59"/>
    </row>
    <row r="1203" spans="1:80">
      <c r="A1203" s="74">
        <v>1202</v>
      </c>
      <c r="B1203" s="66" t="s">
        <v>67</v>
      </c>
      <c r="C1203" s="67" t="s">
        <v>303</v>
      </c>
      <c r="D1203" s="59" t="s">
        <v>225</v>
      </c>
      <c r="E1203" s="88"/>
      <c r="F1203" s="59"/>
      <c r="G1203" s="59"/>
      <c r="H1203" s="77" t="s">
        <v>76</v>
      </c>
      <c r="I1203" s="82">
        <v>12000</v>
      </c>
      <c r="J1203" s="59"/>
      <c r="K1203" s="85"/>
      <c r="L1203" s="86"/>
      <c r="M1203" s="87"/>
      <c r="N1203" s="59"/>
      <c r="O1203" s="59"/>
      <c r="P1203" s="59"/>
      <c r="Q1203" s="59"/>
      <c r="R1203" s="59"/>
      <c r="S1203" s="59"/>
      <c r="T1203" s="59"/>
      <c r="U1203" s="59"/>
      <c r="V1203" s="59"/>
      <c r="W1203" s="59"/>
      <c r="X1203" s="59"/>
      <c r="Y1203" s="59"/>
      <c r="Z1203" s="59"/>
      <c r="AA1203" s="59"/>
      <c r="AB1203" s="59"/>
      <c r="AC1203" s="59"/>
      <c r="AD1203" s="59"/>
      <c r="AE1203" s="59"/>
      <c r="AF1203" s="59"/>
      <c r="AG1203" s="59"/>
      <c r="AH1203" s="59"/>
      <c r="AI1203" s="59"/>
      <c r="AJ1203" s="59"/>
      <c r="AK1203" s="59"/>
      <c r="AL1203" s="59"/>
      <c r="AM1203" s="59"/>
      <c r="AN1203" s="59"/>
      <c r="AO1203" s="59"/>
      <c r="AP1203" s="59"/>
      <c r="AQ1203" s="59"/>
      <c r="AR1203" s="59"/>
      <c r="AS1203" s="59"/>
      <c r="AT1203" s="59"/>
      <c r="AU1203" s="59"/>
      <c r="AV1203" s="59"/>
      <c r="AW1203" s="59"/>
      <c r="AX1203" s="59"/>
      <c r="AY1203" s="59"/>
      <c r="AZ1203" s="59"/>
      <c r="BA1203" s="59"/>
      <c r="BB1203" s="59"/>
      <c r="BC1203" s="59"/>
      <c r="BD1203" s="59"/>
      <c r="BE1203" s="59"/>
      <c r="BF1203" s="59"/>
      <c r="BG1203" s="59"/>
      <c r="BH1203" s="59"/>
      <c r="BI1203" s="59"/>
      <c r="BJ1203" s="59"/>
      <c r="BK1203" s="59"/>
      <c r="BL1203" s="59"/>
      <c r="BM1203" s="59"/>
      <c r="BN1203" s="59"/>
      <c r="BO1203" s="59"/>
      <c r="BP1203" s="59"/>
      <c r="BQ1203" s="59"/>
      <c r="BR1203" s="59"/>
      <c r="BS1203" s="59"/>
      <c r="BT1203" s="59"/>
      <c r="BU1203" s="59"/>
      <c r="BV1203" s="59"/>
      <c r="BW1203" s="59"/>
      <c r="BX1203" s="59"/>
      <c r="BY1203" s="59"/>
      <c r="BZ1203" s="59"/>
      <c r="CA1203" s="59"/>
      <c r="CB1203" s="59"/>
    </row>
    <row r="1204" spans="1:80">
      <c r="A1204" s="74">
        <v>1203</v>
      </c>
      <c r="B1204" s="66" t="s">
        <v>67</v>
      </c>
      <c r="C1204" s="67" t="s">
        <v>303</v>
      </c>
      <c r="D1204" s="59" t="s">
        <v>226</v>
      </c>
      <c r="E1204" s="88"/>
      <c r="F1204" s="59"/>
      <c r="G1204" s="59"/>
      <c r="H1204" s="77" t="s">
        <v>76</v>
      </c>
      <c r="I1204" s="82">
        <v>12000</v>
      </c>
      <c r="J1204" s="59"/>
      <c r="K1204" s="85"/>
      <c r="L1204" s="86"/>
      <c r="M1204" s="87"/>
      <c r="N1204" s="59"/>
      <c r="O1204" s="59"/>
      <c r="P1204" s="59"/>
      <c r="Q1204" s="59"/>
      <c r="R1204" s="59"/>
      <c r="S1204" s="59"/>
      <c r="T1204" s="59"/>
      <c r="U1204" s="59"/>
      <c r="V1204" s="59"/>
      <c r="W1204" s="59"/>
      <c r="X1204" s="59"/>
      <c r="Y1204" s="59"/>
      <c r="Z1204" s="59"/>
      <c r="AA1204" s="59"/>
      <c r="AB1204" s="59"/>
      <c r="AC1204" s="59"/>
      <c r="AD1204" s="59"/>
      <c r="AE1204" s="59"/>
      <c r="AF1204" s="59"/>
      <c r="AG1204" s="59"/>
      <c r="AH1204" s="59"/>
      <c r="AI1204" s="59"/>
      <c r="AJ1204" s="59"/>
      <c r="AK1204" s="59"/>
      <c r="AL1204" s="59"/>
      <c r="AM1204" s="59"/>
      <c r="AN1204" s="59"/>
      <c r="AO1204" s="59"/>
      <c r="AP1204" s="59"/>
      <c r="AQ1204" s="59"/>
      <c r="AR1204" s="59"/>
      <c r="AS1204" s="59"/>
      <c r="AT1204" s="59"/>
      <c r="AU1204" s="59"/>
      <c r="AV1204" s="59"/>
      <c r="AW1204" s="59"/>
      <c r="AX1204" s="59"/>
      <c r="AY1204" s="59"/>
      <c r="AZ1204" s="59"/>
      <c r="BA1204" s="59"/>
      <c r="BB1204" s="59"/>
      <c r="BC1204" s="59"/>
      <c r="BD1204" s="59"/>
      <c r="BE1204" s="59"/>
      <c r="BF1204" s="59"/>
      <c r="BG1204" s="59"/>
      <c r="BH1204" s="59"/>
      <c r="BI1204" s="59"/>
      <c r="BJ1204" s="59"/>
      <c r="BK1204" s="59"/>
      <c r="BL1204" s="59"/>
      <c r="BM1204" s="59"/>
      <c r="BN1204" s="59"/>
      <c r="BO1204" s="59"/>
      <c r="BP1204" s="59"/>
      <c r="BQ1204" s="59"/>
      <c r="BR1204" s="59"/>
      <c r="BS1204" s="59"/>
      <c r="BT1204" s="59"/>
      <c r="BU1204" s="59"/>
      <c r="BV1204" s="59"/>
      <c r="BW1204" s="59"/>
      <c r="BX1204" s="59"/>
      <c r="BY1204" s="59"/>
      <c r="BZ1204" s="59"/>
      <c r="CA1204" s="59"/>
      <c r="CB1204" s="59"/>
    </row>
    <row r="1205" spans="1:80">
      <c r="A1205" s="74">
        <v>1204</v>
      </c>
      <c r="B1205" s="66" t="s">
        <v>67</v>
      </c>
      <c r="C1205" s="67" t="s">
        <v>303</v>
      </c>
      <c r="D1205" s="59" t="s">
        <v>227</v>
      </c>
      <c r="E1205" s="88"/>
      <c r="F1205" s="59"/>
      <c r="G1205" s="59"/>
      <c r="H1205" s="77" t="s">
        <v>76</v>
      </c>
      <c r="I1205" s="82">
        <v>12000</v>
      </c>
      <c r="J1205" s="59"/>
      <c r="K1205" s="85"/>
      <c r="L1205" s="86"/>
      <c r="M1205" s="87"/>
      <c r="N1205" s="59"/>
      <c r="O1205" s="59"/>
      <c r="P1205" s="59"/>
      <c r="Q1205" s="59"/>
      <c r="R1205" s="59"/>
      <c r="S1205" s="59"/>
      <c r="T1205" s="59"/>
      <c r="U1205" s="59"/>
      <c r="V1205" s="59"/>
      <c r="W1205" s="59"/>
      <c r="X1205" s="59"/>
      <c r="Y1205" s="59"/>
      <c r="Z1205" s="59"/>
      <c r="AA1205" s="59"/>
      <c r="AB1205" s="59"/>
      <c r="AC1205" s="59"/>
      <c r="AD1205" s="59"/>
      <c r="AE1205" s="59"/>
      <c r="AF1205" s="59"/>
      <c r="AG1205" s="59"/>
      <c r="AH1205" s="59"/>
      <c r="AI1205" s="59"/>
      <c r="AJ1205" s="59"/>
      <c r="AK1205" s="59"/>
      <c r="AL1205" s="59"/>
      <c r="AM1205" s="59"/>
      <c r="AN1205" s="59"/>
      <c r="AO1205" s="59"/>
      <c r="AP1205" s="59"/>
      <c r="AQ1205" s="59"/>
      <c r="AR1205" s="59"/>
      <c r="AS1205" s="59"/>
      <c r="AT1205" s="59"/>
      <c r="AU1205" s="59"/>
      <c r="AV1205" s="59"/>
      <c r="AW1205" s="59"/>
      <c r="AX1205" s="59"/>
      <c r="AY1205" s="59"/>
      <c r="AZ1205" s="59"/>
      <c r="BA1205" s="59"/>
      <c r="BB1205" s="59"/>
      <c r="BC1205" s="59"/>
      <c r="BD1205" s="59"/>
      <c r="BE1205" s="59"/>
      <c r="BF1205" s="59"/>
      <c r="BG1205" s="59"/>
      <c r="BH1205" s="59"/>
      <c r="BI1205" s="59"/>
      <c r="BJ1205" s="59"/>
      <c r="BK1205" s="59"/>
      <c r="BL1205" s="59"/>
      <c r="BM1205" s="59"/>
      <c r="BN1205" s="59"/>
      <c r="BO1205" s="59"/>
      <c r="BP1205" s="59"/>
      <c r="BQ1205" s="59"/>
      <c r="BR1205" s="59"/>
      <c r="BS1205" s="59"/>
      <c r="BT1205" s="59"/>
      <c r="BU1205" s="59"/>
      <c r="BV1205" s="59"/>
      <c r="BW1205" s="59"/>
      <c r="BX1205" s="59"/>
      <c r="BY1205" s="59"/>
      <c r="BZ1205" s="59"/>
      <c r="CA1205" s="59"/>
      <c r="CB1205" s="59"/>
    </row>
    <row r="1206" spans="1:80">
      <c r="A1206" s="74">
        <v>1205</v>
      </c>
      <c r="B1206" s="66" t="s">
        <v>67</v>
      </c>
      <c r="C1206" s="67" t="s">
        <v>303</v>
      </c>
      <c r="D1206" s="59" t="s">
        <v>228</v>
      </c>
      <c r="E1206" s="88"/>
      <c r="F1206" s="59"/>
      <c r="G1206" s="59"/>
      <c r="H1206" s="77" t="s">
        <v>76</v>
      </c>
      <c r="I1206" s="82">
        <v>12000</v>
      </c>
      <c r="J1206" s="59"/>
      <c r="K1206" s="85"/>
      <c r="L1206" s="86"/>
      <c r="M1206" s="98"/>
      <c r="N1206" s="59"/>
      <c r="O1206" s="59"/>
      <c r="P1206" s="59"/>
      <c r="Q1206" s="59"/>
      <c r="R1206" s="59"/>
      <c r="S1206" s="59"/>
      <c r="T1206" s="59"/>
      <c r="U1206" s="59"/>
      <c r="V1206" s="59"/>
      <c r="W1206" s="59"/>
      <c r="X1206" s="59"/>
      <c r="Y1206" s="59"/>
      <c r="Z1206" s="59"/>
      <c r="AA1206" s="59"/>
      <c r="AB1206" s="59"/>
      <c r="AC1206" s="59"/>
      <c r="AD1206" s="59"/>
      <c r="AE1206" s="59"/>
      <c r="AF1206" s="59"/>
      <c r="AG1206" s="59"/>
      <c r="AH1206" s="59"/>
      <c r="AI1206" s="59"/>
      <c r="AJ1206" s="59"/>
      <c r="AK1206" s="59"/>
      <c r="AL1206" s="59"/>
      <c r="AM1206" s="59"/>
      <c r="AN1206" s="59"/>
      <c r="AO1206" s="59"/>
      <c r="AP1206" s="59"/>
      <c r="AQ1206" s="59"/>
      <c r="AR1206" s="59"/>
      <c r="AS1206" s="59"/>
      <c r="AT1206" s="59"/>
      <c r="AU1206" s="59"/>
      <c r="AV1206" s="59"/>
      <c r="AW1206" s="59"/>
      <c r="AX1206" s="59"/>
      <c r="AY1206" s="59"/>
      <c r="AZ1206" s="59"/>
      <c r="BA1206" s="59"/>
      <c r="BB1206" s="59"/>
      <c r="BC1206" s="59"/>
      <c r="BD1206" s="59"/>
      <c r="BE1206" s="59"/>
      <c r="BF1206" s="59"/>
      <c r="BG1206" s="59"/>
      <c r="BH1206" s="59"/>
      <c r="BI1206" s="59"/>
      <c r="BJ1206" s="59"/>
      <c r="BK1206" s="59"/>
      <c r="BL1206" s="59"/>
      <c r="BM1206" s="59"/>
      <c r="BN1206" s="59"/>
      <c r="BO1206" s="59"/>
      <c r="BP1206" s="59"/>
      <c r="BQ1206" s="59"/>
      <c r="BR1206" s="59"/>
      <c r="BS1206" s="59"/>
      <c r="BT1206" s="59"/>
      <c r="BU1206" s="59"/>
      <c r="BV1206" s="59"/>
      <c r="BW1206" s="59"/>
      <c r="BX1206" s="59"/>
      <c r="BY1206" s="59"/>
      <c r="BZ1206" s="59"/>
      <c r="CA1206" s="59"/>
      <c r="CB1206" s="59"/>
    </row>
    <row r="1207" spans="1:80">
      <c r="A1207" s="74">
        <v>1206</v>
      </c>
      <c r="B1207" s="66" t="s">
        <v>67</v>
      </c>
      <c r="C1207" s="67" t="s">
        <v>303</v>
      </c>
      <c r="D1207" s="59" t="s">
        <v>229</v>
      </c>
      <c r="E1207" s="75" t="s">
        <v>70</v>
      </c>
      <c r="F1207" s="76">
        <v>46161.8821875</v>
      </c>
      <c r="G1207" s="76">
        <v>46160.8824074074</v>
      </c>
      <c r="H1207" s="77" t="s">
        <v>71</v>
      </c>
      <c r="I1207" s="78">
        <v>16000</v>
      </c>
      <c r="J1207" s="79" t="s">
        <v>72</v>
      </c>
      <c r="K1207" s="80" t="s">
        <v>73</v>
      </c>
      <c r="L1207" s="76">
        <v>46152.7270138889</v>
      </c>
      <c r="M1207" s="76">
        <v>46153.667337963</v>
      </c>
      <c r="N1207" s="81" t="s">
        <v>74</v>
      </c>
      <c r="O1207" s="76">
        <v>46156.9166898148</v>
      </c>
      <c r="P1207" s="76">
        <v>46155.9169097222</v>
      </c>
      <c r="Q1207" s="59"/>
      <c r="R1207" s="59"/>
      <c r="S1207" s="59"/>
      <c r="T1207" s="59"/>
      <c r="U1207" s="59"/>
      <c r="V1207" s="59"/>
      <c r="W1207" s="59"/>
      <c r="X1207" s="59"/>
      <c r="Y1207" s="59"/>
      <c r="Z1207" s="59"/>
      <c r="AA1207" s="59"/>
      <c r="AB1207" s="59"/>
      <c r="AC1207" s="59"/>
      <c r="AD1207" s="59"/>
      <c r="AE1207" s="59"/>
      <c r="AF1207" s="59"/>
      <c r="AG1207" s="59"/>
      <c r="AH1207" s="59"/>
      <c r="AI1207" s="59"/>
      <c r="AJ1207" s="59"/>
      <c r="AK1207" s="59"/>
      <c r="AL1207" s="59"/>
      <c r="AM1207" s="59"/>
      <c r="AN1207" s="59"/>
      <c r="AO1207" s="59"/>
      <c r="AP1207" s="59"/>
      <c r="AQ1207" s="59"/>
      <c r="AR1207" s="59"/>
      <c r="AS1207" s="59"/>
      <c r="AT1207" s="59"/>
      <c r="AU1207" s="59"/>
      <c r="AV1207" s="59"/>
      <c r="AW1207" s="59"/>
      <c r="AX1207" s="59"/>
      <c r="AY1207" s="59"/>
      <c r="AZ1207" s="59"/>
      <c r="BA1207" s="59"/>
      <c r="BB1207" s="59"/>
      <c r="BC1207" s="59"/>
      <c r="BD1207" s="59"/>
      <c r="BE1207" s="59"/>
      <c r="BF1207" s="59"/>
      <c r="BG1207" s="59"/>
      <c r="BH1207" s="59"/>
      <c r="BI1207" s="59"/>
      <c r="BJ1207" s="59"/>
      <c r="BK1207" s="59"/>
      <c r="BL1207" s="59"/>
      <c r="BM1207" s="59"/>
      <c r="BN1207" s="59"/>
      <c r="BO1207" s="59"/>
      <c r="BP1207" s="59"/>
      <c r="BQ1207" s="59"/>
      <c r="BR1207" s="59"/>
      <c r="BS1207" s="59"/>
      <c r="BT1207" s="59"/>
      <c r="BU1207" s="59"/>
      <c r="BV1207" s="59"/>
      <c r="BW1207" s="59"/>
      <c r="BX1207" s="59"/>
      <c r="BY1207" s="59"/>
      <c r="BZ1207" s="59"/>
      <c r="CA1207" s="59"/>
      <c r="CB1207" s="59"/>
    </row>
    <row r="1208" spans="1:80">
      <c r="A1208" s="74">
        <v>1207</v>
      </c>
      <c r="B1208" s="66" t="s">
        <v>67</v>
      </c>
      <c r="C1208" s="67" t="s">
        <v>303</v>
      </c>
      <c r="D1208" s="59" t="s">
        <v>230</v>
      </c>
      <c r="E1208" s="88"/>
      <c r="F1208" s="59"/>
      <c r="G1208" s="59"/>
      <c r="H1208" s="77" t="s">
        <v>76</v>
      </c>
      <c r="I1208" s="82">
        <v>12000</v>
      </c>
      <c r="J1208" s="59"/>
      <c r="K1208" s="85"/>
      <c r="L1208" s="86"/>
      <c r="M1208" s="99"/>
      <c r="N1208" s="59"/>
      <c r="O1208" s="59"/>
      <c r="P1208" s="59"/>
      <c r="Q1208" s="59"/>
      <c r="R1208" s="59"/>
      <c r="S1208" s="59"/>
      <c r="T1208" s="59"/>
      <c r="U1208" s="59"/>
      <c r="V1208" s="59"/>
      <c r="W1208" s="59"/>
      <c r="X1208" s="59"/>
      <c r="Y1208" s="59"/>
      <c r="Z1208" s="59"/>
      <c r="AA1208" s="59"/>
      <c r="AB1208" s="59"/>
      <c r="AC1208" s="59"/>
      <c r="AD1208" s="59"/>
      <c r="AE1208" s="59"/>
      <c r="AF1208" s="59"/>
      <c r="AG1208" s="59"/>
      <c r="AH1208" s="59"/>
      <c r="AI1208" s="59"/>
      <c r="AJ1208" s="59"/>
      <c r="AK1208" s="59"/>
      <c r="AL1208" s="59"/>
      <c r="AM1208" s="59"/>
      <c r="AN1208" s="59"/>
      <c r="AO1208" s="59"/>
      <c r="AP1208" s="59"/>
      <c r="AQ1208" s="59"/>
      <c r="AR1208" s="59"/>
      <c r="AS1208" s="59"/>
      <c r="AT1208" s="59"/>
      <c r="AU1208" s="59"/>
      <c r="AV1208" s="59"/>
      <c r="AW1208" s="59"/>
      <c r="AX1208" s="59"/>
      <c r="AY1208" s="59"/>
      <c r="AZ1208" s="59"/>
      <c r="BA1208" s="59"/>
      <c r="BB1208" s="59"/>
      <c r="BC1208" s="59"/>
      <c r="BD1208" s="59"/>
      <c r="BE1208" s="59"/>
      <c r="BF1208" s="59"/>
      <c r="BG1208" s="59"/>
      <c r="BH1208" s="59"/>
      <c r="BI1208" s="59"/>
      <c r="BJ1208" s="59"/>
      <c r="BK1208" s="59"/>
      <c r="BL1208" s="59"/>
      <c r="BM1208" s="59"/>
      <c r="BN1208" s="59"/>
      <c r="BO1208" s="59"/>
      <c r="BP1208" s="59"/>
      <c r="BQ1208" s="59"/>
      <c r="BR1208" s="59"/>
      <c r="BS1208" s="59"/>
      <c r="BT1208" s="59"/>
      <c r="BU1208" s="59"/>
      <c r="BV1208" s="59"/>
      <c r="BW1208" s="59"/>
      <c r="BX1208" s="59"/>
      <c r="BY1208" s="59"/>
      <c r="BZ1208" s="59"/>
      <c r="CA1208" s="59"/>
      <c r="CB1208" s="59"/>
    </row>
    <row r="1209" spans="1:80">
      <c r="A1209" s="74">
        <v>1208</v>
      </c>
      <c r="B1209" s="66" t="s">
        <v>67</v>
      </c>
      <c r="C1209" s="67" t="s">
        <v>303</v>
      </c>
      <c r="D1209" s="59" t="s">
        <v>231</v>
      </c>
      <c r="E1209" s="88"/>
      <c r="F1209" s="59"/>
      <c r="G1209" s="59"/>
      <c r="H1209" s="77" t="s">
        <v>76</v>
      </c>
      <c r="I1209" s="82">
        <v>12000</v>
      </c>
      <c r="J1209" s="59"/>
      <c r="K1209" s="85"/>
      <c r="L1209" s="86"/>
      <c r="M1209" s="87"/>
      <c r="N1209" s="59"/>
      <c r="O1209" s="59"/>
      <c r="P1209" s="59"/>
      <c r="Q1209" s="59"/>
      <c r="R1209" s="59"/>
      <c r="S1209" s="59"/>
      <c r="T1209" s="59"/>
      <c r="U1209" s="59"/>
      <c r="V1209" s="59"/>
      <c r="W1209" s="59"/>
      <c r="X1209" s="59"/>
      <c r="Y1209" s="59"/>
      <c r="Z1209" s="59"/>
      <c r="AA1209" s="59"/>
      <c r="AB1209" s="59"/>
      <c r="AC1209" s="59"/>
      <c r="AD1209" s="59"/>
      <c r="AE1209" s="59"/>
      <c r="AF1209" s="59"/>
      <c r="AG1209" s="59"/>
      <c r="AH1209" s="59"/>
      <c r="AI1209" s="59"/>
      <c r="AJ1209" s="59"/>
      <c r="AK1209" s="59"/>
      <c r="AL1209" s="59"/>
      <c r="AM1209" s="59"/>
      <c r="AN1209" s="59"/>
      <c r="AO1209" s="59"/>
      <c r="AP1209" s="59"/>
      <c r="AQ1209" s="59"/>
      <c r="AR1209" s="59"/>
      <c r="AS1209" s="59"/>
      <c r="AT1209" s="59"/>
      <c r="AU1209" s="59"/>
      <c r="AV1209" s="59"/>
      <c r="AW1209" s="59"/>
      <c r="AX1209" s="59"/>
      <c r="AY1209" s="59"/>
      <c r="AZ1209" s="59"/>
      <c r="BA1209" s="59"/>
      <c r="BB1209" s="59"/>
      <c r="BC1209" s="59"/>
      <c r="BD1209" s="59"/>
      <c r="BE1209" s="59"/>
      <c r="BF1209" s="59"/>
      <c r="BG1209" s="59"/>
      <c r="BH1209" s="59"/>
      <c r="BI1209" s="59"/>
      <c r="BJ1209" s="59"/>
      <c r="BK1209" s="59"/>
      <c r="BL1209" s="59"/>
      <c r="BM1209" s="59"/>
      <c r="BN1209" s="59"/>
      <c r="BO1209" s="59"/>
      <c r="BP1209" s="59"/>
      <c r="BQ1209" s="59"/>
      <c r="BR1209" s="59"/>
      <c r="BS1209" s="59"/>
      <c r="BT1209" s="59"/>
      <c r="BU1209" s="59"/>
      <c r="BV1209" s="59"/>
      <c r="BW1209" s="59"/>
      <c r="BX1209" s="59"/>
      <c r="BY1209" s="59"/>
      <c r="BZ1209" s="59"/>
      <c r="CA1209" s="59"/>
      <c r="CB1209" s="59"/>
    </row>
    <row r="1210" spans="1:80">
      <c r="A1210" s="74">
        <v>1209</v>
      </c>
      <c r="B1210" s="66" t="s">
        <v>67</v>
      </c>
      <c r="C1210" s="67" t="s">
        <v>303</v>
      </c>
      <c r="D1210" s="59" t="s">
        <v>232</v>
      </c>
      <c r="E1210" s="88"/>
      <c r="F1210" s="59"/>
      <c r="G1210" s="59"/>
      <c r="H1210" s="77" t="s">
        <v>76</v>
      </c>
      <c r="I1210" s="82">
        <v>12000</v>
      </c>
      <c r="J1210" s="59"/>
      <c r="K1210" s="85"/>
      <c r="L1210" s="86"/>
      <c r="M1210" s="87"/>
      <c r="N1210" s="59"/>
      <c r="O1210" s="59"/>
      <c r="P1210" s="59"/>
      <c r="Q1210" s="59"/>
      <c r="R1210" s="59"/>
      <c r="S1210" s="59"/>
      <c r="T1210" s="59"/>
      <c r="U1210" s="59"/>
      <c r="V1210" s="59"/>
      <c r="W1210" s="59"/>
      <c r="X1210" s="59"/>
      <c r="Y1210" s="59"/>
      <c r="Z1210" s="59"/>
      <c r="AA1210" s="59"/>
      <c r="AB1210" s="59"/>
      <c r="AC1210" s="59"/>
      <c r="AD1210" s="59"/>
      <c r="AE1210" s="59"/>
      <c r="AF1210" s="59"/>
      <c r="AG1210" s="59"/>
      <c r="AH1210" s="59"/>
      <c r="AI1210" s="59"/>
      <c r="AJ1210" s="59"/>
      <c r="AK1210" s="59"/>
      <c r="AL1210" s="59"/>
      <c r="AM1210" s="59"/>
      <c r="AN1210" s="59"/>
      <c r="AO1210" s="59"/>
      <c r="AP1210" s="59"/>
      <c r="AQ1210" s="59"/>
      <c r="AR1210" s="59"/>
      <c r="AS1210" s="59"/>
      <c r="AT1210" s="59"/>
      <c r="AU1210" s="59"/>
      <c r="AV1210" s="59"/>
      <c r="AW1210" s="59"/>
      <c r="AX1210" s="59"/>
      <c r="AY1210" s="59"/>
      <c r="AZ1210" s="59"/>
      <c r="BA1210" s="59"/>
      <c r="BB1210" s="59"/>
      <c r="BC1210" s="59"/>
      <c r="BD1210" s="59"/>
      <c r="BE1210" s="59"/>
      <c r="BF1210" s="59"/>
      <c r="BG1210" s="59"/>
      <c r="BH1210" s="59"/>
      <c r="BI1210" s="59"/>
      <c r="BJ1210" s="59"/>
      <c r="BK1210" s="59"/>
      <c r="BL1210" s="59"/>
      <c r="BM1210" s="59"/>
      <c r="BN1210" s="59"/>
      <c r="BO1210" s="59"/>
      <c r="BP1210" s="59"/>
      <c r="BQ1210" s="59"/>
      <c r="BR1210" s="59"/>
      <c r="BS1210" s="59"/>
      <c r="BT1210" s="59"/>
      <c r="BU1210" s="59"/>
      <c r="BV1210" s="59"/>
      <c r="BW1210" s="59"/>
      <c r="BX1210" s="59"/>
      <c r="BY1210" s="59"/>
      <c r="BZ1210" s="59"/>
      <c r="CA1210" s="59"/>
      <c r="CB1210" s="59"/>
    </row>
    <row r="1211" spans="1:80">
      <c r="A1211" s="74">
        <v>1210</v>
      </c>
      <c r="B1211" s="66" t="s">
        <v>67</v>
      </c>
      <c r="C1211" s="67" t="s">
        <v>303</v>
      </c>
      <c r="D1211" s="59" t="s">
        <v>233</v>
      </c>
      <c r="E1211" s="88"/>
      <c r="F1211" s="59"/>
      <c r="G1211" s="59"/>
      <c r="H1211" s="77" t="s">
        <v>76</v>
      </c>
      <c r="I1211" s="82">
        <v>12000</v>
      </c>
      <c r="J1211" s="59"/>
      <c r="K1211" s="85"/>
      <c r="L1211" s="86"/>
      <c r="M1211" s="87"/>
      <c r="N1211" s="59"/>
      <c r="O1211" s="59"/>
      <c r="P1211" s="59"/>
      <c r="Q1211" s="59"/>
      <c r="R1211" s="59"/>
      <c r="S1211" s="59"/>
      <c r="T1211" s="59"/>
      <c r="U1211" s="59"/>
      <c r="V1211" s="59"/>
      <c r="W1211" s="59"/>
      <c r="X1211" s="59"/>
      <c r="Y1211" s="59"/>
      <c r="Z1211" s="59"/>
      <c r="AA1211" s="59"/>
      <c r="AB1211" s="59"/>
      <c r="AC1211" s="59"/>
      <c r="AD1211" s="59"/>
      <c r="AE1211" s="59"/>
      <c r="AF1211" s="59"/>
      <c r="AG1211" s="59"/>
      <c r="AH1211" s="59"/>
      <c r="AI1211" s="59"/>
      <c r="AJ1211" s="59"/>
      <c r="AK1211" s="59"/>
      <c r="AL1211" s="59"/>
      <c r="AM1211" s="59"/>
      <c r="AN1211" s="59"/>
      <c r="AO1211" s="59"/>
      <c r="AP1211" s="59"/>
      <c r="AQ1211" s="59"/>
      <c r="AR1211" s="59"/>
      <c r="AS1211" s="59"/>
      <c r="AT1211" s="59"/>
      <c r="AU1211" s="59"/>
      <c r="AV1211" s="59"/>
      <c r="AW1211" s="59"/>
      <c r="AX1211" s="59"/>
      <c r="AY1211" s="59"/>
      <c r="AZ1211" s="59"/>
      <c r="BA1211" s="59"/>
      <c r="BB1211" s="59"/>
      <c r="BC1211" s="59"/>
      <c r="BD1211" s="59"/>
      <c r="BE1211" s="59"/>
      <c r="BF1211" s="59"/>
      <c r="BG1211" s="59"/>
      <c r="BH1211" s="59"/>
      <c r="BI1211" s="59"/>
      <c r="BJ1211" s="59"/>
      <c r="BK1211" s="59"/>
      <c r="BL1211" s="59"/>
      <c r="BM1211" s="59"/>
      <c r="BN1211" s="59"/>
      <c r="BO1211" s="59"/>
      <c r="BP1211" s="59"/>
      <c r="BQ1211" s="59"/>
      <c r="BR1211" s="59"/>
      <c r="BS1211" s="59"/>
      <c r="BT1211" s="59"/>
      <c r="BU1211" s="59"/>
      <c r="BV1211" s="59"/>
      <c r="BW1211" s="59"/>
      <c r="BX1211" s="59"/>
      <c r="BY1211" s="59"/>
      <c r="BZ1211" s="59"/>
      <c r="CA1211" s="59"/>
      <c r="CB1211" s="59"/>
    </row>
    <row r="1212" spans="1:80">
      <c r="A1212" s="74">
        <v>1211</v>
      </c>
      <c r="B1212" s="66" t="s">
        <v>67</v>
      </c>
      <c r="C1212" s="67" t="s">
        <v>303</v>
      </c>
      <c r="D1212" s="59" t="s">
        <v>234</v>
      </c>
      <c r="E1212" s="88"/>
      <c r="F1212" s="59"/>
      <c r="G1212" s="59"/>
      <c r="H1212" s="77" t="s">
        <v>76</v>
      </c>
      <c r="I1212" s="82">
        <v>12000</v>
      </c>
      <c r="J1212" s="59"/>
      <c r="K1212" s="85"/>
      <c r="L1212" s="86"/>
      <c r="M1212" s="87"/>
      <c r="N1212" s="59"/>
      <c r="O1212" s="59"/>
      <c r="P1212" s="59"/>
      <c r="Q1212" s="59"/>
      <c r="R1212" s="59"/>
      <c r="S1212" s="59"/>
      <c r="T1212" s="59"/>
      <c r="U1212" s="59"/>
      <c r="V1212" s="59"/>
      <c r="W1212" s="59"/>
      <c r="X1212" s="59"/>
      <c r="Y1212" s="59"/>
      <c r="Z1212" s="59"/>
      <c r="AA1212" s="59"/>
      <c r="AB1212" s="59"/>
      <c r="AC1212" s="59"/>
      <c r="AD1212" s="59"/>
      <c r="AE1212" s="59"/>
      <c r="AF1212" s="59"/>
      <c r="AG1212" s="59"/>
      <c r="AH1212" s="59"/>
      <c r="AI1212" s="59"/>
      <c r="AJ1212" s="59"/>
      <c r="AK1212" s="59"/>
      <c r="AL1212" s="59"/>
      <c r="AM1212" s="59"/>
      <c r="AN1212" s="59"/>
      <c r="AO1212" s="59"/>
      <c r="AP1212" s="59"/>
      <c r="AQ1212" s="59"/>
      <c r="AR1212" s="59"/>
      <c r="AS1212" s="59"/>
      <c r="AT1212" s="59"/>
      <c r="AU1212" s="59"/>
      <c r="AV1212" s="59"/>
      <c r="AW1212" s="59"/>
      <c r="AX1212" s="59"/>
      <c r="AY1212" s="59"/>
      <c r="AZ1212" s="59"/>
      <c r="BA1212" s="59"/>
      <c r="BB1212" s="59"/>
      <c r="BC1212" s="59"/>
      <c r="BD1212" s="59"/>
      <c r="BE1212" s="59"/>
      <c r="BF1212" s="59"/>
      <c r="BG1212" s="59"/>
      <c r="BH1212" s="59"/>
      <c r="BI1212" s="59"/>
      <c r="BJ1212" s="59"/>
      <c r="BK1212" s="59"/>
      <c r="BL1212" s="59"/>
      <c r="BM1212" s="59"/>
      <c r="BN1212" s="59"/>
      <c r="BO1212" s="59"/>
      <c r="BP1212" s="59"/>
      <c r="BQ1212" s="59"/>
      <c r="BR1212" s="59"/>
      <c r="BS1212" s="59"/>
      <c r="BT1212" s="59"/>
      <c r="BU1212" s="59"/>
      <c r="BV1212" s="59"/>
      <c r="BW1212" s="59"/>
      <c r="BX1212" s="59"/>
      <c r="BY1212" s="59"/>
      <c r="BZ1212" s="59"/>
      <c r="CA1212" s="59"/>
      <c r="CB1212" s="59"/>
    </row>
    <row r="1213" spans="1:80">
      <c r="A1213" s="74">
        <v>1212</v>
      </c>
      <c r="B1213" s="66" t="s">
        <v>67</v>
      </c>
      <c r="C1213" s="67" t="s">
        <v>303</v>
      </c>
      <c r="D1213" s="59" t="s">
        <v>235</v>
      </c>
      <c r="E1213" s="88"/>
      <c r="F1213" s="59"/>
      <c r="G1213" s="59"/>
      <c r="H1213" s="77" t="s">
        <v>76</v>
      </c>
      <c r="I1213" s="82">
        <v>12000</v>
      </c>
      <c r="J1213" s="59"/>
      <c r="K1213" s="85"/>
      <c r="L1213" s="86"/>
      <c r="M1213" s="87"/>
      <c r="N1213" s="59"/>
      <c r="O1213" s="59"/>
      <c r="P1213" s="59"/>
      <c r="Q1213" s="59"/>
      <c r="R1213" s="59"/>
      <c r="S1213" s="59"/>
      <c r="T1213" s="59"/>
      <c r="U1213" s="59"/>
      <c r="V1213" s="59"/>
      <c r="W1213" s="59"/>
      <c r="X1213" s="59"/>
      <c r="Y1213" s="59"/>
      <c r="Z1213" s="59"/>
      <c r="AA1213" s="59"/>
      <c r="AB1213" s="59"/>
      <c r="AC1213" s="59"/>
      <c r="AD1213" s="59"/>
      <c r="AE1213" s="59"/>
      <c r="AF1213" s="59"/>
      <c r="AG1213" s="59"/>
      <c r="AH1213" s="59"/>
      <c r="AI1213" s="59"/>
      <c r="AJ1213" s="59"/>
      <c r="AK1213" s="59"/>
      <c r="AL1213" s="59"/>
      <c r="AM1213" s="59"/>
      <c r="AN1213" s="59"/>
      <c r="AO1213" s="59"/>
      <c r="AP1213" s="59"/>
      <c r="AQ1213" s="59"/>
      <c r="AR1213" s="59"/>
      <c r="AS1213" s="59"/>
      <c r="AT1213" s="59"/>
      <c r="AU1213" s="59"/>
      <c r="AV1213" s="59"/>
      <c r="AW1213" s="59"/>
      <c r="AX1213" s="59"/>
      <c r="AY1213" s="59"/>
      <c r="AZ1213" s="59"/>
      <c r="BA1213" s="59"/>
      <c r="BB1213" s="59"/>
      <c r="BC1213" s="59"/>
      <c r="BD1213" s="59"/>
      <c r="BE1213" s="59"/>
      <c r="BF1213" s="59"/>
      <c r="BG1213" s="59"/>
      <c r="BH1213" s="59"/>
      <c r="BI1213" s="59"/>
      <c r="BJ1213" s="59"/>
      <c r="BK1213" s="59"/>
      <c r="BL1213" s="59"/>
      <c r="BM1213" s="59"/>
      <c r="BN1213" s="59"/>
      <c r="BO1213" s="59"/>
      <c r="BP1213" s="59"/>
      <c r="BQ1213" s="59"/>
      <c r="BR1213" s="59"/>
      <c r="BS1213" s="59"/>
      <c r="BT1213" s="59"/>
      <c r="BU1213" s="59"/>
      <c r="BV1213" s="59"/>
      <c r="BW1213" s="59"/>
      <c r="BX1213" s="59"/>
      <c r="BY1213" s="59"/>
      <c r="BZ1213" s="59"/>
      <c r="CA1213" s="59"/>
      <c r="CB1213" s="59"/>
    </row>
    <row r="1214" spans="1:80">
      <c r="A1214" s="74">
        <v>1213</v>
      </c>
      <c r="B1214" s="66" t="s">
        <v>67</v>
      </c>
      <c r="C1214" s="67" t="s">
        <v>303</v>
      </c>
      <c r="D1214" s="59" t="s">
        <v>236</v>
      </c>
      <c r="E1214" s="88"/>
      <c r="F1214" s="59"/>
      <c r="G1214" s="59"/>
      <c r="H1214" s="77" t="s">
        <v>76</v>
      </c>
      <c r="I1214" s="82">
        <v>12000</v>
      </c>
      <c r="J1214" s="59"/>
      <c r="K1214" s="85"/>
      <c r="L1214" s="86"/>
      <c r="M1214" s="87"/>
      <c r="N1214" s="59"/>
      <c r="O1214" s="59"/>
      <c r="P1214" s="59"/>
      <c r="Q1214" s="59"/>
      <c r="R1214" s="59"/>
      <c r="S1214" s="59"/>
      <c r="T1214" s="59"/>
      <c r="U1214" s="59"/>
      <c r="V1214" s="59"/>
      <c r="W1214" s="59"/>
      <c r="X1214" s="59"/>
      <c r="Y1214" s="59"/>
      <c r="Z1214" s="59"/>
      <c r="AA1214" s="59"/>
      <c r="AB1214" s="59"/>
      <c r="AC1214" s="59"/>
      <c r="AD1214" s="59"/>
      <c r="AE1214" s="59"/>
      <c r="AF1214" s="59"/>
      <c r="AG1214" s="59"/>
      <c r="AH1214" s="59"/>
      <c r="AI1214" s="59"/>
      <c r="AJ1214" s="59"/>
      <c r="AK1214" s="59"/>
      <c r="AL1214" s="59"/>
      <c r="AM1214" s="59"/>
      <c r="AN1214" s="59"/>
      <c r="AO1214" s="59"/>
      <c r="AP1214" s="59"/>
      <c r="AQ1214" s="59"/>
      <c r="AR1214" s="59"/>
      <c r="AS1214" s="59"/>
      <c r="AT1214" s="59"/>
      <c r="AU1214" s="59"/>
      <c r="AV1214" s="59"/>
      <c r="AW1214" s="59"/>
      <c r="AX1214" s="59"/>
      <c r="AY1214" s="59"/>
      <c r="AZ1214" s="59"/>
      <c r="BA1214" s="59"/>
      <c r="BB1214" s="59"/>
      <c r="BC1214" s="59"/>
      <c r="BD1214" s="59"/>
      <c r="BE1214" s="59"/>
      <c r="BF1214" s="59"/>
      <c r="BG1214" s="59"/>
      <c r="BH1214" s="59"/>
      <c r="BI1214" s="59"/>
      <c r="BJ1214" s="59"/>
      <c r="BK1214" s="59"/>
      <c r="BL1214" s="59"/>
      <c r="BM1214" s="59"/>
      <c r="BN1214" s="59"/>
      <c r="BO1214" s="59"/>
      <c r="BP1214" s="59"/>
      <c r="BQ1214" s="59"/>
      <c r="BR1214" s="59"/>
      <c r="BS1214" s="59"/>
      <c r="BT1214" s="59"/>
      <c r="BU1214" s="59"/>
      <c r="BV1214" s="59"/>
      <c r="BW1214" s="59"/>
      <c r="BX1214" s="59"/>
      <c r="BY1214" s="59"/>
      <c r="BZ1214" s="59"/>
      <c r="CA1214" s="59"/>
      <c r="CB1214" s="59"/>
    </row>
    <row r="1215" spans="1:80">
      <c r="A1215" s="74">
        <v>1214</v>
      </c>
      <c r="B1215" s="66" t="s">
        <v>67</v>
      </c>
      <c r="C1215" s="67" t="s">
        <v>303</v>
      </c>
      <c r="D1215" s="59" t="s">
        <v>237</v>
      </c>
      <c r="E1215" s="88"/>
      <c r="F1215" s="59"/>
      <c r="G1215" s="59"/>
      <c r="H1215" s="77" t="s">
        <v>76</v>
      </c>
      <c r="I1215" s="82">
        <v>12000</v>
      </c>
      <c r="J1215" s="59"/>
      <c r="K1215" s="85"/>
      <c r="L1215" s="86"/>
      <c r="M1215" s="87"/>
      <c r="N1215" s="59"/>
      <c r="O1215" s="59"/>
      <c r="P1215" s="59"/>
      <c r="Q1215" s="59"/>
      <c r="R1215" s="59"/>
      <c r="S1215" s="59"/>
      <c r="T1215" s="59"/>
      <c r="U1215" s="59"/>
      <c r="V1215" s="59"/>
      <c r="W1215" s="59"/>
      <c r="X1215" s="59"/>
      <c r="Y1215" s="59"/>
      <c r="Z1215" s="59"/>
      <c r="AA1215" s="59"/>
      <c r="AB1215" s="59"/>
      <c r="AC1215" s="59"/>
      <c r="AD1215" s="59"/>
      <c r="AE1215" s="59"/>
      <c r="AF1215" s="59"/>
      <c r="AG1215" s="59"/>
      <c r="AH1215" s="59"/>
      <c r="AI1215" s="59"/>
      <c r="AJ1215" s="59"/>
      <c r="AK1215" s="59"/>
      <c r="AL1215" s="59"/>
      <c r="AM1215" s="59"/>
      <c r="AN1215" s="59"/>
      <c r="AO1215" s="59"/>
      <c r="AP1215" s="59"/>
      <c r="AQ1215" s="59"/>
      <c r="AR1215" s="59"/>
      <c r="AS1215" s="59"/>
      <c r="AT1215" s="59"/>
      <c r="AU1215" s="59"/>
      <c r="AV1215" s="59"/>
      <c r="AW1215" s="59"/>
      <c r="AX1215" s="59"/>
      <c r="AY1215" s="59"/>
      <c r="AZ1215" s="59"/>
      <c r="BA1215" s="59"/>
      <c r="BB1215" s="59"/>
      <c r="BC1215" s="59"/>
      <c r="BD1215" s="59"/>
      <c r="BE1215" s="59"/>
      <c r="BF1215" s="59"/>
      <c r="BG1215" s="59"/>
      <c r="BH1215" s="59"/>
      <c r="BI1215" s="59"/>
      <c r="BJ1215" s="59"/>
      <c r="BK1215" s="59"/>
      <c r="BL1215" s="59"/>
      <c r="BM1215" s="59"/>
      <c r="BN1215" s="59"/>
      <c r="BO1215" s="59"/>
      <c r="BP1215" s="59"/>
      <c r="BQ1215" s="59"/>
      <c r="BR1215" s="59"/>
      <c r="BS1215" s="59"/>
      <c r="BT1215" s="59"/>
      <c r="BU1215" s="59"/>
      <c r="BV1215" s="59"/>
      <c r="BW1215" s="59"/>
      <c r="BX1215" s="59"/>
      <c r="BY1215" s="59"/>
      <c r="BZ1215" s="59"/>
      <c r="CA1215" s="59"/>
      <c r="CB1215" s="59"/>
    </row>
    <row r="1216" spans="1:80">
      <c r="A1216" s="74">
        <v>1215</v>
      </c>
      <c r="B1216" s="66" t="s">
        <v>67</v>
      </c>
      <c r="C1216" s="67" t="s">
        <v>303</v>
      </c>
      <c r="D1216" s="59" t="s">
        <v>238</v>
      </c>
      <c r="E1216" s="88"/>
      <c r="F1216" s="59"/>
      <c r="G1216" s="59"/>
      <c r="H1216" s="77" t="s">
        <v>76</v>
      </c>
      <c r="I1216" s="82">
        <v>12000</v>
      </c>
      <c r="J1216" s="59"/>
      <c r="K1216" s="85"/>
      <c r="L1216" s="86"/>
      <c r="M1216" s="87"/>
      <c r="N1216" s="59"/>
      <c r="O1216" s="59"/>
      <c r="P1216" s="59"/>
      <c r="Q1216" s="59"/>
      <c r="R1216" s="59"/>
      <c r="S1216" s="59"/>
      <c r="T1216" s="59"/>
      <c r="U1216" s="59"/>
      <c r="V1216" s="59"/>
      <c r="W1216" s="59"/>
      <c r="X1216" s="59"/>
      <c r="Y1216" s="59"/>
      <c r="Z1216" s="59"/>
      <c r="AA1216" s="59"/>
      <c r="AB1216" s="59"/>
      <c r="AC1216" s="59"/>
      <c r="AD1216" s="59"/>
      <c r="AE1216" s="59"/>
      <c r="AF1216" s="59"/>
      <c r="AG1216" s="59"/>
      <c r="AH1216" s="59"/>
      <c r="AI1216" s="59"/>
      <c r="AJ1216" s="59"/>
      <c r="AK1216" s="59"/>
      <c r="AL1216" s="59"/>
      <c r="AM1216" s="59"/>
      <c r="AN1216" s="59"/>
      <c r="AO1216" s="59"/>
      <c r="AP1216" s="59"/>
      <c r="AQ1216" s="59"/>
      <c r="AR1216" s="59"/>
      <c r="AS1216" s="59"/>
      <c r="AT1216" s="59"/>
      <c r="AU1216" s="59"/>
      <c r="AV1216" s="59"/>
      <c r="AW1216" s="59"/>
      <c r="AX1216" s="59"/>
      <c r="AY1216" s="59"/>
      <c r="AZ1216" s="59"/>
      <c r="BA1216" s="59"/>
      <c r="BB1216" s="59"/>
      <c r="BC1216" s="59"/>
      <c r="BD1216" s="59"/>
      <c r="BE1216" s="59"/>
      <c r="BF1216" s="59"/>
      <c r="BG1216" s="59"/>
      <c r="BH1216" s="59"/>
      <c r="BI1216" s="59"/>
      <c r="BJ1216" s="59"/>
      <c r="BK1216" s="59"/>
      <c r="BL1216" s="59"/>
      <c r="BM1216" s="59"/>
      <c r="BN1216" s="59"/>
      <c r="BO1216" s="59"/>
      <c r="BP1216" s="59"/>
      <c r="BQ1216" s="59"/>
      <c r="BR1216" s="59"/>
      <c r="BS1216" s="59"/>
      <c r="BT1216" s="59"/>
      <c r="BU1216" s="59"/>
      <c r="BV1216" s="59"/>
      <c r="BW1216" s="59"/>
      <c r="BX1216" s="59"/>
      <c r="BY1216" s="59"/>
      <c r="BZ1216" s="59"/>
      <c r="CA1216" s="59"/>
      <c r="CB1216" s="59"/>
    </row>
    <row r="1217" spans="1:80">
      <c r="A1217" s="74">
        <v>1216</v>
      </c>
      <c r="B1217" s="66" t="s">
        <v>67</v>
      </c>
      <c r="C1217" s="67" t="s">
        <v>303</v>
      </c>
      <c r="D1217" s="59" t="s">
        <v>239</v>
      </c>
      <c r="E1217" s="88"/>
      <c r="F1217" s="59"/>
      <c r="G1217" s="59"/>
      <c r="H1217" s="77" t="s">
        <v>76</v>
      </c>
      <c r="I1217" s="82">
        <v>12000</v>
      </c>
      <c r="J1217" s="59"/>
      <c r="K1217" s="85"/>
      <c r="L1217" s="86"/>
      <c r="M1217" s="87"/>
      <c r="N1217" s="59"/>
      <c r="O1217" s="59"/>
      <c r="P1217" s="59"/>
      <c r="Q1217" s="59"/>
      <c r="R1217" s="59"/>
      <c r="S1217" s="59"/>
      <c r="T1217" s="59"/>
      <c r="U1217" s="59"/>
      <c r="V1217" s="59"/>
      <c r="W1217" s="59"/>
      <c r="X1217" s="59"/>
      <c r="Y1217" s="59"/>
      <c r="Z1217" s="59"/>
      <c r="AA1217" s="59"/>
      <c r="AB1217" s="59"/>
      <c r="AC1217" s="59"/>
      <c r="AD1217" s="59"/>
      <c r="AE1217" s="59"/>
      <c r="AF1217" s="59"/>
      <c r="AG1217" s="59"/>
      <c r="AH1217" s="59"/>
      <c r="AI1217" s="59"/>
      <c r="AJ1217" s="59"/>
      <c r="AK1217" s="59"/>
      <c r="AL1217" s="59"/>
      <c r="AM1217" s="59"/>
      <c r="AN1217" s="59"/>
      <c r="AO1217" s="59"/>
      <c r="AP1217" s="59"/>
      <c r="AQ1217" s="59"/>
      <c r="AR1217" s="59"/>
      <c r="AS1217" s="59"/>
      <c r="AT1217" s="59"/>
      <c r="AU1217" s="59"/>
      <c r="AV1217" s="59"/>
      <c r="AW1217" s="59"/>
      <c r="AX1217" s="59"/>
      <c r="AY1217" s="59"/>
      <c r="AZ1217" s="59"/>
      <c r="BA1217" s="59"/>
      <c r="BB1217" s="59"/>
      <c r="BC1217" s="59"/>
      <c r="BD1217" s="59"/>
      <c r="BE1217" s="59"/>
      <c r="BF1217" s="59"/>
      <c r="BG1217" s="59"/>
      <c r="BH1217" s="59"/>
      <c r="BI1217" s="59"/>
      <c r="BJ1217" s="59"/>
      <c r="BK1217" s="59"/>
      <c r="BL1217" s="59"/>
      <c r="BM1217" s="59"/>
      <c r="BN1217" s="59"/>
      <c r="BO1217" s="59"/>
      <c r="BP1217" s="59"/>
      <c r="BQ1217" s="59"/>
      <c r="BR1217" s="59"/>
      <c r="BS1217" s="59"/>
      <c r="BT1217" s="59"/>
      <c r="BU1217" s="59"/>
      <c r="BV1217" s="59"/>
      <c r="BW1217" s="59"/>
      <c r="BX1217" s="59"/>
      <c r="BY1217" s="59"/>
      <c r="BZ1217" s="59"/>
      <c r="CA1217" s="59"/>
      <c r="CB1217" s="59"/>
    </row>
    <row r="1218" spans="1:80">
      <c r="A1218" s="74">
        <v>1217</v>
      </c>
      <c r="B1218" s="66" t="s">
        <v>67</v>
      </c>
      <c r="C1218" s="67" t="s">
        <v>303</v>
      </c>
      <c r="D1218" s="59" t="s">
        <v>240</v>
      </c>
      <c r="E1218" s="88"/>
      <c r="F1218" s="59"/>
      <c r="G1218" s="59"/>
      <c r="H1218" s="77" t="s">
        <v>76</v>
      </c>
      <c r="I1218" s="82">
        <v>12000</v>
      </c>
      <c r="J1218" s="59"/>
      <c r="K1218" s="85"/>
      <c r="L1218" s="86"/>
      <c r="M1218" s="87"/>
      <c r="N1218" s="59"/>
      <c r="O1218" s="59"/>
      <c r="P1218" s="59"/>
      <c r="Q1218" s="59"/>
      <c r="R1218" s="59"/>
      <c r="S1218" s="59"/>
      <c r="T1218" s="59"/>
      <c r="U1218" s="59"/>
      <c r="V1218" s="59"/>
      <c r="W1218" s="59"/>
      <c r="X1218" s="59"/>
      <c r="Y1218" s="59"/>
      <c r="Z1218" s="59"/>
      <c r="AA1218" s="59"/>
      <c r="AB1218" s="59"/>
      <c r="AC1218" s="59"/>
      <c r="AD1218" s="59"/>
      <c r="AE1218" s="59"/>
      <c r="AF1218" s="59"/>
      <c r="AG1218" s="59"/>
      <c r="AH1218" s="59"/>
      <c r="AI1218" s="59"/>
      <c r="AJ1218" s="59"/>
      <c r="AK1218" s="59"/>
      <c r="AL1218" s="59"/>
      <c r="AM1218" s="59"/>
      <c r="AN1218" s="59"/>
      <c r="AO1218" s="59"/>
      <c r="AP1218" s="59"/>
      <c r="AQ1218" s="59"/>
      <c r="AR1218" s="59"/>
      <c r="AS1218" s="59"/>
      <c r="AT1218" s="59"/>
      <c r="AU1218" s="59"/>
      <c r="AV1218" s="59"/>
      <c r="AW1218" s="59"/>
      <c r="AX1218" s="59"/>
      <c r="AY1218" s="59"/>
      <c r="AZ1218" s="59"/>
      <c r="BA1218" s="59"/>
      <c r="BB1218" s="59"/>
      <c r="BC1218" s="59"/>
      <c r="BD1218" s="59"/>
      <c r="BE1218" s="59"/>
      <c r="BF1218" s="59"/>
      <c r="BG1218" s="59"/>
      <c r="BH1218" s="59"/>
      <c r="BI1218" s="59"/>
      <c r="BJ1218" s="59"/>
      <c r="BK1218" s="59"/>
      <c r="BL1218" s="59"/>
      <c r="BM1218" s="59"/>
      <c r="BN1218" s="59"/>
      <c r="BO1218" s="59"/>
      <c r="BP1218" s="59"/>
      <c r="BQ1218" s="59"/>
      <c r="BR1218" s="59"/>
      <c r="BS1218" s="59"/>
      <c r="BT1218" s="59"/>
      <c r="BU1218" s="59"/>
      <c r="BV1218" s="59"/>
      <c r="BW1218" s="59"/>
      <c r="BX1218" s="59"/>
      <c r="BY1218" s="59"/>
      <c r="BZ1218" s="59"/>
      <c r="CA1218" s="59"/>
      <c r="CB1218" s="59"/>
    </row>
    <row r="1219" spans="1:80">
      <c r="A1219" s="74">
        <v>1218</v>
      </c>
      <c r="B1219" s="66" t="s">
        <v>67</v>
      </c>
      <c r="C1219" s="67" t="s">
        <v>303</v>
      </c>
      <c r="D1219" s="59" t="s">
        <v>241</v>
      </c>
      <c r="E1219" s="88"/>
      <c r="F1219" s="59"/>
      <c r="G1219" s="59"/>
      <c r="H1219" s="77" t="s">
        <v>76</v>
      </c>
      <c r="I1219" s="82">
        <v>12000</v>
      </c>
      <c r="J1219" s="59"/>
      <c r="K1219" s="85"/>
      <c r="L1219" s="86"/>
      <c r="M1219" s="87"/>
      <c r="N1219" s="59"/>
      <c r="O1219" s="59"/>
      <c r="P1219" s="59"/>
      <c r="Q1219" s="59"/>
      <c r="R1219" s="59"/>
      <c r="S1219" s="59"/>
      <c r="T1219" s="59"/>
      <c r="U1219" s="59"/>
      <c r="V1219" s="59"/>
      <c r="W1219" s="59"/>
      <c r="X1219" s="59"/>
      <c r="Y1219" s="59"/>
      <c r="Z1219" s="59"/>
      <c r="AA1219" s="59"/>
      <c r="AB1219" s="59"/>
      <c r="AC1219" s="59"/>
      <c r="AD1219" s="59"/>
      <c r="AE1219" s="59"/>
      <c r="AF1219" s="59"/>
      <c r="AG1219" s="59"/>
      <c r="AH1219" s="59"/>
      <c r="AI1219" s="59"/>
      <c r="AJ1219" s="59"/>
      <c r="AK1219" s="59"/>
      <c r="AL1219" s="59"/>
      <c r="AM1219" s="59"/>
      <c r="AN1219" s="59"/>
      <c r="AO1219" s="59"/>
      <c r="AP1219" s="59"/>
      <c r="AQ1219" s="59"/>
      <c r="AR1219" s="59"/>
      <c r="AS1219" s="59"/>
      <c r="AT1219" s="59"/>
      <c r="AU1219" s="59"/>
      <c r="AV1219" s="59"/>
      <c r="AW1219" s="59"/>
      <c r="AX1219" s="59"/>
      <c r="AY1219" s="59"/>
      <c r="AZ1219" s="59"/>
      <c r="BA1219" s="59"/>
      <c r="BB1219" s="59"/>
      <c r="BC1219" s="59"/>
      <c r="BD1219" s="59"/>
      <c r="BE1219" s="59"/>
      <c r="BF1219" s="59"/>
      <c r="BG1219" s="59"/>
      <c r="BH1219" s="59"/>
      <c r="BI1219" s="59"/>
      <c r="BJ1219" s="59"/>
      <c r="BK1219" s="59"/>
      <c r="BL1219" s="59"/>
      <c r="BM1219" s="59"/>
      <c r="BN1219" s="59"/>
      <c r="BO1219" s="59"/>
      <c r="BP1219" s="59"/>
      <c r="BQ1219" s="59"/>
      <c r="BR1219" s="59"/>
      <c r="BS1219" s="59"/>
      <c r="BT1219" s="59"/>
      <c r="BU1219" s="59"/>
      <c r="BV1219" s="59"/>
      <c r="BW1219" s="59"/>
      <c r="BX1219" s="59"/>
      <c r="BY1219" s="59"/>
      <c r="BZ1219" s="59"/>
      <c r="CA1219" s="59"/>
      <c r="CB1219" s="59"/>
    </row>
    <row r="1220" spans="1:80">
      <c r="A1220" s="74">
        <v>1219</v>
      </c>
      <c r="B1220" s="66" t="s">
        <v>67</v>
      </c>
      <c r="C1220" s="67" t="s">
        <v>303</v>
      </c>
      <c r="D1220" s="59" t="s">
        <v>242</v>
      </c>
      <c r="E1220" s="88"/>
      <c r="F1220" s="59"/>
      <c r="G1220" s="59"/>
      <c r="H1220" s="77" t="s">
        <v>76</v>
      </c>
      <c r="I1220" s="82">
        <v>12000</v>
      </c>
      <c r="J1220" s="59"/>
      <c r="K1220" s="85"/>
      <c r="L1220" s="86"/>
      <c r="M1220" s="87"/>
      <c r="N1220" s="59"/>
      <c r="O1220" s="59"/>
      <c r="P1220" s="59"/>
      <c r="Q1220" s="59"/>
      <c r="R1220" s="59"/>
      <c r="S1220" s="59"/>
      <c r="T1220" s="59"/>
      <c r="U1220" s="59"/>
      <c r="V1220" s="59"/>
      <c r="W1220" s="59"/>
      <c r="X1220" s="59"/>
      <c r="Y1220" s="59"/>
      <c r="Z1220" s="59"/>
      <c r="AA1220" s="59"/>
      <c r="AB1220" s="59"/>
      <c r="AC1220" s="59"/>
      <c r="AD1220" s="59"/>
      <c r="AE1220" s="59"/>
      <c r="AF1220" s="59"/>
      <c r="AG1220" s="59"/>
      <c r="AH1220" s="59"/>
      <c r="AI1220" s="59"/>
      <c r="AJ1220" s="59"/>
      <c r="AK1220" s="59"/>
      <c r="AL1220" s="59"/>
      <c r="AM1220" s="59"/>
      <c r="AN1220" s="59"/>
      <c r="AO1220" s="59"/>
      <c r="AP1220" s="59"/>
      <c r="AQ1220" s="59"/>
      <c r="AR1220" s="59"/>
      <c r="AS1220" s="59"/>
      <c r="AT1220" s="59"/>
      <c r="AU1220" s="59"/>
      <c r="AV1220" s="59"/>
      <c r="AW1220" s="59"/>
      <c r="AX1220" s="59"/>
      <c r="AY1220" s="59"/>
      <c r="AZ1220" s="59"/>
      <c r="BA1220" s="59"/>
      <c r="BB1220" s="59"/>
      <c r="BC1220" s="59"/>
      <c r="BD1220" s="59"/>
      <c r="BE1220" s="59"/>
      <c r="BF1220" s="59"/>
      <c r="BG1220" s="59"/>
      <c r="BH1220" s="59"/>
      <c r="BI1220" s="59"/>
      <c r="BJ1220" s="59"/>
      <c r="BK1220" s="59"/>
      <c r="BL1220" s="59"/>
      <c r="BM1220" s="59"/>
      <c r="BN1220" s="59"/>
      <c r="BO1220" s="59"/>
      <c r="BP1220" s="59"/>
      <c r="BQ1220" s="59"/>
      <c r="BR1220" s="59"/>
      <c r="BS1220" s="59"/>
      <c r="BT1220" s="59"/>
      <c r="BU1220" s="59"/>
      <c r="BV1220" s="59"/>
      <c r="BW1220" s="59"/>
      <c r="BX1220" s="59"/>
      <c r="BY1220" s="59"/>
      <c r="BZ1220" s="59"/>
      <c r="CA1220" s="59"/>
      <c r="CB1220" s="59"/>
    </row>
    <row r="1221" spans="1:80">
      <c r="A1221" s="74">
        <v>1220</v>
      </c>
      <c r="B1221" s="66" t="s">
        <v>67</v>
      </c>
      <c r="C1221" s="67" t="s">
        <v>303</v>
      </c>
      <c r="D1221" s="59" t="s">
        <v>243</v>
      </c>
      <c r="E1221" s="88"/>
      <c r="F1221" s="59"/>
      <c r="G1221" s="59"/>
      <c r="H1221" s="77" t="s">
        <v>76</v>
      </c>
      <c r="I1221" s="82">
        <v>12000</v>
      </c>
      <c r="J1221" s="59"/>
      <c r="K1221" s="85"/>
      <c r="L1221" s="86"/>
      <c r="M1221" s="87"/>
      <c r="N1221" s="59"/>
      <c r="O1221" s="59"/>
      <c r="P1221" s="59"/>
      <c r="Q1221" s="59"/>
      <c r="R1221" s="59"/>
      <c r="S1221" s="59"/>
      <c r="T1221" s="59"/>
      <c r="U1221" s="59"/>
      <c r="V1221" s="59"/>
      <c r="W1221" s="59"/>
      <c r="X1221" s="59"/>
      <c r="Y1221" s="59"/>
      <c r="Z1221" s="59"/>
      <c r="AA1221" s="59"/>
      <c r="AB1221" s="59"/>
      <c r="AC1221" s="59"/>
      <c r="AD1221" s="59"/>
      <c r="AE1221" s="59"/>
      <c r="AF1221" s="59"/>
      <c r="AG1221" s="59"/>
      <c r="AH1221" s="59"/>
      <c r="AI1221" s="59"/>
      <c r="AJ1221" s="59"/>
      <c r="AK1221" s="59"/>
      <c r="AL1221" s="59"/>
      <c r="AM1221" s="59"/>
      <c r="AN1221" s="59"/>
      <c r="AO1221" s="59"/>
      <c r="AP1221" s="59"/>
      <c r="AQ1221" s="59"/>
      <c r="AR1221" s="59"/>
      <c r="AS1221" s="59"/>
      <c r="AT1221" s="59"/>
      <c r="AU1221" s="59"/>
      <c r="AV1221" s="59"/>
      <c r="AW1221" s="59"/>
      <c r="AX1221" s="59"/>
      <c r="AY1221" s="59"/>
      <c r="AZ1221" s="59"/>
      <c r="BA1221" s="59"/>
      <c r="BB1221" s="59"/>
      <c r="BC1221" s="59"/>
      <c r="BD1221" s="59"/>
      <c r="BE1221" s="59"/>
      <c r="BF1221" s="59"/>
      <c r="BG1221" s="59"/>
      <c r="BH1221" s="59"/>
      <c r="BI1221" s="59"/>
      <c r="BJ1221" s="59"/>
      <c r="BK1221" s="59"/>
      <c r="BL1221" s="59"/>
      <c r="BM1221" s="59"/>
      <c r="BN1221" s="59"/>
      <c r="BO1221" s="59"/>
      <c r="BP1221" s="59"/>
      <c r="BQ1221" s="59"/>
      <c r="BR1221" s="59"/>
      <c r="BS1221" s="59"/>
      <c r="BT1221" s="59"/>
      <c r="BU1221" s="59"/>
      <c r="BV1221" s="59"/>
      <c r="BW1221" s="59"/>
      <c r="BX1221" s="59"/>
      <c r="BY1221" s="59"/>
      <c r="BZ1221" s="59"/>
      <c r="CA1221" s="59"/>
      <c r="CB1221" s="59"/>
    </row>
    <row r="1222" spans="1:80">
      <c r="A1222" s="74">
        <v>1221</v>
      </c>
      <c r="B1222" s="66" t="s">
        <v>67</v>
      </c>
      <c r="C1222" s="67" t="s">
        <v>303</v>
      </c>
      <c r="D1222" s="59" t="s">
        <v>244</v>
      </c>
      <c r="E1222" s="88"/>
      <c r="F1222" s="59"/>
      <c r="G1222" s="59"/>
      <c r="H1222" s="77" t="s">
        <v>76</v>
      </c>
      <c r="I1222" s="82">
        <v>12000</v>
      </c>
      <c r="J1222" s="59"/>
      <c r="K1222" s="85"/>
      <c r="L1222" s="86"/>
      <c r="M1222" s="87"/>
      <c r="N1222" s="59"/>
      <c r="O1222" s="59"/>
      <c r="P1222" s="59"/>
      <c r="Q1222" s="59"/>
      <c r="R1222" s="59"/>
      <c r="S1222" s="59"/>
      <c r="T1222" s="59"/>
      <c r="U1222" s="59"/>
      <c r="V1222" s="59"/>
      <c r="W1222" s="59"/>
      <c r="X1222" s="59"/>
      <c r="Y1222" s="59"/>
      <c r="Z1222" s="59"/>
      <c r="AA1222" s="59"/>
      <c r="AB1222" s="59"/>
      <c r="AC1222" s="59"/>
      <c r="AD1222" s="59"/>
      <c r="AE1222" s="59"/>
      <c r="AF1222" s="59"/>
      <c r="AG1222" s="59"/>
      <c r="AH1222" s="59"/>
      <c r="AI1222" s="59"/>
      <c r="AJ1222" s="59"/>
      <c r="AK1222" s="59"/>
      <c r="AL1222" s="59"/>
      <c r="AM1222" s="59"/>
      <c r="AN1222" s="59"/>
      <c r="AO1222" s="59"/>
      <c r="AP1222" s="59"/>
      <c r="AQ1222" s="59"/>
      <c r="AR1222" s="59"/>
      <c r="AS1222" s="59"/>
      <c r="AT1222" s="59"/>
      <c r="AU1222" s="59"/>
      <c r="AV1222" s="59"/>
      <c r="AW1222" s="59"/>
      <c r="AX1222" s="59"/>
      <c r="AY1222" s="59"/>
      <c r="AZ1222" s="59"/>
      <c r="BA1222" s="59"/>
      <c r="BB1222" s="59"/>
      <c r="BC1222" s="59"/>
      <c r="BD1222" s="59"/>
      <c r="BE1222" s="59"/>
      <c r="BF1222" s="59"/>
      <c r="BG1222" s="59"/>
      <c r="BH1222" s="59"/>
      <c r="BI1222" s="59"/>
      <c r="BJ1222" s="59"/>
      <c r="BK1222" s="59"/>
      <c r="BL1222" s="59"/>
      <c r="BM1222" s="59"/>
      <c r="BN1222" s="59"/>
      <c r="BO1222" s="59"/>
      <c r="BP1222" s="59"/>
      <c r="BQ1222" s="59"/>
      <c r="BR1222" s="59"/>
      <c r="BS1222" s="59"/>
      <c r="BT1222" s="59"/>
      <c r="BU1222" s="59"/>
      <c r="BV1222" s="59"/>
      <c r="BW1222" s="59"/>
      <c r="BX1222" s="59"/>
      <c r="BY1222" s="59"/>
      <c r="BZ1222" s="59"/>
      <c r="CA1222" s="59"/>
      <c r="CB1222" s="59"/>
    </row>
    <row r="1223" spans="1:80">
      <c r="A1223" s="74">
        <v>1222</v>
      </c>
      <c r="B1223" s="66" t="s">
        <v>67</v>
      </c>
      <c r="C1223" s="67" t="s">
        <v>303</v>
      </c>
      <c r="D1223" s="59" t="s">
        <v>245</v>
      </c>
      <c r="E1223" s="88"/>
      <c r="F1223" s="59"/>
      <c r="G1223" s="59"/>
      <c r="H1223" s="77" t="s">
        <v>76</v>
      </c>
      <c r="I1223" s="82">
        <v>12000</v>
      </c>
      <c r="J1223" s="59"/>
      <c r="K1223" s="85"/>
      <c r="L1223" s="86"/>
      <c r="M1223" s="87"/>
      <c r="N1223" s="59"/>
      <c r="O1223" s="59"/>
      <c r="P1223" s="59"/>
      <c r="Q1223" s="59"/>
      <c r="R1223" s="59"/>
      <c r="S1223" s="59"/>
      <c r="T1223" s="59"/>
      <c r="U1223" s="59"/>
      <c r="V1223" s="59"/>
      <c r="W1223" s="59"/>
      <c r="X1223" s="59"/>
      <c r="Y1223" s="59"/>
      <c r="Z1223" s="59"/>
      <c r="AA1223" s="59"/>
      <c r="AB1223" s="59"/>
      <c r="AC1223" s="59"/>
      <c r="AD1223" s="59"/>
      <c r="AE1223" s="59"/>
      <c r="AF1223" s="59"/>
      <c r="AG1223" s="59"/>
      <c r="AH1223" s="59"/>
      <c r="AI1223" s="59"/>
      <c r="AJ1223" s="59"/>
      <c r="AK1223" s="59"/>
      <c r="AL1223" s="59"/>
      <c r="AM1223" s="59"/>
      <c r="AN1223" s="59"/>
      <c r="AO1223" s="59"/>
      <c r="AP1223" s="59"/>
      <c r="AQ1223" s="59"/>
      <c r="AR1223" s="59"/>
      <c r="AS1223" s="59"/>
      <c r="AT1223" s="59"/>
      <c r="AU1223" s="59"/>
      <c r="AV1223" s="59"/>
      <c r="AW1223" s="59"/>
      <c r="AX1223" s="59"/>
      <c r="AY1223" s="59"/>
      <c r="AZ1223" s="59"/>
      <c r="BA1223" s="59"/>
      <c r="BB1223" s="59"/>
      <c r="BC1223" s="59"/>
      <c r="BD1223" s="59"/>
      <c r="BE1223" s="59"/>
      <c r="BF1223" s="59"/>
      <c r="BG1223" s="59"/>
      <c r="BH1223" s="59"/>
      <c r="BI1223" s="59"/>
      <c r="BJ1223" s="59"/>
      <c r="BK1223" s="59"/>
      <c r="BL1223" s="59"/>
      <c r="BM1223" s="59"/>
      <c r="BN1223" s="59"/>
      <c r="BO1223" s="59"/>
      <c r="BP1223" s="59"/>
      <c r="BQ1223" s="59"/>
      <c r="BR1223" s="59"/>
      <c r="BS1223" s="59"/>
      <c r="BT1223" s="59"/>
      <c r="BU1223" s="59"/>
      <c r="BV1223" s="59"/>
      <c r="BW1223" s="59"/>
      <c r="BX1223" s="59"/>
      <c r="BY1223" s="59"/>
      <c r="BZ1223" s="59"/>
      <c r="CA1223" s="59"/>
      <c r="CB1223" s="59"/>
    </row>
    <row r="1224" spans="1:80">
      <c r="A1224" s="74">
        <v>1223</v>
      </c>
      <c r="B1224" s="66" t="s">
        <v>67</v>
      </c>
      <c r="C1224" s="67" t="s">
        <v>303</v>
      </c>
      <c r="D1224" s="59" t="s">
        <v>246</v>
      </c>
      <c r="E1224" s="88"/>
      <c r="F1224" s="59"/>
      <c r="G1224" s="59"/>
      <c r="H1224" s="77" t="s">
        <v>76</v>
      </c>
      <c r="I1224" s="82">
        <v>12000</v>
      </c>
      <c r="J1224" s="59"/>
      <c r="K1224" s="85"/>
      <c r="L1224" s="86"/>
      <c r="M1224" s="87"/>
      <c r="N1224" s="59"/>
      <c r="O1224" s="59"/>
      <c r="P1224" s="59"/>
      <c r="Q1224" s="59"/>
      <c r="R1224" s="59"/>
      <c r="S1224" s="59"/>
      <c r="T1224" s="59"/>
      <c r="U1224" s="59"/>
      <c r="V1224" s="59"/>
      <c r="W1224" s="59"/>
      <c r="X1224" s="59"/>
      <c r="Y1224" s="59"/>
      <c r="Z1224" s="59"/>
      <c r="AA1224" s="59"/>
      <c r="AB1224" s="59"/>
      <c r="AC1224" s="59"/>
      <c r="AD1224" s="59"/>
      <c r="AE1224" s="59"/>
      <c r="AF1224" s="59"/>
      <c r="AG1224" s="59"/>
      <c r="AH1224" s="59"/>
      <c r="AI1224" s="59"/>
      <c r="AJ1224" s="59"/>
      <c r="AK1224" s="59"/>
      <c r="AL1224" s="59"/>
      <c r="AM1224" s="59"/>
      <c r="AN1224" s="59"/>
      <c r="AO1224" s="59"/>
      <c r="AP1224" s="59"/>
      <c r="AQ1224" s="59"/>
      <c r="AR1224" s="59"/>
      <c r="AS1224" s="59"/>
      <c r="AT1224" s="59"/>
      <c r="AU1224" s="59"/>
      <c r="AV1224" s="59"/>
      <c r="AW1224" s="59"/>
      <c r="AX1224" s="59"/>
      <c r="AY1224" s="59"/>
      <c r="AZ1224" s="59"/>
      <c r="BA1224" s="59"/>
      <c r="BB1224" s="59"/>
      <c r="BC1224" s="59"/>
      <c r="BD1224" s="59"/>
      <c r="BE1224" s="59"/>
      <c r="BF1224" s="59"/>
      <c r="BG1224" s="59"/>
      <c r="BH1224" s="59"/>
      <c r="BI1224" s="59"/>
      <c r="BJ1224" s="59"/>
      <c r="BK1224" s="59"/>
      <c r="BL1224" s="59"/>
      <c r="BM1224" s="59"/>
      <c r="BN1224" s="59"/>
      <c r="BO1224" s="59"/>
      <c r="BP1224" s="59"/>
      <c r="BQ1224" s="59"/>
      <c r="BR1224" s="59"/>
      <c r="BS1224" s="59"/>
      <c r="BT1224" s="59"/>
      <c r="BU1224" s="59"/>
      <c r="BV1224" s="59"/>
      <c r="BW1224" s="59"/>
      <c r="BX1224" s="59"/>
      <c r="BY1224" s="59"/>
      <c r="BZ1224" s="59"/>
      <c r="CA1224" s="59"/>
      <c r="CB1224" s="59"/>
    </row>
    <row r="1225" spans="1:80">
      <c r="A1225" s="74">
        <v>1224</v>
      </c>
      <c r="B1225" s="66" t="s">
        <v>67</v>
      </c>
      <c r="C1225" s="67" t="s">
        <v>303</v>
      </c>
      <c r="D1225" s="59" t="s">
        <v>247</v>
      </c>
      <c r="E1225" s="88"/>
      <c r="F1225" s="59"/>
      <c r="G1225" s="59"/>
      <c r="H1225" s="77" t="s">
        <v>76</v>
      </c>
      <c r="I1225" s="82">
        <v>12000</v>
      </c>
      <c r="J1225" s="59"/>
      <c r="K1225" s="85"/>
      <c r="L1225" s="86"/>
      <c r="M1225" s="87"/>
      <c r="N1225" s="59"/>
      <c r="O1225" s="59"/>
      <c r="P1225" s="59"/>
      <c r="Q1225" s="59"/>
      <c r="R1225" s="59"/>
      <c r="S1225" s="59"/>
      <c r="T1225" s="59"/>
      <c r="U1225" s="59"/>
      <c r="V1225" s="59"/>
      <c r="W1225" s="59"/>
      <c r="X1225" s="59"/>
      <c r="Y1225" s="59"/>
      <c r="Z1225" s="59"/>
      <c r="AA1225" s="59"/>
      <c r="AB1225" s="59"/>
      <c r="AC1225" s="59"/>
      <c r="AD1225" s="59"/>
      <c r="AE1225" s="59"/>
      <c r="AF1225" s="59"/>
      <c r="AG1225" s="59"/>
      <c r="AH1225" s="59"/>
      <c r="AI1225" s="59"/>
      <c r="AJ1225" s="59"/>
      <c r="AK1225" s="59"/>
      <c r="AL1225" s="59"/>
      <c r="AM1225" s="59"/>
      <c r="AN1225" s="59"/>
      <c r="AO1225" s="59"/>
      <c r="AP1225" s="59"/>
      <c r="AQ1225" s="59"/>
      <c r="AR1225" s="59"/>
      <c r="AS1225" s="59"/>
      <c r="AT1225" s="59"/>
      <c r="AU1225" s="59"/>
      <c r="AV1225" s="59"/>
      <c r="AW1225" s="59"/>
      <c r="AX1225" s="59"/>
      <c r="AY1225" s="59"/>
      <c r="AZ1225" s="59"/>
      <c r="BA1225" s="59"/>
      <c r="BB1225" s="59"/>
      <c r="BC1225" s="59"/>
      <c r="BD1225" s="59"/>
      <c r="BE1225" s="59"/>
      <c r="BF1225" s="59"/>
      <c r="BG1225" s="59"/>
      <c r="BH1225" s="59"/>
      <c r="BI1225" s="59"/>
      <c r="BJ1225" s="59"/>
      <c r="BK1225" s="59"/>
      <c r="BL1225" s="59"/>
      <c r="BM1225" s="59"/>
      <c r="BN1225" s="59"/>
      <c r="BO1225" s="59"/>
      <c r="BP1225" s="59"/>
      <c r="BQ1225" s="59"/>
      <c r="BR1225" s="59"/>
      <c r="BS1225" s="59"/>
      <c r="BT1225" s="59"/>
      <c r="BU1225" s="59"/>
      <c r="BV1225" s="59"/>
      <c r="BW1225" s="59"/>
      <c r="BX1225" s="59"/>
      <c r="BY1225" s="59"/>
      <c r="BZ1225" s="59"/>
      <c r="CA1225" s="59"/>
      <c r="CB1225" s="59"/>
    </row>
    <row r="1226" spans="1:80">
      <c r="A1226" s="74">
        <v>1225</v>
      </c>
      <c r="B1226" s="66" t="s">
        <v>67</v>
      </c>
      <c r="C1226" s="67" t="s">
        <v>303</v>
      </c>
      <c r="D1226" s="59" t="s">
        <v>248</v>
      </c>
      <c r="E1226" s="88"/>
      <c r="F1226" s="59"/>
      <c r="G1226" s="59"/>
      <c r="H1226" s="77" t="s">
        <v>76</v>
      </c>
      <c r="I1226" s="82">
        <v>12000</v>
      </c>
      <c r="J1226" s="59"/>
      <c r="K1226" s="85"/>
      <c r="L1226" s="86"/>
      <c r="M1226" s="87"/>
      <c r="N1226" s="59"/>
      <c r="O1226" s="59"/>
      <c r="P1226" s="59"/>
      <c r="Q1226" s="59"/>
      <c r="R1226" s="59"/>
      <c r="S1226" s="59"/>
      <c r="T1226" s="59"/>
      <c r="U1226" s="59"/>
      <c r="V1226" s="59"/>
      <c r="W1226" s="59"/>
      <c r="X1226" s="59"/>
      <c r="Y1226" s="59"/>
      <c r="Z1226" s="59"/>
      <c r="AA1226" s="59"/>
      <c r="AB1226" s="59"/>
      <c r="AC1226" s="59"/>
      <c r="AD1226" s="59"/>
      <c r="AE1226" s="59"/>
      <c r="AF1226" s="59"/>
      <c r="AG1226" s="59"/>
      <c r="AH1226" s="59"/>
      <c r="AI1226" s="59"/>
      <c r="AJ1226" s="59"/>
      <c r="AK1226" s="59"/>
      <c r="AL1226" s="59"/>
      <c r="AM1226" s="59"/>
      <c r="AN1226" s="59"/>
      <c r="AO1226" s="59"/>
      <c r="AP1226" s="59"/>
      <c r="AQ1226" s="59"/>
      <c r="AR1226" s="59"/>
      <c r="AS1226" s="59"/>
      <c r="AT1226" s="59"/>
      <c r="AU1226" s="59"/>
      <c r="AV1226" s="59"/>
      <c r="AW1226" s="59"/>
      <c r="AX1226" s="59"/>
      <c r="AY1226" s="59"/>
      <c r="AZ1226" s="59"/>
      <c r="BA1226" s="59"/>
      <c r="BB1226" s="59"/>
      <c r="BC1226" s="59"/>
      <c r="BD1226" s="59"/>
      <c r="BE1226" s="59"/>
      <c r="BF1226" s="59"/>
      <c r="BG1226" s="59"/>
      <c r="BH1226" s="59"/>
      <c r="BI1226" s="59"/>
      <c r="BJ1226" s="59"/>
      <c r="BK1226" s="59"/>
      <c r="BL1226" s="59"/>
      <c r="BM1226" s="59"/>
      <c r="BN1226" s="59"/>
      <c r="BO1226" s="59"/>
      <c r="BP1226" s="59"/>
      <c r="BQ1226" s="59"/>
      <c r="BR1226" s="59"/>
      <c r="BS1226" s="59"/>
      <c r="BT1226" s="59"/>
      <c r="BU1226" s="59"/>
      <c r="BV1226" s="59"/>
      <c r="BW1226" s="59"/>
      <c r="BX1226" s="59"/>
      <c r="BY1226" s="59"/>
      <c r="BZ1226" s="59"/>
      <c r="CA1226" s="59"/>
      <c r="CB1226" s="59"/>
    </row>
    <row r="1227" spans="1:80">
      <c r="A1227" s="74">
        <v>1226</v>
      </c>
      <c r="B1227" s="66" t="s">
        <v>67</v>
      </c>
      <c r="C1227" s="67" t="s">
        <v>303</v>
      </c>
      <c r="D1227" s="59" t="s">
        <v>249</v>
      </c>
      <c r="E1227" s="88"/>
      <c r="F1227" s="59"/>
      <c r="G1227" s="59"/>
      <c r="H1227" s="77" t="s">
        <v>76</v>
      </c>
      <c r="I1227" s="82">
        <v>12000</v>
      </c>
      <c r="J1227" s="59"/>
      <c r="K1227" s="85"/>
      <c r="L1227" s="86"/>
      <c r="M1227" s="87"/>
      <c r="N1227" s="59"/>
      <c r="O1227" s="59"/>
      <c r="P1227" s="59"/>
      <c r="Q1227" s="59"/>
      <c r="R1227" s="59"/>
      <c r="S1227" s="59"/>
      <c r="T1227" s="59"/>
      <c r="U1227" s="59"/>
      <c r="V1227" s="59"/>
      <c r="W1227" s="59"/>
      <c r="X1227" s="59"/>
      <c r="Y1227" s="59"/>
      <c r="Z1227" s="59"/>
      <c r="AA1227" s="59"/>
      <c r="AB1227" s="59"/>
      <c r="AC1227" s="59"/>
      <c r="AD1227" s="59"/>
      <c r="AE1227" s="59"/>
      <c r="AF1227" s="59"/>
      <c r="AG1227" s="59"/>
      <c r="AH1227" s="59"/>
      <c r="AI1227" s="59"/>
      <c r="AJ1227" s="59"/>
      <c r="AK1227" s="59"/>
      <c r="AL1227" s="59"/>
      <c r="AM1227" s="59"/>
      <c r="AN1227" s="59"/>
      <c r="AO1227" s="59"/>
      <c r="AP1227" s="59"/>
      <c r="AQ1227" s="59"/>
      <c r="AR1227" s="59"/>
      <c r="AS1227" s="59"/>
      <c r="AT1227" s="59"/>
      <c r="AU1227" s="59"/>
      <c r="AV1227" s="59"/>
      <c r="AW1227" s="59"/>
      <c r="AX1227" s="59"/>
      <c r="AY1227" s="59"/>
      <c r="AZ1227" s="59"/>
      <c r="BA1227" s="59"/>
      <c r="BB1227" s="59"/>
      <c r="BC1227" s="59"/>
      <c r="BD1227" s="59"/>
      <c r="BE1227" s="59"/>
      <c r="BF1227" s="59"/>
      <c r="BG1227" s="59"/>
      <c r="BH1227" s="59"/>
      <c r="BI1227" s="59"/>
      <c r="BJ1227" s="59"/>
      <c r="BK1227" s="59"/>
      <c r="BL1227" s="59"/>
      <c r="BM1227" s="59"/>
      <c r="BN1227" s="59"/>
      <c r="BO1227" s="59"/>
      <c r="BP1227" s="59"/>
      <c r="BQ1227" s="59"/>
      <c r="BR1227" s="59"/>
      <c r="BS1227" s="59"/>
      <c r="BT1227" s="59"/>
      <c r="BU1227" s="59"/>
      <c r="BV1227" s="59"/>
      <c r="BW1227" s="59"/>
      <c r="BX1227" s="59"/>
      <c r="BY1227" s="59"/>
      <c r="BZ1227" s="59"/>
      <c r="CA1227" s="59"/>
      <c r="CB1227" s="59"/>
    </row>
    <row r="1228" spans="1:80">
      <c r="A1228" s="74">
        <v>1227</v>
      </c>
      <c r="B1228" s="66" t="s">
        <v>67</v>
      </c>
      <c r="C1228" s="67" t="s">
        <v>303</v>
      </c>
      <c r="D1228" s="59" t="s">
        <v>250</v>
      </c>
      <c r="E1228" s="88"/>
      <c r="F1228" s="59"/>
      <c r="G1228" s="59"/>
      <c r="H1228" s="77" t="s">
        <v>76</v>
      </c>
      <c r="I1228" s="82">
        <v>12000</v>
      </c>
      <c r="J1228" s="59"/>
      <c r="K1228" s="85"/>
      <c r="L1228" s="86"/>
      <c r="M1228" s="87"/>
      <c r="N1228" s="59"/>
      <c r="O1228" s="59"/>
      <c r="P1228" s="59"/>
      <c r="Q1228" s="59"/>
      <c r="R1228" s="59"/>
      <c r="S1228" s="59"/>
      <c r="T1228" s="59"/>
      <c r="U1228" s="59"/>
      <c r="V1228" s="59"/>
      <c r="W1228" s="59"/>
      <c r="X1228" s="59"/>
      <c r="Y1228" s="59"/>
      <c r="Z1228" s="59"/>
      <c r="AA1228" s="59"/>
      <c r="AB1228" s="59"/>
      <c r="AC1228" s="59"/>
      <c r="AD1228" s="59"/>
      <c r="AE1228" s="59"/>
      <c r="AF1228" s="59"/>
      <c r="AG1228" s="59"/>
      <c r="AH1228" s="59"/>
      <c r="AI1228" s="59"/>
      <c r="AJ1228" s="59"/>
      <c r="AK1228" s="59"/>
      <c r="AL1228" s="59"/>
      <c r="AM1228" s="59"/>
      <c r="AN1228" s="59"/>
      <c r="AO1228" s="59"/>
      <c r="AP1228" s="59"/>
      <c r="AQ1228" s="59"/>
      <c r="AR1228" s="59"/>
      <c r="AS1228" s="59"/>
      <c r="AT1228" s="59"/>
      <c r="AU1228" s="59"/>
      <c r="AV1228" s="59"/>
      <c r="AW1228" s="59"/>
      <c r="AX1228" s="59"/>
      <c r="AY1228" s="59"/>
      <c r="AZ1228" s="59"/>
      <c r="BA1228" s="59"/>
      <c r="BB1228" s="59"/>
      <c r="BC1228" s="59"/>
      <c r="BD1228" s="59"/>
      <c r="BE1228" s="59"/>
      <c r="BF1228" s="59"/>
      <c r="BG1228" s="59"/>
      <c r="BH1228" s="59"/>
      <c r="BI1228" s="59"/>
      <c r="BJ1228" s="59"/>
      <c r="BK1228" s="59"/>
      <c r="BL1228" s="59"/>
      <c r="BM1228" s="59"/>
      <c r="BN1228" s="59"/>
      <c r="BO1228" s="59"/>
      <c r="BP1228" s="59"/>
      <c r="BQ1228" s="59"/>
      <c r="BR1228" s="59"/>
      <c r="BS1228" s="59"/>
      <c r="BT1228" s="59"/>
      <c r="BU1228" s="59"/>
      <c r="BV1228" s="59"/>
      <c r="BW1228" s="59"/>
      <c r="BX1228" s="59"/>
      <c r="BY1228" s="59"/>
      <c r="BZ1228" s="59"/>
      <c r="CA1228" s="59"/>
      <c r="CB1228" s="59"/>
    </row>
    <row r="1229" spans="1:80">
      <c r="A1229" s="74">
        <v>1228</v>
      </c>
      <c r="B1229" s="66" t="s">
        <v>67</v>
      </c>
      <c r="C1229" s="67" t="s">
        <v>303</v>
      </c>
      <c r="D1229" s="59" t="s">
        <v>251</v>
      </c>
      <c r="E1229" s="88"/>
      <c r="F1229" s="59"/>
      <c r="G1229" s="59"/>
      <c r="H1229" s="77" t="s">
        <v>76</v>
      </c>
      <c r="I1229" s="82">
        <v>12000</v>
      </c>
      <c r="J1229" s="59"/>
      <c r="K1229" s="85"/>
      <c r="L1229" s="86"/>
      <c r="M1229" s="98"/>
      <c r="N1229" s="59"/>
      <c r="O1229" s="59"/>
      <c r="P1229" s="59"/>
      <c r="Q1229" s="59"/>
      <c r="R1229" s="59"/>
      <c r="S1229" s="59"/>
      <c r="T1229" s="59"/>
      <c r="U1229" s="59"/>
      <c r="V1229" s="59"/>
      <c r="W1229" s="59"/>
      <c r="X1229" s="59"/>
      <c r="Y1229" s="59"/>
      <c r="Z1229" s="59"/>
      <c r="AA1229" s="59"/>
      <c r="AB1229" s="59"/>
      <c r="AC1229" s="59"/>
      <c r="AD1229" s="59"/>
      <c r="AE1229" s="59"/>
      <c r="AF1229" s="59"/>
      <c r="AG1229" s="59"/>
      <c r="AH1229" s="59"/>
      <c r="AI1229" s="59"/>
      <c r="AJ1229" s="59"/>
      <c r="AK1229" s="59"/>
      <c r="AL1229" s="59"/>
      <c r="AM1229" s="59"/>
      <c r="AN1229" s="59"/>
      <c r="AO1229" s="59"/>
      <c r="AP1229" s="59"/>
      <c r="AQ1229" s="59"/>
      <c r="AR1229" s="59"/>
      <c r="AS1229" s="59"/>
      <c r="AT1229" s="59"/>
      <c r="AU1229" s="59"/>
      <c r="AV1229" s="59"/>
      <c r="AW1229" s="59"/>
      <c r="AX1229" s="59"/>
      <c r="AY1229" s="59"/>
      <c r="AZ1229" s="59"/>
      <c r="BA1229" s="59"/>
      <c r="BB1229" s="59"/>
      <c r="BC1229" s="59"/>
      <c r="BD1229" s="59"/>
      <c r="BE1229" s="59"/>
      <c r="BF1229" s="59"/>
      <c r="BG1229" s="59"/>
      <c r="BH1229" s="59"/>
      <c r="BI1229" s="59"/>
      <c r="BJ1229" s="59"/>
      <c r="BK1229" s="59"/>
      <c r="BL1229" s="59"/>
      <c r="BM1229" s="59"/>
      <c r="BN1229" s="59"/>
      <c r="BO1229" s="59"/>
      <c r="BP1229" s="59"/>
      <c r="BQ1229" s="59"/>
      <c r="BR1229" s="59"/>
      <c r="BS1229" s="59"/>
      <c r="BT1229" s="59"/>
      <c r="BU1229" s="59"/>
      <c r="BV1229" s="59"/>
      <c r="BW1229" s="59"/>
      <c r="BX1229" s="59"/>
      <c r="BY1229" s="59"/>
      <c r="BZ1229" s="59"/>
      <c r="CA1229" s="59"/>
      <c r="CB1229" s="59"/>
    </row>
    <row r="1230" spans="1:80">
      <c r="A1230" s="74">
        <v>1229</v>
      </c>
      <c r="B1230" s="66" t="s">
        <v>67</v>
      </c>
      <c r="C1230" s="67" t="s">
        <v>303</v>
      </c>
      <c r="D1230" s="59" t="s">
        <v>252</v>
      </c>
      <c r="E1230" s="88"/>
      <c r="F1230" s="59"/>
      <c r="G1230" s="59"/>
      <c r="H1230" s="77" t="s">
        <v>71</v>
      </c>
      <c r="I1230" s="78">
        <v>16000</v>
      </c>
      <c r="J1230" s="59"/>
      <c r="K1230" s="85"/>
      <c r="L1230" s="86"/>
      <c r="M1230" s="87"/>
      <c r="N1230" s="59"/>
      <c r="O1230" s="59"/>
      <c r="P1230" s="59"/>
      <c r="Q1230" s="59"/>
      <c r="R1230" s="59"/>
      <c r="S1230" s="59"/>
      <c r="T1230" s="59"/>
      <c r="U1230" s="59"/>
      <c r="V1230" s="59"/>
      <c r="W1230" s="59"/>
      <c r="X1230" s="59"/>
      <c r="Y1230" s="59"/>
      <c r="Z1230" s="59"/>
      <c r="AA1230" s="59"/>
      <c r="AB1230" s="59"/>
      <c r="AC1230" s="59"/>
      <c r="AD1230" s="59"/>
      <c r="AE1230" s="59"/>
      <c r="AF1230" s="59"/>
      <c r="AG1230" s="59"/>
      <c r="AH1230" s="59"/>
      <c r="AI1230" s="59"/>
      <c r="AJ1230" s="59"/>
      <c r="AK1230" s="59"/>
      <c r="AL1230" s="59"/>
      <c r="AM1230" s="59"/>
      <c r="AN1230" s="59"/>
      <c r="AO1230" s="59"/>
      <c r="AP1230" s="59"/>
      <c r="AQ1230" s="59"/>
      <c r="AR1230" s="59"/>
      <c r="AS1230" s="59"/>
      <c r="AT1230" s="59"/>
      <c r="AU1230" s="59"/>
      <c r="AV1230" s="59"/>
      <c r="AW1230" s="59"/>
      <c r="AX1230" s="59"/>
      <c r="AY1230" s="59"/>
      <c r="AZ1230" s="59"/>
      <c r="BA1230" s="59"/>
      <c r="BB1230" s="59"/>
      <c r="BC1230" s="59"/>
      <c r="BD1230" s="59"/>
      <c r="BE1230" s="59"/>
      <c r="BF1230" s="59"/>
      <c r="BG1230" s="59"/>
      <c r="BH1230" s="59"/>
      <c r="BI1230" s="59"/>
      <c r="BJ1230" s="59"/>
      <c r="BK1230" s="59"/>
      <c r="BL1230" s="59"/>
      <c r="BM1230" s="59"/>
      <c r="BN1230" s="59"/>
      <c r="BO1230" s="59"/>
      <c r="BP1230" s="59"/>
      <c r="BQ1230" s="59"/>
      <c r="BR1230" s="59"/>
      <c r="BS1230" s="59"/>
      <c r="BT1230" s="59"/>
      <c r="BU1230" s="59"/>
      <c r="BV1230" s="59"/>
      <c r="BW1230" s="59"/>
      <c r="BX1230" s="59"/>
      <c r="BY1230" s="59"/>
      <c r="BZ1230" s="59"/>
      <c r="CA1230" s="59"/>
      <c r="CB1230" s="59"/>
    </row>
    <row r="1231" spans="1:80">
      <c r="A1231" s="74">
        <v>1230</v>
      </c>
      <c r="B1231" s="66" t="s">
        <v>67</v>
      </c>
      <c r="C1231" s="67" t="s">
        <v>303</v>
      </c>
      <c r="D1231" s="59" t="s">
        <v>253</v>
      </c>
      <c r="E1231" s="88"/>
      <c r="F1231" s="59"/>
      <c r="G1231" s="59"/>
      <c r="H1231" s="77" t="s">
        <v>76</v>
      </c>
      <c r="I1231" s="82">
        <v>12000</v>
      </c>
      <c r="J1231" s="59"/>
      <c r="K1231" s="85"/>
      <c r="L1231" s="86"/>
      <c r="M1231" s="99"/>
      <c r="N1231" s="59"/>
      <c r="O1231" s="59"/>
      <c r="P1231" s="59"/>
      <c r="Q1231" s="59"/>
      <c r="R1231" s="59"/>
      <c r="S1231" s="59"/>
      <c r="T1231" s="59"/>
      <c r="U1231" s="59"/>
      <c r="V1231" s="59"/>
      <c r="W1231" s="59"/>
      <c r="X1231" s="59"/>
      <c r="Y1231" s="59"/>
      <c r="Z1231" s="59"/>
      <c r="AA1231" s="59"/>
      <c r="AB1231" s="59"/>
      <c r="AC1231" s="59"/>
      <c r="AD1231" s="59"/>
      <c r="AE1231" s="59"/>
      <c r="AF1231" s="59"/>
      <c r="AG1231" s="59"/>
      <c r="AH1231" s="59"/>
      <c r="AI1231" s="59"/>
      <c r="AJ1231" s="59"/>
      <c r="AK1231" s="59"/>
      <c r="AL1231" s="59"/>
      <c r="AM1231" s="59"/>
      <c r="AN1231" s="59"/>
      <c r="AO1231" s="59"/>
      <c r="AP1231" s="59"/>
      <c r="AQ1231" s="59"/>
      <c r="AR1231" s="59"/>
      <c r="AS1231" s="59"/>
      <c r="AT1231" s="59"/>
      <c r="AU1231" s="59"/>
      <c r="AV1231" s="59"/>
      <c r="AW1231" s="59"/>
      <c r="AX1231" s="59"/>
      <c r="AY1231" s="59"/>
      <c r="AZ1231" s="59"/>
      <c r="BA1231" s="59"/>
      <c r="BB1231" s="59"/>
      <c r="BC1231" s="59"/>
      <c r="BD1231" s="59"/>
      <c r="BE1231" s="59"/>
      <c r="BF1231" s="59"/>
      <c r="BG1231" s="59"/>
      <c r="BH1231" s="59"/>
      <c r="BI1231" s="59"/>
      <c r="BJ1231" s="59"/>
      <c r="BK1231" s="59"/>
      <c r="BL1231" s="59"/>
      <c r="BM1231" s="59"/>
      <c r="BN1231" s="59"/>
      <c r="BO1231" s="59"/>
      <c r="BP1231" s="59"/>
      <c r="BQ1231" s="59"/>
      <c r="BR1231" s="59"/>
      <c r="BS1231" s="59"/>
      <c r="BT1231" s="59"/>
      <c r="BU1231" s="59"/>
      <c r="BV1231" s="59"/>
      <c r="BW1231" s="59"/>
      <c r="BX1231" s="59"/>
      <c r="BY1231" s="59"/>
      <c r="BZ1231" s="59"/>
      <c r="CA1231" s="59"/>
      <c r="CB1231" s="59"/>
    </row>
    <row r="1232" spans="1:80">
      <c r="A1232" s="74">
        <v>1231</v>
      </c>
      <c r="B1232" s="66" t="s">
        <v>67</v>
      </c>
      <c r="C1232" s="67" t="s">
        <v>303</v>
      </c>
      <c r="D1232" s="59" t="s">
        <v>254</v>
      </c>
      <c r="E1232" s="88"/>
      <c r="F1232" s="59"/>
      <c r="G1232" s="59"/>
      <c r="H1232" s="77" t="s">
        <v>76</v>
      </c>
      <c r="I1232" s="82">
        <v>12000</v>
      </c>
      <c r="J1232" s="59"/>
      <c r="K1232" s="85"/>
      <c r="L1232" s="86"/>
      <c r="M1232" s="87"/>
      <c r="N1232" s="59"/>
      <c r="O1232" s="59"/>
      <c r="P1232" s="59"/>
      <c r="Q1232" s="59"/>
      <c r="R1232" s="59"/>
      <c r="S1232" s="59"/>
      <c r="T1232" s="59"/>
      <c r="U1232" s="59"/>
      <c r="V1232" s="59"/>
      <c r="W1232" s="59"/>
      <c r="X1232" s="59"/>
      <c r="Y1232" s="59"/>
      <c r="Z1232" s="59"/>
      <c r="AA1232" s="59"/>
      <c r="AB1232" s="59"/>
      <c r="AC1232" s="59"/>
      <c r="AD1232" s="59"/>
      <c r="AE1232" s="59"/>
      <c r="AF1232" s="59"/>
      <c r="AG1232" s="59"/>
      <c r="AH1232" s="59"/>
      <c r="AI1232" s="59"/>
      <c r="AJ1232" s="59"/>
      <c r="AK1232" s="59"/>
      <c r="AL1232" s="59"/>
      <c r="AM1232" s="59"/>
      <c r="AN1232" s="59"/>
      <c r="AO1232" s="59"/>
      <c r="AP1232" s="59"/>
      <c r="AQ1232" s="59"/>
      <c r="AR1232" s="59"/>
      <c r="AS1232" s="59"/>
      <c r="AT1232" s="59"/>
      <c r="AU1232" s="59"/>
      <c r="AV1232" s="59"/>
      <c r="AW1232" s="59"/>
      <c r="AX1232" s="59"/>
      <c r="AY1232" s="59"/>
      <c r="AZ1232" s="59"/>
      <c r="BA1232" s="59"/>
      <c r="BB1232" s="59"/>
      <c r="BC1232" s="59"/>
      <c r="BD1232" s="59"/>
      <c r="BE1232" s="59"/>
      <c r="BF1232" s="59"/>
      <c r="BG1232" s="59"/>
      <c r="BH1232" s="59"/>
      <c r="BI1232" s="59"/>
      <c r="BJ1232" s="59"/>
      <c r="BK1232" s="59"/>
      <c r="BL1232" s="59"/>
      <c r="BM1232" s="59"/>
      <c r="BN1232" s="59"/>
      <c r="BO1232" s="59"/>
      <c r="BP1232" s="59"/>
      <c r="BQ1232" s="59"/>
      <c r="BR1232" s="59"/>
      <c r="BS1232" s="59"/>
      <c r="BT1232" s="59"/>
      <c r="BU1232" s="59"/>
      <c r="BV1232" s="59"/>
      <c r="BW1232" s="59"/>
      <c r="BX1232" s="59"/>
      <c r="BY1232" s="59"/>
      <c r="BZ1232" s="59"/>
      <c r="CA1232" s="59"/>
      <c r="CB1232" s="59"/>
    </row>
    <row r="1233" spans="1:80">
      <c r="A1233" s="74">
        <v>1232</v>
      </c>
      <c r="B1233" s="66" t="s">
        <v>67</v>
      </c>
      <c r="C1233" s="67" t="s">
        <v>303</v>
      </c>
      <c r="D1233" s="59" t="s">
        <v>255</v>
      </c>
      <c r="E1233" s="88"/>
      <c r="F1233" s="59"/>
      <c r="G1233" s="59"/>
      <c r="H1233" s="77" t="s">
        <v>76</v>
      </c>
      <c r="I1233" s="82">
        <v>12000</v>
      </c>
      <c r="J1233" s="59"/>
      <c r="K1233" s="85"/>
      <c r="L1233" s="86"/>
      <c r="M1233" s="87"/>
      <c r="N1233" s="59"/>
      <c r="O1233" s="59"/>
      <c r="P1233" s="59"/>
      <c r="Q1233" s="59"/>
      <c r="R1233" s="59"/>
      <c r="S1233" s="59"/>
      <c r="T1233" s="59"/>
      <c r="U1233" s="59"/>
      <c r="V1233" s="59"/>
      <c r="W1233" s="59"/>
      <c r="X1233" s="59"/>
      <c r="Y1233" s="59"/>
      <c r="Z1233" s="59"/>
      <c r="AA1233" s="59"/>
      <c r="AB1233" s="59"/>
      <c r="AC1233" s="59"/>
      <c r="AD1233" s="59"/>
      <c r="AE1233" s="59"/>
      <c r="AF1233" s="59"/>
      <c r="AG1233" s="59"/>
      <c r="AH1233" s="59"/>
      <c r="AI1233" s="59"/>
      <c r="AJ1233" s="59"/>
      <c r="AK1233" s="59"/>
      <c r="AL1233" s="59"/>
      <c r="AM1233" s="59"/>
      <c r="AN1233" s="59"/>
      <c r="AO1233" s="59"/>
      <c r="AP1233" s="59"/>
      <c r="AQ1233" s="59"/>
      <c r="AR1233" s="59"/>
      <c r="AS1233" s="59"/>
      <c r="AT1233" s="59"/>
      <c r="AU1233" s="59"/>
      <c r="AV1233" s="59"/>
      <c r="AW1233" s="59"/>
      <c r="AX1233" s="59"/>
      <c r="AY1233" s="59"/>
      <c r="AZ1233" s="59"/>
      <c r="BA1233" s="59"/>
      <c r="BB1233" s="59"/>
      <c r="BC1233" s="59"/>
      <c r="BD1233" s="59"/>
      <c r="BE1233" s="59"/>
      <c r="BF1233" s="59"/>
      <c r="BG1233" s="59"/>
      <c r="BH1233" s="59"/>
      <c r="BI1233" s="59"/>
      <c r="BJ1233" s="59"/>
      <c r="BK1233" s="59"/>
      <c r="BL1233" s="59"/>
      <c r="BM1233" s="59"/>
      <c r="BN1233" s="59"/>
      <c r="BO1233" s="59"/>
      <c r="BP1233" s="59"/>
      <c r="BQ1233" s="59"/>
      <c r="BR1233" s="59"/>
      <c r="BS1233" s="59"/>
      <c r="BT1233" s="59"/>
      <c r="BU1233" s="59"/>
      <c r="BV1233" s="59"/>
      <c r="BW1233" s="59"/>
      <c r="BX1233" s="59"/>
      <c r="BY1233" s="59"/>
      <c r="BZ1233" s="59"/>
      <c r="CA1233" s="59"/>
      <c r="CB1233" s="59"/>
    </row>
    <row r="1234" spans="1:80">
      <c r="A1234" s="74">
        <v>1233</v>
      </c>
      <c r="B1234" s="66" t="s">
        <v>67</v>
      </c>
      <c r="C1234" s="67" t="s">
        <v>303</v>
      </c>
      <c r="D1234" s="59" t="s">
        <v>256</v>
      </c>
      <c r="E1234" s="88"/>
      <c r="F1234" s="59"/>
      <c r="G1234" s="59"/>
      <c r="H1234" s="77" t="s">
        <v>76</v>
      </c>
      <c r="I1234" s="82">
        <v>12000</v>
      </c>
      <c r="J1234" s="59"/>
      <c r="K1234" s="85"/>
      <c r="L1234" s="86"/>
      <c r="M1234" s="87"/>
      <c r="N1234" s="59"/>
      <c r="O1234" s="59"/>
      <c r="P1234" s="59"/>
      <c r="Q1234" s="59"/>
      <c r="R1234" s="59"/>
      <c r="S1234" s="59"/>
      <c r="T1234" s="59"/>
      <c r="U1234" s="59"/>
      <c r="V1234" s="59"/>
      <c r="W1234" s="59"/>
      <c r="X1234" s="59"/>
      <c r="Y1234" s="59"/>
      <c r="Z1234" s="59"/>
      <c r="AA1234" s="59"/>
      <c r="AB1234" s="59"/>
      <c r="AC1234" s="59"/>
      <c r="AD1234" s="59"/>
      <c r="AE1234" s="59"/>
      <c r="AF1234" s="59"/>
      <c r="AG1234" s="59"/>
      <c r="AH1234" s="59"/>
      <c r="AI1234" s="59"/>
      <c r="AJ1234" s="59"/>
      <c r="AK1234" s="59"/>
      <c r="AL1234" s="59"/>
      <c r="AM1234" s="59"/>
      <c r="AN1234" s="59"/>
      <c r="AO1234" s="59"/>
      <c r="AP1234" s="59"/>
      <c r="AQ1234" s="59"/>
      <c r="AR1234" s="59"/>
      <c r="AS1234" s="59"/>
      <c r="AT1234" s="59"/>
      <c r="AU1234" s="59"/>
      <c r="AV1234" s="59"/>
      <c r="AW1234" s="59"/>
      <c r="AX1234" s="59"/>
      <c r="AY1234" s="59"/>
      <c r="AZ1234" s="59"/>
      <c r="BA1234" s="59"/>
      <c r="BB1234" s="59"/>
      <c r="BC1234" s="59"/>
      <c r="BD1234" s="59"/>
      <c r="BE1234" s="59"/>
      <c r="BF1234" s="59"/>
      <c r="BG1234" s="59"/>
      <c r="BH1234" s="59"/>
      <c r="BI1234" s="59"/>
      <c r="BJ1234" s="59"/>
      <c r="BK1234" s="59"/>
      <c r="BL1234" s="59"/>
      <c r="BM1234" s="59"/>
      <c r="BN1234" s="59"/>
      <c r="BO1234" s="59"/>
      <c r="BP1234" s="59"/>
      <c r="BQ1234" s="59"/>
      <c r="BR1234" s="59"/>
      <c r="BS1234" s="59"/>
      <c r="BT1234" s="59"/>
      <c r="BU1234" s="59"/>
      <c r="BV1234" s="59"/>
      <c r="BW1234" s="59"/>
      <c r="BX1234" s="59"/>
      <c r="BY1234" s="59"/>
      <c r="BZ1234" s="59"/>
      <c r="CA1234" s="59"/>
      <c r="CB1234" s="59"/>
    </row>
    <row r="1235" spans="1:80">
      <c r="A1235" s="74">
        <v>1234</v>
      </c>
      <c r="B1235" s="66" t="s">
        <v>67</v>
      </c>
      <c r="C1235" s="67" t="s">
        <v>303</v>
      </c>
      <c r="D1235" s="59" t="s">
        <v>257</v>
      </c>
      <c r="E1235" s="88"/>
      <c r="F1235" s="59"/>
      <c r="G1235" s="59"/>
      <c r="H1235" s="77" t="s">
        <v>76</v>
      </c>
      <c r="I1235" s="82">
        <v>12000</v>
      </c>
      <c r="J1235" s="59"/>
      <c r="K1235" s="85"/>
      <c r="L1235" s="86"/>
      <c r="M1235" s="87"/>
      <c r="N1235" s="59"/>
      <c r="O1235" s="59"/>
      <c r="P1235" s="59"/>
      <c r="Q1235" s="59"/>
      <c r="R1235" s="59"/>
      <c r="S1235" s="59"/>
      <c r="T1235" s="59"/>
      <c r="U1235" s="59"/>
      <c r="V1235" s="59"/>
      <c r="W1235" s="59"/>
      <c r="X1235" s="59"/>
      <c r="Y1235" s="59"/>
      <c r="Z1235" s="59"/>
      <c r="AA1235" s="59"/>
      <c r="AB1235" s="59"/>
      <c r="AC1235" s="59"/>
      <c r="AD1235" s="59"/>
      <c r="AE1235" s="59"/>
      <c r="AF1235" s="59"/>
      <c r="AG1235" s="59"/>
      <c r="AH1235" s="59"/>
      <c r="AI1235" s="59"/>
      <c r="AJ1235" s="59"/>
      <c r="AK1235" s="59"/>
      <c r="AL1235" s="59"/>
      <c r="AM1235" s="59"/>
      <c r="AN1235" s="59"/>
      <c r="AO1235" s="59"/>
      <c r="AP1235" s="59"/>
      <c r="AQ1235" s="59"/>
      <c r="AR1235" s="59"/>
      <c r="AS1235" s="59"/>
      <c r="AT1235" s="59"/>
      <c r="AU1235" s="59"/>
      <c r="AV1235" s="59"/>
      <c r="AW1235" s="59"/>
      <c r="AX1235" s="59"/>
      <c r="AY1235" s="59"/>
      <c r="AZ1235" s="59"/>
      <c r="BA1235" s="59"/>
      <c r="BB1235" s="59"/>
      <c r="BC1235" s="59"/>
      <c r="BD1235" s="59"/>
      <c r="BE1235" s="59"/>
      <c r="BF1235" s="59"/>
      <c r="BG1235" s="59"/>
      <c r="BH1235" s="59"/>
      <c r="BI1235" s="59"/>
      <c r="BJ1235" s="59"/>
      <c r="BK1235" s="59"/>
      <c r="BL1235" s="59"/>
      <c r="BM1235" s="59"/>
      <c r="BN1235" s="59"/>
      <c r="BO1235" s="59"/>
      <c r="BP1235" s="59"/>
      <c r="BQ1235" s="59"/>
      <c r="BR1235" s="59"/>
      <c r="BS1235" s="59"/>
      <c r="BT1235" s="59"/>
      <c r="BU1235" s="59"/>
      <c r="BV1235" s="59"/>
      <c r="BW1235" s="59"/>
      <c r="BX1235" s="59"/>
      <c r="BY1235" s="59"/>
      <c r="BZ1235" s="59"/>
      <c r="CA1235" s="59"/>
      <c r="CB1235" s="59"/>
    </row>
    <row r="1236" spans="1:80">
      <c r="A1236" s="74">
        <v>1235</v>
      </c>
      <c r="B1236" s="66" t="s">
        <v>67</v>
      </c>
      <c r="C1236" s="67" t="s">
        <v>303</v>
      </c>
      <c r="D1236" s="59" t="s">
        <v>258</v>
      </c>
      <c r="E1236" s="88"/>
      <c r="F1236" s="59"/>
      <c r="G1236" s="59"/>
      <c r="H1236" s="77" t="s">
        <v>76</v>
      </c>
      <c r="I1236" s="82">
        <v>12000</v>
      </c>
      <c r="J1236" s="59"/>
      <c r="K1236" s="85"/>
      <c r="L1236" s="86"/>
      <c r="M1236" s="87"/>
      <c r="N1236" s="59"/>
      <c r="O1236" s="59"/>
      <c r="P1236" s="59"/>
      <c r="Q1236" s="59"/>
      <c r="R1236" s="59"/>
      <c r="S1236" s="59"/>
      <c r="T1236" s="59"/>
      <c r="U1236" s="59"/>
      <c r="V1236" s="59"/>
      <c r="W1236" s="59"/>
      <c r="X1236" s="59"/>
      <c r="Y1236" s="59"/>
      <c r="Z1236" s="59"/>
      <c r="AA1236" s="59"/>
      <c r="AB1236" s="59"/>
      <c r="AC1236" s="59"/>
      <c r="AD1236" s="59"/>
      <c r="AE1236" s="59"/>
      <c r="AF1236" s="59"/>
      <c r="AG1236" s="59"/>
      <c r="AH1236" s="59"/>
      <c r="AI1236" s="59"/>
      <c r="AJ1236" s="59"/>
      <c r="AK1236" s="59"/>
      <c r="AL1236" s="59"/>
      <c r="AM1236" s="59"/>
      <c r="AN1236" s="59"/>
      <c r="AO1236" s="59"/>
      <c r="AP1236" s="59"/>
      <c r="AQ1236" s="59"/>
      <c r="AR1236" s="59"/>
      <c r="AS1236" s="59"/>
      <c r="AT1236" s="59"/>
      <c r="AU1236" s="59"/>
      <c r="AV1236" s="59"/>
      <c r="AW1236" s="59"/>
      <c r="AX1236" s="59"/>
      <c r="AY1236" s="59"/>
      <c r="AZ1236" s="59"/>
      <c r="BA1236" s="59"/>
      <c r="BB1236" s="59"/>
      <c r="BC1236" s="59"/>
      <c r="BD1236" s="59"/>
      <c r="BE1236" s="59"/>
      <c r="BF1236" s="59"/>
      <c r="BG1236" s="59"/>
      <c r="BH1236" s="59"/>
      <c r="BI1236" s="59"/>
      <c r="BJ1236" s="59"/>
      <c r="BK1236" s="59"/>
      <c r="BL1236" s="59"/>
      <c r="BM1236" s="59"/>
      <c r="BN1236" s="59"/>
      <c r="BO1236" s="59"/>
      <c r="BP1236" s="59"/>
      <c r="BQ1236" s="59"/>
      <c r="BR1236" s="59"/>
      <c r="BS1236" s="59"/>
      <c r="BT1236" s="59"/>
      <c r="BU1236" s="59"/>
      <c r="BV1236" s="59"/>
      <c r="BW1236" s="59"/>
      <c r="BX1236" s="59"/>
      <c r="BY1236" s="59"/>
      <c r="BZ1236" s="59"/>
      <c r="CA1236" s="59"/>
      <c r="CB1236" s="59"/>
    </row>
    <row r="1237" spans="1:80">
      <c r="A1237" s="74">
        <v>1236</v>
      </c>
      <c r="B1237" s="66" t="s">
        <v>67</v>
      </c>
      <c r="C1237" s="67" t="s">
        <v>303</v>
      </c>
      <c r="D1237" s="59" t="s">
        <v>259</v>
      </c>
      <c r="E1237" s="88"/>
      <c r="F1237" s="59"/>
      <c r="G1237" s="59"/>
      <c r="H1237" s="77" t="s">
        <v>76</v>
      </c>
      <c r="I1237" s="82">
        <v>12000</v>
      </c>
      <c r="J1237" s="59"/>
      <c r="K1237" s="85"/>
      <c r="L1237" s="86"/>
      <c r="M1237" s="87"/>
      <c r="N1237" s="59"/>
      <c r="O1237" s="59"/>
      <c r="P1237" s="59"/>
      <c r="Q1237" s="59"/>
      <c r="R1237" s="59"/>
      <c r="S1237" s="59"/>
      <c r="T1237" s="59"/>
      <c r="U1237" s="59"/>
      <c r="V1237" s="59"/>
      <c r="W1237" s="59"/>
      <c r="X1237" s="59"/>
      <c r="Y1237" s="59"/>
      <c r="Z1237" s="59"/>
      <c r="AA1237" s="59"/>
      <c r="AB1237" s="59"/>
      <c r="AC1237" s="59"/>
      <c r="AD1237" s="59"/>
      <c r="AE1237" s="59"/>
      <c r="AF1237" s="59"/>
      <c r="AG1237" s="59"/>
      <c r="AH1237" s="59"/>
      <c r="AI1237" s="59"/>
      <c r="AJ1237" s="59"/>
      <c r="AK1237" s="59"/>
      <c r="AL1237" s="59"/>
      <c r="AM1237" s="59"/>
      <c r="AN1237" s="59"/>
      <c r="AO1237" s="59"/>
      <c r="AP1237" s="59"/>
      <c r="AQ1237" s="59"/>
      <c r="AR1237" s="59"/>
      <c r="AS1237" s="59"/>
      <c r="AT1237" s="59"/>
      <c r="AU1237" s="59"/>
      <c r="AV1237" s="59"/>
      <c r="AW1237" s="59"/>
      <c r="AX1237" s="59"/>
      <c r="AY1237" s="59"/>
      <c r="AZ1237" s="59"/>
      <c r="BA1237" s="59"/>
      <c r="BB1237" s="59"/>
      <c r="BC1237" s="59"/>
      <c r="BD1237" s="59"/>
      <c r="BE1237" s="59"/>
      <c r="BF1237" s="59"/>
      <c r="BG1237" s="59"/>
      <c r="BH1237" s="59"/>
      <c r="BI1237" s="59"/>
      <c r="BJ1237" s="59"/>
      <c r="BK1237" s="59"/>
      <c r="BL1237" s="59"/>
      <c r="BM1237" s="59"/>
      <c r="BN1237" s="59"/>
      <c r="BO1237" s="59"/>
      <c r="BP1237" s="59"/>
      <c r="BQ1237" s="59"/>
      <c r="BR1237" s="59"/>
      <c r="BS1237" s="59"/>
      <c r="BT1237" s="59"/>
      <c r="BU1237" s="59"/>
      <c r="BV1237" s="59"/>
      <c r="BW1237" s="59"/>
      <c r="BX1237" s="59"/>
      <c r="BY1237" s="59"/>
      <c r="BZ1237" s="59"/>
      <c r="CA1237" s="59"/>
      <c r="CB1237" s="59"/>
    </row>
    <row r="1238" spans="1:80">
      <c r="A1238" s="74">
        <v>1237</v>
      </c>
      <c r="B1238" s="66" t="s">
        <v>67</v>
      </c>
      <c r="C1238" s="67" t="s">
        <v>303</v>
      </c>
      <c r="D1238" s="59" t="s">
        <v>260</v>
      </c>
      <c r="E1238" s="88"/>
      <c r="F1238" s="59"/>
      <c r="G1238" s="59"/>
      <c r="H1238" s="77" t="s">
        <v>76</v>
      </c>
      <c r="I1238" s="82">
        <v>12000</v>
      </c>
      <c r="J1238" s="59"/>
      <c r="K1238" s="85"/>
      <c r="L1238" s="86"/>
      <c r="M1238" s="87"/>
      <c r="N1238" s="59"/>
      <c r="O1238" s="59"/>
      <c r="P1238" s="59"/>
      <c r="Q1238" s="59"/>
      <c r="R1238" s="59"/>
      <c r="S1238" s="59"/>
      <c r="T1238" s="59"/>
      <c r="U1238" s="59"/>
      <c r="V1238" s="59"/>
      <c r="W1238" s="59"/>
      <c r="X1238" s="59"/>
      <c r="Y1238" s="59"/>
      <c r="Z1238" s="59"/>
      <c r="AA1238" s="59"/>
      <c r="AB1238" s="59"/>
      <c r="AC1238" s="59"/>
      <c r="AD1238" s="59"/>
      <c r="AE1238" s="59"/>
      <c r="AF1238" s="59"/>
      <c r="AG1238" s="59"/>
      <c r="AH1238" s="59"/>
      <c r="AI1238" s="59"/>
      <c r="AJ1238" s="59"/>
      <c r="AK1238" s="59"/>
      <c r="AL1238" s="59"/>
      <c r="AM1238" s="59"/>
      <c r="AN1238" s="59"/>
      <c r="AO1238" s="59"/>
      <c r="AP1238" s="59"/>
      <c r="AQ1238" s="59"/>
      <c r="AR1238" s="59"/>
      <c r="AS1238" s="59"/>
      <c r="AT1238" s="59"/>
      <c r="AU1238" s="59"/>
      <c r="AV1238" s="59"/>
      <c r="AW1238" s="59"/>
      <c r="AX1238" s="59"/>
      <c r="AY1238" s="59"/>
      <c r="AZ1238" s="59"/>
      <c r="BA1238" s="59"/>
      <c r="BB1238" s="59"/>
      <c r="BC1238" s="59"/>
      <c r="BD1238" s="59"/>
      <c r="BE1238" s="59"/>
      <c r="BF1238" s="59"/>
      <c r="BG1238" s="59"/>
      <c r="BH1238" s="59"/>
      <c r="BI1238" s="59"/>
      <c r="BJ1238" s="59"/>
      <c r="BK1238" s="59"/>
      <c r="BL1238" s="59"/>
      <c r="BM1238" s="59"/>
      <c r="BN1238" s="59"/>
      <c r="BO1238" s="59"/>
      <c r="BP1238" s="59"/>
      <c r="BQ1238" s="59"/>
      <c r="BR1238" s="59"/>
      <c r="BS1238" s="59"/>
      <c r="BT1238" s="59"/>
      <c r="BU1238" s="59"/>
      <c r="BV1238" s="59"/>
      <c r="BW1238" s="59"/>
      <c r="BX1238" s="59"/>
      <c r="BY1238" s="59"/>
      <c r="BZ1238" s="59"/>
      <c r="CA1238" s="59"/>
      <c r="CB1238" s="59"/>
    </row>
    <row r="1239" spans="1:80">
      <c r="A1239" s="74">
        <v>1238</v>
      </c>
      <c r="B1239" s="66" t="s">
        <v>67</v>
      </c>
      <c r="C1239" s="67" t="s">
        <v>303</v>
      </c>
      <c r="D1239" s="59" t="s">
        <v>261</v>
      </c>
      <c r="E1239" s="88"/>
      <c r="F1239" s="59"/>
      <c r="G1239" s="59"/>
      <c r="H1239" s="77" t="s">
        <v>76</v>
      </c>
      <c r="I1239" s="82">
        <v>12000</v>
      </c>
      <c r="J1239" s="59"/>
      <c r="K1239" s="85"/>
      <c r="L1239" s="86"/>
      <c r="M1239" s="87"/>
      <c r="N1239" s="59"/>
      <c r="O1239" s="59"/>
      <c r="P1239" s="59"/>
      <c r="Q1239" s="59"/>
      <c r="R1239" s="59"/>
      <c r="S1239" s="59"/>
      <c r="T1239" s="59"/>
      <c r="U1239" s="59"/>
      <c r="V1239" s="59"/>
      <c r="W1239" s="59"/>
      <c r="X1239" s="59"/>
      <c r="Y1239" s="59"/>
      <c r="Z1239" s="59"/>
      <c r="AA1239" s="59"/>
      <c r="AB1239" s="59"/>
      <c r="AC1239" s="59"/>
      <c r="AD1239" s="59"/>
      <c r="AE1239" s="59"/>
      <c r="AF1239" s="59"/>
      <c r="AG1239" s="59"/>
      <c r="AH1239" s="59"/>
      <c r="AI1239" s="59"/>
      <c r="AJ1239" s="59"/>
      <c r="AK1239" s="59"/>
      <c r="AL1239" s="59"/>
      <c r="AM1239" s="59"/>
      <c r="AN1239" s="59"/>
      <c r="AO1239" s="59"/>
      <c r="AP1239" s="59"/>
      <c r="AQ1239" s="59"/>
      <c r="AR1239" s="59"/>
      <c r="AS1239" s="59"/>
      <c r="AT1239" s="59"/>
      <c r="AU1239" s="59"/>
      <c r="AV1239" s="59"/>
      <c r="AW1239" s="59"/>
      <c r="AX1239" s="59"/>
      <c r="AY1239" s="59"/>
      <c r="AZ1239" s="59"/>
      <c r="BA1239" s="59"/>
      <c r="BB1239" s="59"/>
      <c r="BC1239" s="59"/>
      <c r="BD1239" s="59"/>
      <c r="BE1239" s="59"/>
      <c r="BF1239" s="59"/>
      <c r="BG1239" s="59"/>
      <c r="BH1239" s="59"/>
      <c r="BI1239" s="59"/>
      <c r="BJ1239" s="59"/>
      <c r="BK1239" s="59"/>
      <c r="BL1239" s="59"/>
      <c r="BM1239" s="59"/>
      <c r="BN1239" s="59"/>
      <c r="BO1239" s="59"/>
      <c r="BP1239" s="59"/>
      <c r="BQ1239" s="59"/>
      <c r="BR1239" s="59"/>
      <c r="BS1239" s="59"/>
      <c r="BT1239" s="59"/>
      <c r="BU1239" s="59"/>
      <c r="BV1239" s="59"/>
      <c r="BW1239" s="59"/>
      <c r="BX1239" s="59"/>
      <c r="BY1239" s="59"/>
      <c r="BZ1239" s="59"/>
      <c r="CA1239" s="59"/>
      <c r="CB1239" s="59"/>
    </row>
    <row r="1240" spans="1:80">
      <c r="A1240" s="74">
        <v>1239</v>
      </c>
      <c r="B1240" s="66" t="s">
        <v>67</v>
      </c>
      <c r="C1240" s="67" t="s">
        <v>303</v>
      </c>
      <c r="D1240" s="59" t="s">
        <v>262</v>
      </c>
      <c r="E1240" s="88"/>
      <c r="F1240" s="59"/>
      <c r="G1240" s="59"/>
      <c r="H1240" s="77" t="s">
        <v>76</v>
      </c>
      <c r="I1240" s="82">
        <v>12000</v>
      </c>
      <c r="J1240" s="59"/>
      <c r="K1240" s="85"/>
      <c r="L1240" s="86"/>
      <c r="M1240" s="87"/>
      <c r="N1240" s="59"/>
      <c r="O1240" s="59"/>
      <c r="P1240" s="59"/>
      <c r="Q1240" s="59"/>
      <c r="R1240" s="59"/>
      <c r="S1240" s="59"/>
      <c r="T1240" s="59"/>
      <c r="U1240" s="59"/>
      <c r="V1240" s="59"/>
      <c r="W1240" s="59"/>
      <c r="X1240" s="59"/>
      <c r="Y1240" s="59"/>
      <c r="Z1240" s="59"/>
      <c r="AA1240" s="59"/>
      <c r="AB1240" s="59"/>
      <c r="AC1240" s="59"/>
      <c r="AD1240" s="59"/>
      <c r="AE1240" s="59"/>
      <c r="AF1240" s="59"/>
      <c r="AG1240" s="59"/>
      <c r="AH1240" s="59"/>
      <c r="AI1240" s="59"/>
      <c r="AJ1240" s="59"/>
      <c r="AK1240" s="59"/>
      <c r="AL1240" s="59"/>
      <c r="AM1240" s="59"/>
      <c r="AN1240" s="59"/>
      <c r="AO1240" s="59"/>
      <c r="AP1240" s="59"/>
      <c r="AQ1240" s="59"/>
      <c r="AR1240" s="59"/>
      <c r="AS1240" s="59"/>
      <c r="AT1240" s="59"/>
      <c r="AU1240" s="59"/>
      <c r="AV1240" s="59"/>
      <c r="AW1240" s="59"/>
      <c r="AX1240" s="59"/>
      <c r="AY1240" s="59"/>
      <c r="AZ1240" s="59"/>
      <c r="BA1240" s="59"/>
      <c r="BB1240" s="59"/>
      <c r="BC1240" s="59"/>
      <c r="BD1240" s="59"/>
      <c r="BE1240" s="59"/>
      <c r="BF1240" s="59"/>
      <c r="BG1240" s="59"/>
      <c r="BH1240" s="59"/>
      <c r="BI1240" s="59"/>
      <c r="BJ1240" s="59"/>
      <c r="BK1240" s="59"/>
      <c r="BL1240" s="59"/>
      <c r="BM1240" s="59"/>
      <c r="BN1240" s="59"/>
      <c r="BO1240" s="59"/>
      <c r="BP1240" s="59"/>
      <c r="BQ1240" s="59"/>
      <c r="BR1240" s="59"/>
      <c r="BS1240" s="59"/>
      <c r="BT1240" s="59"/>
      <c r="BU1240" s="59"/>
      <c r="BV1240" s="59"/>
      <c r="BW1240" s="59"/>
      <c r="BX1240" s="59"/>
      <c r="BY1240" s="59"/>
      <c r="BZ1240" s="59"/>
      <c r="CA1240" s="59"/>
      <c r="CB1240" s="59"/>
    </row>
    <row r="1241" spans="1:80">
      <c r="A1241" s="74">
        <v>1240</v>
      </c>
      <c r="B1241" s="66" t="s">
        <v>67</v>
      </c>
      <c r="C1241" s="67" t="s">
        <v>303</v>
      </c>
      <c r="D1241" s="59" t="s">
        <v>263</v>
      </c>
      <c r="E1241" s="88"/>
      <c r="F1241" s="59"/>
      <c r="G1241" s="59"/>
      <c r="H1241" s="77" t="s">
        <v>76</v>
      </c>
      <c r="I1241" s="82">
        <v>12000</v>
      </c>
      <c r="J1241" s="59"/>
      <c r="K1241" s="85"/>
      <c r="L1241" s="86"/>
      <c r="M1241" s="87"/>
      <c r="N1241" s="59"/>
      <c r="O1241" s="59"/>
      <c r="P1241" s="59"/>
      <c r="Q1241" s="59"/>
      <c r="R1241" s="59"/>
      <c r="S1241" s="59"/>
      <c r="T1241" s="59"/>
      <c r="U1241" s="59"/>
      <c r="V1241" s="59"/>
      <c r="W1241" s="59"/>
      <c r="X1241" s="59"/>
      <c r="Y1241" s="59"/>
      <c r="Z1241" s="59"/>
      <c r="AA1241" s="59"/>
      <c r="AB1241" s="59"/>
      <c r="AC1241" s="59"/>
      <c r="AD1241" s="59"/>
      <c r="AE1241" s="59"/>
      <c r="AF1241" s="59"/>
      <c r="AG1241" s="59"/>
      <c r="AH1241" s="59"/>
      <c r="AI1241" s="59"/>
      <c r="AJ1241" s="59"/>
      <c r="AK1241" s="59"/>
      <c r="AL1241" s="59"/>
      <c r="AM1241" s="59"/>
      <c r="AN1241" s="59"/>
      <c r="AO1241" s="59"/>
      <c r="AP1241" s="59"/>
      <c r="AQ1241" s="59"/>
      <c r="AR1241" s="59"/>
      <c r="AS1241" s="59"/>
      <c r="AT1241" s="59"/>
      <c r="AU1241" s="59"/>
      <c r="AV1241" s="59"/>
      <c r="AW1241" s="59"/>
      <c r="AX1241" s="59"/>
      <c r="AY1241" s="59"/>
      <c r="AZ1241" s="59"/>
      <c r="BA1241" s="59"/>
      <c r="BB1241" s="59"/>
      <c r="BC1241" s="59"/>
      <c r="BD1241" s="59"/>
      <c r="BE1241" s="59"/>
      <c r="BF1241" s="59"/>
      <c r="BG1241" s="59"/>
      <c r="BH1241" s="59"/>
      <c r="BI1241" s="59"/>
      <c r="BJ1241" s="59"/>
      <c r="BK1241" s="59"/>
      <c r="BL1241" s="59"/>
      <c r="BM1241" s="59"/>
      <c r="BN1241" s="59"/>
      <c r="BO1241" s="59"/>
      <c r="BP1241" s="59"/>
      <c r="BQ1241" s="59"/>
      <c r="BR1241" s="59"/>
      <c r="BS1241" s="59"/>
      <c r="BT1241" s="59"/>
      <c r="BU1241" s="59"/>
      <c r="BV1241" s="59"/>
      <c r="BW1241" s="59"/>
      <c r="BX1241" s="59"/>
      <c r="BY1241" s="59"/>
      <c r="BZ1241" s="59"/>
      <c r="CA1241" s="59"/>
      <c r="CB1241" s="59"/>
    </row>
    <row r="1242" spans="1:80">
      <c r="A1242" s="74">
        <v>1241</v>
      </c>
      <c r="B1242" s="66" t="s">
        <v>67</v>
      </c>
      <c r="C1242" s="67" t="s">
        <v>303</v>
      </c>
      <c r="D1242" s="59" t="s">
        <v>264</v>
      </c>
      <c r="E1242" s="88"/>
      <c r="F1242" s="59"/>
      <c r="G1242" s="59"/>
      <c r="H1242" s="77" t="s">
        <v>76</v>
      </c>
      <c r="I1242" s="82">
        <v>12000</v>
      </c>
      <c r="J1242" s="59"/>
      <c r="K1242" s="85"/>
      <c r="L1242" s="86"/>
      <c r="M1242" s="87"/>
      <c r="N1242" s="59"/>
      <c r="O1242" s="59"/>
      <c r="P1242" s="59"/>
      <c r="Q1242" s="59"/>
      <c r="R1242" s="59"/>
      <c r="S1242" s="59"/>
      <c r="T1242" s="59"/>
      <c r="U1242" s="59"/>
      <c r="V1242" s="59"/>
      <c r="W1242" s="59"/>
      <c r="X1242" s="59"/>
      <c r="Y1242" s="59"/>
      <c r="Z1242" s="59"/>
      <c r="AA1242" s="59"/>
      <c r="AB1242" s="59"/>
      <c r="AC1242" s="59"/>
      <c r="AD1242" s="59"/>
      <c r="AE1242" s="59"/>
      <c r="AF1242" s="59"/>
      <c r="AG1242" s="59"/>
      <c r="AH1242" s="59"/>
      <c r="AI1242" s="59"/>
      <c r="AJ1242" s="59"/>
      <c r="AK1242" s="59"/>
      <c r="AL1242" s="59"/>
      <c r="AM1242" s="59"/>
      <c r="AN1242" s="59"/>
      <c r="AO1242" s="59"/>
      <c r="AP1242" s="59"/>
      <c r="AQ1242" s="59"/>
      <c r="AR1242" s="59"/>
      <c r="AS1242" s="59"/>
      <c r="AT1242" s="59"/>
      <c r="AU1242" s="59"/>
      <c r="AV1242" s="59"/>
      <c r="AW1242" s="59"/>
      <c r="AX1242" s="59"/>
      <c r="AY1242" s="59"/>
      <c r="AZ1242" s="59"/>
      <c r="BA1242" s="59"/>
      <c r="BB1242" s="59"/>
      <c r="BC1242" s="59"/>
      <c r="BD1242" s="59"/>
      <c r="BE1242" s="59"/>
      <c r="BF1242" s="59"/>
      <c r="BG1242" s="59"/>
      <c r="BH1242" s="59"/>
      <c r="BI1242" s="59"/>
      <c r="BJ1242" s="59"/>
      <c r="BK1242" s="59"/>
      <c r="BL1242" s="59"/>
      <c r="BM1242" s="59"/>
      <c r="BN1242" s="59"/>
      <c r="BO1242" s="59"/>
      <c r="BP1242" s="59"/>
      <c r="BQ1242" s="59"/>
      <c r="BR1242" s="59"/>
      <c r="BS1242" s="59"/>
      <c r="BT1242" s="59"/>
      <c r="BU1242" s="59"/>
      <c r="BV1242" s="59"/>
      <c r="BW1242" s="59"/>
      <c r="BX1242" s="59"/>
      <c r="BY1242" s="59"/>
      <c r="BZ1242" s="59"/>
      <c r="CA1242" s="59"/>
      <c r="CB1242" s="59"/>
    </row>
    <row r="1243" spans="1:80">
      <c r="A1243" s="74">
        <v>1242</v>
      </c>
      <c r="B1243" s="66" t="s">
        <v>67</v>
      </c>
      <c r="C1243" s="67" t="s">
        <v>303</v>
      </c>
      <c r="D1243" s="59" t="s">
        <v>265</v>
      </c>
      <c r="E1243" s="88"/>
      <c r="F1243" s="59"/>
      <c r="G1243" s="59"/>
      <c r="H1243" s="77" t="s">
        <v>76</v>
      </c>
      <c r="I1243" s="82">
        <v>12000</v>
      </c>
      <c r="J1243" s="59"/>
      <c r="K1243" s="85"/>
      <c r="L1243" s="86"/>
      <c r="M1243" s="87"/>
      <c r="N1243" s="59"/>
      <c r="O1243" s="59"/>
      <c r="P1243" s="59"/>
      <c r="Q1243" s="59"/>
      <c r="R1243" s="59"/>
      <c r="S1243" s="59"/>
      <c r="T1243" s="59"/>
      <c r="U1243" s="59"/>
      <c r="V1243" s="59"/>
      <c r="W1243" s="59"/>
      <c r="X1243" s="59"/>
      <c r="Y1243" s="59"/>
      <c r="Z1243" s="59"/>
      <c r="AA1243" s="59"/>
      <c r="AB1243" s="59"/>
      <c r="AC1243" s="59"/>
      <c r="AD1243" s="59"/>
      <c r="AE1243" s="59"/>
      <c r="AF1243" s="59"/>
      <c r="AG1243" s="59"/>
      <c r="AH1243" s="59"/>
      <c r="AI1243" s="59"/>
      <c r="AJ1243" s="59"/>
      <c r="AK1243" s="59"/>
      <c r="AL1243" s="59"/>
      <c r="AM1243" s="59"/>
      <c r="AN1243" s="59"/>
      <c r="AO1243" s="59"/>
      <c r="AP1243" s="59"/>
      <c r="AQ1243" s="59"/>
      <c r="AR1243" s="59"/>
      <c r="AS1243" s="59"/>
      <c r="AT1243" s="59"/>
      <c r="AU1243" s="59"/>
      <c r="AV1243" s="59"/>
      <c r="AW1243" s="59"/>
      <c r="AX1243" s="59"/>
      <c r="AY1243" s="59"/>
      <c r="AZ1243" s="59"/>
      <c r="BA1243" s="59"/>
      <c r="BB1243" s="59"/>
      <c r="BC1243" s="59"/>
      <c r="BD1243" s="59"/>
      <c r="BE1243" s="59"/>
      <c r="BF1243" s="59"/>
      <c r="BG1243" s="59"/>
      <c r="BH1243" s="59"/>
      <c r="BI1243" s="59"/>
      <c r="BJ1243" s="59"/>
      <c r="BK1243" s="59"/>
      <c r="BL1243" s="59"/>
      <c r="BM1243" s="59"/>
      <c r="BN1243" s="59"/>
      <c r="BO1243" s="59"/>
      <c r="BP1243" s="59"/>
      <c r="BQ1243" s="59"/>
      <c r="BR1243" s="59"/>
      <c r="BS1243" s="59"/>
      <c r="BT1243" s="59"/>
      <c r="BU1243" s="59"/>
      <c r="BV1243" s="59"/>
      <c r="BW1243" s="59"/>
      <c r="BX1243" s="59"/>
      <c r="BY1243" s="59"/>
      <c r="BZ1243" s="59"/>
      <c r="CA1243" s="59"/>
      <c r="CB1243" s="59"/>
    </row>
    <row r="1244" spans="1:80">
      <c r="A1244" s="74">
        <v>1243</v>
      </c>
      <c r="B1244" s="66" t="s">
        <v>67</v>
      </c>
      <c r="C1244" s="67" t="s">
        <v>303</v>
      </c>
      <c r="D1244" s="59" t="s">
        <v>266</v>
      </c>
      <c r="E1244" s="88"/>
      <c r="F1244" s="59"/>
      <c r="G1244" s="59"/>
      <c r="H1244" s="77" t="s">
        <v>76</v>
      </c>
      <c r="I1244" s="82">
        <v>12000</v>
      </c>
      <c r="J1244" s="59"/>
      <c r="K1244" s="85"/>
      <c r="L1244" s="86"/>
      <c r="M1244" s="87"/>
      <c r="N1244" s="59"/>
      <c r="O1244" s="59"/>
      <c r="P1244" s="59"/>
      <c r="Q1244" s="59"/>
      <c r="R1244" s="59"/>
      <c r="S1244" s="59"/>
      <c r="T1244" s="59"/>
      <c r="U1244" s="59"/>
      <c r="V1244" s="59"/>
      <c r="W1244" s="59"/>
      <c r="X1244" s="59"/>
      <c r="Y1244" s="59"/>
      <c r="Z1244" s="59"/>
      <c r="AA1244" s="59"/>
      <c r="AB1244" s="59"/>
      <c r="AC1244" s="59"/>
      <c r="AD1244" s="59"/>
      <c r="AE1244" s="59"/>
      <c r="AF1244" s="59"/>
      <c r="AG1244" s="59"/>
      <c r="AH1244" s="59"/>
      <c r="AI1244" s="59"/>
      <c r="AJ1244" s="59"/>
      <c r="AK1244" s="59"/>
      <c r="AL1244" s="59"/>
      <c r="AM1244" s="59"/>
      <c r="AN1244" s="59"/>
      <c r="AO1244" s="59"/>
      <c r="AP1244" s="59"/>
      <c r="AQ1244" s="59"/>
      <c r="AR1244" s="59"/>
      <c r="AS1244" s="59"/>
      <c r="AT1244" s="59"/>
      <c r="AU1244" s="59"/>
      <c r="AV1244" s="59"/>
      <c r="AW1244" s="59"/>
      <c r="AX1244" s="59"/>
      <c r="AY1244" s="59"/>
      <c r="AZ1244" s="59"/>
      <c r="BA1244" s="59"/>
      <c r="BB1244" s="59"/>
      <c r="BC1244" s="59"/>
      <c r="BD1244" s="59"/>
      <c r="BE1244" s="59"/>
      <c r="BF1244" s="59"/>
      <c r="BG1244" s="59"/>
      <c r="BH1244" s="59"/>
      <c r="BI1244" s="59"/>
      <c r="BJ1244" s="59"/>
      <c r="BK1244" s="59"/>
      <c r="BL1244" s="59"/>
      <c r="BM1244" s="59"/>
      <c r="BN1244" s="59"/>
      <c r="BO1244" s="59"/>
      <c r="BP1244" s="59"/>
      <c r="BQ1244" s="59"/>
      <c r="BR1244" s="59"/>
      <c r="BS1244" s="59"/>
      <c r="BT1244" s="59"/>
      <c r="BU1244" s="59"/>
      <c r="BV1244" s="59"/>
      <c r="BW1244" s="59"/>
      <c r="BX1244" s="59"/>
      <c r="BY1244" s="59"/>
      <c r="BZ1244" s="59"/>
      <c r="CA1244" s="59"/>
      <c r="CB1244" s="59"/>
    </row>
    <row r="1245" spans="1:80">
      <c r="A1245" s="74">
        <v>1244</v>
      </c>
      <c r="B1245" s="66" t="s">
        <v>67</v>
      </c>
      <c r="C1245" s="67" t="s">
        <v>303</v>
      </c>
      <c r="D1245" s="59" t="s">
        <v>267</v>
      </c>
      <c r="E1245" s="88"/>
      <c r="F1245" s="59"/>
      <c r="G1245" s="59"/>
      <c r="H1245" s="77" t="s">
        <v>76</v>
      </c>
      <c r="I1245" s="82">
        <v>12000</v>
      </c>
      <c r="J1245" s="59"/>
      <c r="K1245" s="85"/>
      <c r="L1245" s="86"/>
      <c r="M1245" s="87"/>
      <c r="N1245" s="59"/>
      <c r="O1245" s="59"/>
      <c r="P1245" s="59"/>
      <c r="Q1245" s="59"/>
      <c r="R1245" s="59"/>
      <c r="S1245" s="59"/>
      <c r="T1245" s="59"/>
      <c r="U1245" s="59"/>
      <c r="V1245" s="59"/>
      <c r="W1245" s="59"/>
      <c r="X1245" s="59"/>
      <c r="Y1245" s="59"/>
      <c r="Z1245" s="59"/>
      <c r="AA1245" s="59"/>
      <c r="AB1245" s="59"/>
      <c r="AC1245" s="59"/>
      <c r="AD1245" s="59"/>
      <c r="AE1245" s="59"/>
      <c r="AF1245" s="59"/>
      <c r="AG1245" s="59"/>
      <c r="AH1245" s="59"/>
      <c r="AI1245" s="59"/>
      <c r="AJ1245" s="59"/>
      <c r="AK1245" s="59"/>
      <c r="AL1245" s="59"/>
      <c r="AM1245" s="59"/>
      <c r="AN1245" s="59"/>
      <c r="AO1245" s="59"/>
      <c r="AP1245" s="59"/>
      <c r="AQ1245" s="59"/>
      <c r="AR1245" s="59"/>
      <c r="AS1245" s="59"/>
      <c r="AT1245" s="59"/>
      <c r="AU1245" s="59"/>
      <c r="AV1245" s="59"/>
      <c r="AW1245" s="59"/>
      <c r="AX1245" s="59"/>
      <c r="AY1245" s="59"/>
      <c r="AZ1245" s="59"/>
      <c r="BA1245" s="59"/>
      <c r="BB1245" s="59"/>
      <c r="BC1245" s="59"/>
      <c r="BD1245" s="59"/>
      <c r="BE1245" s="59"/>
      <c r="BF1245" s="59"/>
      <c r="BG1245" s="59"/>
      <c r="BH1245" s="59"/>
      <c r="BI1245" s="59"/>
      <c r="BJ1245" s="59"/>
      <c r="BK1245" s="59"/>
      <c r="BL1245" s="59"/>
      <c r="BM1245" s="59"/>
      <c r="BN1245" s="59"/>
      <c r="BO1245" s="59"/>
      <c r="BP1245" s="59"/>
      <c r="BQ1245" s="59"/>
      <c r="BR1245" s="59"/>
      <c r="BS1245" s="59"/>
      <c r="BT1245" s="59"/>
      <c r="BU1245" s="59"/>
      <c r="BV1245" s="59"/>
      <c r="BW1245" s="59"/>
      <c r="BX1245" s="59"/>
      <c r="BY1245" s="59"/>
      <c r="BZ1245" s="59"/>
      <c r="CA1245" s="59"/>
      <c r="CB1245" s="59"/>
    </row>
    <row r="1246" spans="1:80">
      <c r="A1246" s="74">
        <v>1245</v>
      </c>
      <c r="B1246" s="66" t="s">
        <v>67</v>
      </c>
      <c r="C1246" s="67" t="s">
        <v>303</v>
      </c>
      <c r="D1246" s="59" t="s">
        <v>268</v>
      </c>
      <c r="E1246" s="88"/>
      <c r="F1246" s="59"/>
      <c r="G1246" s="59"/>
      <c r="H1246" s="77" t="s">
        <v>76</v>
      </c>
      <c r="I1246" s="82">
        <v>12000</v>
      </c>
      <c r="J1246" s="59"/>
      <c r="K1246" s="85"/>
      <c r="L1246" s="86"/>
      <c r="M1246" s="87"/>
      <c r="N1246" s="59"/>
      <c r="O1246" s="59"/>
      <c r="P1246" s="59"/>
      <c r="Q1246" s="59"/>
      <c r="R1246" s="59"/>
      <c r="S1246" s="59"/>
      <c r="T1246" s="59"/>
      <c r="U1246" s="59"/>
      <c r="V1246" s="59"/>
      <c r="W1246" s="59"/>
      <c r="X1246" s="59"/>
      <c r="Y1246" s="59"/>
      <c r="Z1246" s="59"/>
      <c r="AA1246" s="59"/>
      <c r="AB1246" s="59"/>
      <c r="AC1246" s="59"/>
      <c r="AD1246" s="59"/>
      <c r="AE1246" s="59"/>
      <c r="AF1246" s="59"/>
      <c r="AG1246" s="59"/>
      <c r="AH1246" s="59"/>
      <c r="AI1246" s="59"/>
      <c r="AJ1246" s="59"/>
      <c r="AK1246" s="59"/>
      <c r="AL1246" s="59"/>
      <c r="AM1246" s="59"/>
      <c r="AN1246" s="59"/>
      <c r="AO1246" s="59"/>
      <c r="AP1246" s="59"/>
      <c r="AQ1246" s="59"/>
      <c r="AR1246" s="59"/>
      <c r="AS1246" s="59"/>
      <c r="AT1246" s="59"/>
      <c r="AU1246" s="59"/>
      <c r="AV1246" s="59"/>
      <c r="AW1246" s="59"/>
      <c r="AX1246" s="59"/>
      <c r="AY1246" s="59"/>
      <c r="AZ1246" s="59"/>
      <c r="BA1246" s="59"/>
      <c r="BB1246" s="59"/>
      <c r="BC1246" s="59"/>
      <c r="BD1246" s="59"/>
      <c r="BE1246" s="59"/>
      <c r="BF1246" s="59"/>
      <c r="BG1246" s="59"/>
      <c r="BH1246" s="59"/>
      <c r="BI1246" s="59"/>
      <c r="BJ1246" s="59"/>
      <c r="BK1246" s="59"/>
      <c r="BL1246" s="59"/>
      <c r="BM1246" s="59"/>
      <c r="BN1246" s="59"/>
      <c r="BO1246" s="59"/>
      <c r="BP1246" s="59"/>
      <c r="BQ1246" s="59"/>
      <c r="BR1246" s="59"/>
      <c r="BS1246" s="59"/>
      <c r="BT1246" s="59"/>
      <c r="BU1246" s="59"/>
      <c r="BV1246" s="59"/>
      <c r="BW1246" s="59"/>
      <c r="BX1246" s="59"/>
      <c r="BY1246" s="59"/>
      <c r="BZ1246" s="59"/>
      <c r="CA1246" s="59"/>
      <c r="CB1246" s="59"/>
    </row>
    <row r="1247" spans="1:80">
      <c r="A1247" s="74">
        <v>1246</v>
      </c>
      <c r="B1247" s="66" t="s">
        <v>67</v>
      </c>
      <c r="C1247" s="67" t="s">
        <v>303</v>
      </c>
      <c r="D1247" s="59" t="s">
        <v>269</v>
      </c>
      <c r="E1247" s="88"/>
      <c r="F1247" s="59"/>
      <c r="G1247" s="59"/>
      <c r="H1247" s="77" t="s">
        <v>76</v>
      </c>
      <c r="I1247" s="82">
        <v>12000</v>
      </c>
      <c r="J1247" s="59"/>
      <c r="K1247" s="85"/>
      <c r="L1247" s="86"/>
      <c r="M1247" s="87"/>
      <c r="N1247" s="59"/>
      <c r="O1247" s="59"/>
      <c r="P1247" s="59"/>
      <c r="Q1247" s="59"/>
      <c r="R1247" s="59"/>
      <c r="S1247" s="59"/>
      <c r="T1247" s="59"/>
      <c r="U1247" s="59"/>
      <c r="V1247" s="59"/>
      <c r="W1247" s="59"/>
      <c r="X1247" s="59"/>
      <c r="Y1247" s="59"/>
      <c r="Z1247" s="59"/>
      <c r="AA1247" s="59"/>
      <c r="AB1247" s="59"/>
      <c r="AC1247" s="59"/>
      <c r="AD1247" s="59"/>
      <c r="AE1247" s="59"/>
      <c r="AF1247" s="59"/>
      <c r="AG1247" s="59"/>
      <c r="AH1247" s="59"/>
      <c r="AI1247" s="59"/>
      <c r="AJ1247" s="59"/>
      <c r="AK1247" s="59"/>
      <c r="AL1247" s="59"/>
      <c r="AM1247" s="59"/>
      <c r="AN1247" s="59"/>
      <c r="AO1247" s="59"/>
      <c r="AP1247" s="59"/>
      <c r="AQ1247" s="59"/>
      <c r="AR1247" s="59"/>
      <c r="AS1247" s="59"/>
      <c r="AT1247" s="59"/>
      <c r="AU1247" s="59"/>
      <c r="AV1247" s="59"/>
      <c r="AW1247" s="59"/>
      <c r="AX1247" s="59"/>
      <c r="AY1247" s="59"/>
      <c r="AZ1247" s="59"/>
      <c r="BA1247" s="59"/>
      <c r="BB1247" s="59"/>
      <c r="BC1247" s="59"/>
      <c r="BD1247" s="59"/>
      <c r="BE1247" s="59"/>
      <c r="BF1247" s="59"/>
      <c r="BG1247" s="59"/>
      <c r="BH1247" s="59"/>
      <c r="BI1247" s="59"/>
      <c r="BJ1247" s="59"/>
      <c r="BK1247" s="59"/>
      <c r="BL1247" s="59"/>
      <c r="BM1247" s="59"/>
      <c r="BN1247" s="59"/>
      <c r="BO1247" s="59"/>
      <c r="BP1247" s="59"/>
      <c r="BQ1247" s="59"/>
      <c r="BR1247" s="59"/>
      <c r="BS1247" s="59"/>
      <c r="BT1247" s="59"/>
      <c r="BU1247" s="59"/>
      <c r="BV1247" s="59"/>
      <c r="BW1247" s="59"/>
      <c r="BX1247" s="59"/>
      <c r="BY1247" s="59"/>
      <c r="BZ1247" s="59"/>
      <c r="CA1247" s="59"/>
      <c r="CB1247" s="59"/>
    </row>
    <row r="1248" spans="1:80">
      <c r="A1248" s="74">
        <v>1247</v>
      </c>
      <c r="B1248" s="66" t="s">
        <v>67</v>
      </c>
      <c r="C1248" s="67" t="s">
        <v>303</v>
      </c>
      <c r="D1248" s="59" t="s">
        <v>270</v>
      </c>
      <c r="E1248" s="88"/>
      <c r="F1248" s="59"/>
      <c r="G1248" s="59"/>
      <c r="H1248" s="77" t="s">
        <v>76</v>
      </c>
      <c r="I1248" s="82">
        <v>12000</v>
      </c>
      <c r="J1248" s="59"/>
      <c r="K1248" s="85"/>
      <c r="L1248" s="86"/>
      <c r="M1248" s="87"/>
      <c r="N1248" s="59"/>
      <c r="O1248" s="59"/>
      <c r="P1248" s="59"/>
      <c r="Q1248" s="59"/>
      <c r="R1248" s="59"/>
      <c r="S1248" s="59"/>
      <c r="T1248" s="59"/>
      <c r="U1248" s="59"/>
      <c r="V1248" s="59"/>
      <c r="W1248" s="59"/>
      <c r="X1248" s="59"/>
      <c r="Y1248" s="59"/>
      <c r="Z1248" s="59"/>
      <c r="AA1248" s="59"/>
      <c r="AB1248" s="59"/>
      <c r="AC1248" s="59"/>
      <c r="AD1248" s="59"/>
      <c r="AE1248" s="59"/>
      <c r="AF1248" s="59"/>
      <c r="AG1248" s="59"/>
      <c r="AH1248" s="59"/>
      <c r="AI1248" s="59"/>
      <c r="AJ1248" s="59"/>
      <c r="AK1248" s="59"/>
      <c r="AL1248" s="59"/>
      <c r="AM1248" s="59"/>
      <c r="AN1248" s="59"/>
      <c r="AO1248" s="59"/>
      <c r="AP1248" s="59"/>
      <c r="AQ1248" s="59"/>
      <c r="AR1248" s="59"/>
      <c r="AS1248" s="59"/>
      <c r="AT1248" s="59"/>
      <c r="AU1248" s="59"/>
      <c r="AV1248" s="59"/>
      <c r="AW1248" s="59"/>
      <c r="AX1248" s="59"/>
      <c r="AY1248" s="59"/>
      <c r="AZ1248" s="59"/>
      <c r="BA1248" s="59"/>
      <c r="BB1248" s="59"/>
      <c r="BC1248" s="59"/>
      <c r="BD1248" s="59"/>
      <c r="BE1248" s="59"/>
      <c r="BF1248" s="59"/>
      <c r="BG1248" s="59"/>
      <c r="BH1248" s="59"/>
      <c r="BI1248" s="59"/>
      <c r="BJ1248" s="59"/>
      <c r="BK1248" s="59"/>
      <c r="BL1248" s="59"/>
      <c r="BM1248" s="59"/>
      <c r="BN1248" s="59"/>
      <c r="BO1248" s="59"/>
      <c r="BP1248" s="59"/>
      <c r="BQ1248" s="59"/>
      <c r="BR1248" s="59"/>
      <c r="BS1248" s="59"/>
      <c r="BT1248" s="59"/>
      <c r="BU1248" s="59"/>
      <c r="BV1248" s="59"/>
      <c r="BW1248" s="59"/>
      <c r="BX1248" s="59"/>
      <c r="BY1248" s="59"/>
      <c r="BZ1248" s="59"/>
      <c r="CA1248" s="59"/>
      <c r="CB1248" s="59"/>
    </row>
    <row r="1249" spans="1:80">
      <c r="A1249" s="74">
        <v>1248</v>
      </c>
      <c r="B1249" s="66" t="s">
        <v>67</v>
      </c>
      <c r="C1249" s="67" t="s">
        <v>303</v>
      </c>
      <c r="D1249" s="59" t="s">
        <v>271</v>
      </c>
      <c r="E1249" s="88"/>
      <c r="F1249" s="59"/>
      <c r="G1249" s="59"/>
      <c r="H1249" s="77" t="s">
        <v>76</v>
      </c>
      <c r="I1249" s="82">
        <v>12000</v>
      </c>
      <c r="J1249" s="59"/>
      <c r="K1249" s="85"/>
      <c r="L1249" s="86"/>
      <c r="M1249" s="87"/>
      <c r="N1249" s="59"/>
      <c r="O1249" s="59"/>
      <c r="P1249" s="59"/>
      <c r="Q1249" s="59"/>
      <c r="R1249" s="59"/>
      <c r="S1249" s="59"/>
      <c r="T1249" s="59"/>
      <c r="U1249" s="59"/>
      <c r="V1249" s="59"/>
      <c r="W1249" s="59"/>
      <c r="X1249" s="59"/>
      <c r="Y1249" s="59"/>
      <c r="Z1249" s="59"/>
      <c r="AA1249" s="59"/>
      <c r="AB1249" s="59"/>
      <c r="AC1249" s="59"/>
      <c r="AD1249" s="59"/>
      <c r="AE1249" s="59"/>
      <c r="AF1249" s="59"/>
      <c r="AG1249" s="59"/>
      <c r="AH1249" s="59"/>
      <c r="AI1249" s="59"/>
      <c r="AJ1249" s="59"/>
      <c r="AK1249" s="59"/>
      <c r="AL1249" s="59"/>
      <c r="AM1249" s="59"/>
      <c r="AN1249" s="59"/>
      <c r="AO1249" s="59"/>
      <c r="AP1249" s="59"/>
      <c r="AQ1249" s="59"/>
      <c r="AR1249" s="59"/>
      <c r="AS1249" s="59"/>
      <c r="AT1249" s="59"/>
      <c r="AU1249" s="59"/>
      <c r="AV1249" s="59"/>
      <c r="AW1249" s="59"/>
      <c r="AX1249" s="59"/>
      <c r="AY1249" s="59"/>
      <c r="AZ1249" s="59"/>
      <c r="BA1249" s="59"/>
      <c r="BB1249" s="59"/>
      <c r="BC1249" s="59"/>
      <c r="BD1249" s="59"/>
      <c r="BE1249" s="59"/>
      <c r="BF1249" s="59"/>
      <c r="BG1249" s="59"/>
      <c r="BH1249" s="59"/>
      <c r="BI1249" s="59"/>
      <c r="BJ1249" s="59"/>
      <c r="BK1249" s="59"/>
      <c r="BL1249" s="59"/>
      <c r="BM1249" s="59"/>
      <c r="BN1249" s="59"/>
      <c r="BO1249" s="59"/>
      <c r="BP1249" s="59"/>
      <c r="BQ1249" s="59"/>
      <c r="BR1249" s="59"/>
      <c r="BS1249" s="59"/>
      <c r="BT1249" s="59"/>
      <c r="BU1249" s="59"/>
      <c r="BV1249" s="59"/>
      <c r="BW1249" s="59"/>
      <c r="BX1249" s="59"/>
      <c r="BY1249" s="59"/>
      <c r="BZ1249" s="59"/>
      <c r="CA1249" s="59"/>
      <c r="CB1249" s="59"/>
    </row>
    <row r="1250" spans="1:80">
      <c r="A1250" s="74">
        <v>1249</v>
      </c>
      <c r="B1250" s="66" t="s">
        <v>67</v>
      </c>
      <c r="C1250" s="67" t="s">
        <v>303</v>
      </c>
      <c r="D1250" s="59" t="s">
        <v>272</v>
      </c>
      <c r="E1250" s="88"/>
      <c r="F1250" s="59"/>
      <c r="G1250" s="59"/>
      <c r="H1250" s="77" t="s">
        <v>76</v>
      </c>
      <c r="I1250" s="82">
        <v>12000</v>
      </c>
      <c r="J1250" s="59"/>
      <c r="K1250" s="85"/>
      <c r="L1250" s="86"/>
      <c r="M1250" s="98"/>
      <c r="N1250" s="59"/>
      <c r="O1250" s="59"/>
      <c r="P1250" s="59"/>
      <c r="Q1250" s="59"/>
      <c r="R1250" s="59"/>
      <c r="S1250" s="59"/>
      <c r="T1250" s="59"/>
      <c r="U1250" s="59"/>
      <c r="V1250" s="59"/>
      <c r="W1250" s="59"/>
      <c r="X1250" s="59"/>
      <c r="Y1250" s="59"/>
      <c r="Z1250" s="59"/>
      <c r="AA1250" s="59"/>
      <c r="AB1250" s="59"/>
      <c r="AC1250" s="59"/>
      <c r="AD1250" s="59"/>
      <c r="AE1250" s="59"/>
      <c r="AF1250" s="59"/>
      <c r="AG1250" s="59"/>
      <c r="AH1250" s="59"/>
      <c r="AI1250" s="59"/>
      <c r="AJ1250" s="59"/>
      <c r="AK1250" s="59"/>
      <c r="AL1250" s="59"/>
      <c r="AM1250" s="59"/>
      <c r="AN1250" s="59"/>
      <c r="AO1250" s="59"/>
      <c r="AP1250" s="59"/>
      <c r="AQ1250" s="59"/>
      <c r="AR1250" s="59"/>
      <c r="AS1250" s="59"/>
      <c r="AT1250" s="59"/>
      <c r="AU1250" s="59"/>
      <c r="AV1250" s="59"/>
      <c r="AW1250" s="59"/>
      <c r="AX1250" s="59"/>
      <c r="AY1250" s="59"/>
      <c r="AZ1250" s="59"/>
      <c r="BA1250" s="59"/>
      <c r="BB1250" s="59"/>
      <c r="BC1250" s="59"/>
      <c r="BD1250" s="59"/>
      <c r="BE1250" s="59"/>
      <c r="BF1250" s="59"/>
      <c r="BG1250" s="59"/>
      <c r="BH1250" s="59"/>
      <c r="BI1250" s="59"/>
      <c r="BJ1250" s="59"/>
      <c r="BK1250" s="59"/>
      <c r="BL1250" s="59"/>
      <c r="BM1250" s="59"/>
      <c r="BN1250" s="59"/>
      <c r="BO1250" s="59"/>
      <c r="BP1250" s="59"/>
      <c r="BQ1250" s="59"/>
      <c r="BR1250" s="59"/>
      <c r="BS1250" s="59"/>
      <c r="BT1250" s="59"/>
      <c r="BU1250" s="59"/>
      <c r="BV1250" s="59"/>
      <c r="BW1250" s="59"/>
      <c r="BX1250" s="59"/>
      <c r="BY1250" s="59"/>
      <c r="BZ1250" s="59"/>
      <c r="CA1250" s="59"/>
      <c r="CB1250" s="59"/>
    </row>
    <row r="1251" spans="1:80">
      <c r="A1251" s="74">
        <v>1250</v>
      </c>
      <c r="B1251" s="66" t="s">
        <v>67</v>
      </c>
      <c r="C1251" s="67" t="s">
        <v>303</v>
      </c>
      <c r="D1251" s="59" t="s">
        <v>273</v>
      </c>
      <c r="E1251" s="88"/>
      <c r="F1251" s="59"/>
      <c r="G1251" s="59"/>
      <c r="H1251" s="77" t="s">
        <v>71</v>
      </c>
      <c r="I1251" s="78">
        <v>16000</v>
      </c>
      <c r="J1251" s="59"/>
      <c r="K1251" s="85"/>
      <c r="L1251" s="86"/>
      <c r="M1251" s="87"/>
      <c r="N1251" s="59"/>
      <c r="O1251" s="59"/>
      <c r="P1251" s="59"/>
      <c r="Q1251" s="59"/>
      <c r="R1251" s="59"/>
      <c r="S1251" s="59"/>
      <c r="T1251" s="59"/>
      <c r="U1251" s="59"/>
      <c r="V1251" s="59"/>
      <c r="W1251" s="59"/>
      <c r="X1251" s="59"/>
      <c r="Y1251" s="59"/>
      <c r="Z1251" s="59"/>
      <c r="AA1251" s="59"/>
      <c r="AB1251" s="59"/>
      <c r="AC1251" s="59"/>
      <c r="AD1251" s="59"/>
      <c r="AE1251" s="59"/>
      <c r="AF1251" s="59"/>
      <c r="AG1251" s="59"/>
      <c r="AH1251" s="59"/>
      <c r="AI1251" s="59"/>
      <c r="AJ1251" s="59"/>
      <c r="AK1251" s="59"/>
      <c r="AL1251" s="59"/>
      <c r="AM1251" s="59"/>
      <c r="AN1251" s="59"/>
      <c r="AO1251" s="59"/>
      <c r="AP1251" s="59"/>
      <c r="AQ1251" s="59"/>
      <c r="AR1251" s="59"/>
      <c r="AS1251" s="59"/>
      <c r="AT1251" s="59"/>
      <c r="AU1251" s="59"/>
      <c r="AV1251" s="59"/>
      <c r="AW1251" s="59"/>
      <c r="AX1251" s="59"/>
      <c r="AY1251" s="59"/>
      <c r="AZ1251" s="59"/>
      <c r="BA1251" s="59"/>
      <c r="BB1251" s="59"/>
      <c r="BC1251" s="59"/>
      <c r="BD1251" s="59"/>
      <c r="BE1251" s="59"/>
      <c r="BF1251" s="59"/>
      <c r="BG1251" s="59"/>
      <c r="BH1251" s="59"/>
      <c r="BI1251" s="59"/>
      <c r="BJ1251" s="59"/>
      <c r="BK1251" s="59"/>
      <c r="BL1251" s="59"/>
      <c r="BM1251" s="59"/>
      <c r="BN1251" s="59"/>
      <c r="BO1251" s="59"/>
      <c r="BP1251" s="59"/>
      <c r="BQ1251" s="59"/>
      <c r="BR1251" s="59"/>
      <c r="BS1251" s="59"/>
      <c r="BT1251" s="59"/>
      <c r="BU1251" s="59"/>
      <c r="BV1251" s="59"/>
      <c r="BW1251" s="59"/>
      <c r="BX1251" s="59"/>
      <c r="BY1251" s="59"/>
      <c r="BZ1251" s="59"/>
      <c r="CA1251" s="59"/>
      <c r="CB1251" s="59"/>
    </row>
    <row r="1252" spans="1:80">
      <c r="A1252" s="74">
        <v>1251</v>
      </c>
      <c r="B1252" s="66" t="s">
        <v>67</v>
      </c>
      <c r="C1252" s="67" t="s">
        <v>303</v>
      </c>
      <c r="D1252" s="59" t="s">
        <v>274</v>
      </c>
      <c r="E1252" s="88"/>
      <c r="F1252" s="59"/>
      <c r="G1252" s="59"/>
      <c r="H1252" s="77" t="s">
        <v>76</v>
      </c>
      <c r="I1252" s="82">
        <v>12000</v>
      </c>
      <c r="J1252" s="59"/>
      <c r="K1252" s="85"/>
      <c r="L1252" s="86"/>
      <c r="M1252" s="99"/>
      <c r="N1252" s="59"/>
      <c r="O1252" s="59"/>
      <c r="P1252" s="59"/>
      <c r="Q1252" s="59"/>
      <c r="R1252" s="59"/>
      <c r="S1252" s="59"/>
      <c r="T1252" s="59"/>
      <c r="U1252" s="59"/>
      <c r="V1252" s="59"/>
      <c r="W1252" s="59"/>
      <c r="X1252" s="59"/>
      <c r="Y1252" s="59"/>
      <c r="Z1252" s="59"/>
      <c r="AA1252" s="59"/>
      <c r="AB1252" s="59"/>
      <c r="AC1252" s="59"/>
      <c r="AD1252" s="59"/>
      <c r="AE1252" s="59"/>
      <c r="AF1252" s="59"/>
      <c r="AG1252" s="59"/>
      <c r="AH1252" s="59"/>
      <c r="AI1252" s="59"/>
      <c r="AJ1252" s="59"/>
      <c r="AK1252" s="59"/>
      <c r="AL1252" s="59"/>
      <c r="AM1252" s="59"/>
      <c r="AN1252" s="59"/>
      <c r="AO1252" s="59"/>
      <c r="AP1252" s="59"/>
      <c r="AQ1252" s="59"/>
      <c r="AR1252" s="59"/>
      <c r="AS1252" s="59"/>
      <c r="AT1252" s="59"/>
      <c r="AU1252" s="59"/>
      <c r="AV1252" s="59"/>
      <c r="AW1252" s="59"/>
      <c r="AX1252" s="59"/>
      <c r="AY1252" s="59"/>
      <c r="AZ1252" s="59"/>
      <c r="BA1252" s="59"/>
      <c r="BB1252" s="59"/>
      <c r="BC1252" s="59"/>
      <c r="BD1252" s="59"/>
      <c r="BE1252" s="59"/>
      <c r="BF1252" s="59"/>
      <c r="BG1252" s="59"/>
      <c r="BH1252" s="59"/>
      <c r="BI1252" s="59"/>
      <c r="BJ1252" s="59"/>
      <c r="BK1252" s="59"/>
      <c r="BL1252" s="59"/>
      <c r="BM1252" s="59"/>
      <c r="BN1252" s="59"/>
      <c r="BO1252" s="59"/>
      <c r="BP1252" s="59"/>
      <c r="BQ1252" s="59"/>
      <c r="BR1252" s="59"/>
      <c r="BS1252" s="59"/>
      <c r="BT1252" s="59"/>
      <c r="BU1252" s="59"/>
      <c r="BV1252" s="59"/>
      <c r="BW1252" s="59"/>
      <c r="BX1252" s="59"/>
      <c r="BY1252" s="59"/>
      <c r="BZ1252" s="59"/>
      <c r="CA1252" s="59"/>
      <c r="CB1252" s="59"/>
    </row>
    <row r="1253" spans="1:80">
      <c r="A1253" s="74">
        <v>1252</v>
      </c>
      <c r="B1253" s="66" t="s">
        <v>67</v>
      </c>
      <c r="C1253" s="67" t="s">
        <v>303</v>
      </c>
      <c r="D1253" s="59" t="s">
        <v>275</v>
      </c>
      <c r="E1253" s="88"/>
      <c r="F1253" s="59"/>
      <c r="G1253" s="59"/>
      <c r="H1253" s="77" t="s">
        <v>76</v>
      </c>
      <c r="I1253" s="82">
        <v>12000</v>
      </c>
      <c r="J1253" s="59"/>
      <c r="K1253" s="85"/>
      <c r="L1253" s="86"/>
      <c r="M1253" s="87"/>
      <c r="N1253" s="59"/>
      <c r="O1253" s="59"/>
      <c r="P1253" s="59"/>
      <c r="Q1253" s="59"/>
      <c r="R1253" s="59"/>
      <c r="S1253" s="59"/>
      <c r="T1253" s="59"/>
      <c r="U1253" s="59"/>
      <c r="V1253" s="59"/>
      <c r="W1253" s="59"/>
      <c r="X1253" s="59"/>
      <c r="Y1253" s="59"/>
      <c r="Z1253" s="59"/>
      <c r="AA1253" s="59"/>
      <c r="AB1253" s="59"/>
      <c r="AC1253" s="59"/>
      <c r="AD1253" s="59"/>
      <c r="AE1253" s="59"/>
      <c r="AF1253" s="59"/>
      <c r="AG1253" s="59"/>
      <c r="AH1253" s="59"/>
      <c r="AI1253" s="59"/>
      <c r="AJ1253" s="59"/>
      <c r="AK1253" s="59"/>
      <c r="AL1253" s="59"/>
      <c r="AM1253" s="59"/>
      <c r="AN1253" s="59"/>
      <c r="AO1253" s="59"/>
      <c r="AP1253" s="59"/>
      <c r="AQ1253" s="59"/>
      <c r="AR1253" s="59"/>
      <c r="AS1253" s="59"/>
      <c r="AT1253" s="59"/>
      <c r="AU1253" s="59"/>
      <c r="AV1253" s="59"/>
      <c r="AW1253" s="59"/>
      <c r="AX1253" s="59"/>
      <c r="AY1253" s="59"/>
      <c r="AZ1253" s="59"/>
      <c r="BA1253" s="59"/>
      <c r="BB1253" s="59"/>
      <c r="BC1253" s="59"/>
      <c r="BD1253" s="59"/>
      <c r="BE1253" s="59"/>
      <c r="BF1253" s="59"/>
      <c r="BG1253" s="59"/>
      <c r="BH1253" s="59"/>
      <c r="BI1253" s="59"/>
      <c r="BJ1253" s="59"/>
      <c r="BK1253" s="59"/>
      <c r="BL1253" s="59"/>
      <c r="BM1253" s="59"/>
      <c r="BN1253" s="59"/>
      <c r="BO1253" s="59"/>
      <c r="BP1253" s="59"/>
      <c r="BQ1253" s="59"/>
      <c r="BR1253" s="59"/>
      <c r="BS1253" s="59"/>
      <c r="BT1253" s="59"/>
      <c r="BU1253" s="59"/>
      <c r="BV1253" s="59"/>
      <c r="BW1253" s="59"/>
      <c r="BX1253" s="59"/>
      <c r="BY1253" s="59"/>
      <c r="BZ1253" s="59"/>
      <c r="CA1253" s="59"/>
      <c r="CB1253" s="59"/>
    </row>
    <row r="1254" spans="1:80">
      <c r="A1254" s="74">
        <v>1253</v>
      </c>
      <c r="B1254" s="66" t="s">
        <v>67</v>
      </c>
      <c r="C1254" s="67" t="s">
        <v>303</v>
      </c>
      <c r="D1254" s="59" t="s">
        <v>276</v>
      </c>
      <c r="E1254" s="88"/>
      <c r="F1254" s="59"/>
      <c r="G1254" s="59"/>
      <c r="H1254" s="77" t="s">
        <v>76</v>
      </c>
      <c r="I1254" s="82">
        <v>12000</v>
      </c>
      <c r="J1254" s="59"/>
      <c r="K1254" s="85"/>
      <c r="L1254" s="86"/>
      <c r="M1254" s="87"/>
      <c r="N1254" s="59"/>
      <c r="O1254" s="59"/>
      <c r="P1254" s="59"/>
      <c r="Q1254" s="59"/>
      <c r="R1254" s="59"/>
      <c r="S1254" s="59"/>
      <c r="T1254" s="59"/>
      <c r="U1254" s="59"/>
      <c r="V1254" s="59"/>
      <c r="W1254" s="59"/>
      <c r="X1254" s="59"/>
      <c r="Y1254" s="59"/>
      <c r="Z1254" s="59"/>
      <c r="AA1254" s="59"/>
      <c r="AB1254" s="59"/>
      <c r="AC1254" s="59"/>
      <c r="AD1254" s="59"/>
      <c r="AE1254" s="59"/>
      <c r="AF1254" s="59"/>
      <c r="AG1254" s="59"/>
      <c r="AH1254" s="59"/>
      <c r="AI1254" s="59"/>
      <c r="AJ1254" s="59"/>
      <c r="AK1254" s="59"/>
      <c r="AL1254" s="59"/>
      <c r="AM1254" s="59"/>
      <c r="AN1254" s="59"/>
      <c r="AO1254" s="59"/>
      <c r="AP1254" s="59"/>
      <c r="AQ1254" s="59"/>
      <c r="AR1254" s="59"/>
      <c r="AS1254" s="59"/>
      <c r="AT1254" s="59"/>
      <c r="AU1254" s="59"/>
      <c r="AV1254" s="59"/>
      <c r="AW1254" s="59"/>
      <c r="AX1254" s="59"/>
      <c r="AY1254" s="59"/>
      <c r="AZ1254" s="59"/>
      <c r="BA1254" s="59"/>
      <c r="BB1254" s="59"/>
      <c r="BC1254" s="59"/>
      <c r="BD1254" s="59"/>
      <c r="BE1254" s="59"/>
      <c r="BF1254" s="59"/>
      <c r="BG1254" s="59"/>
      <c r="BH1254" s="59"/>
      <c r="BI1254" s="59"/>
      <c r="BJ1254" s="59"/>
      <c r="BK1254" s="59"/>
      <c r="BL1254" s="59"/>
      <c r="BM1254" s="59"/>
      <c r="BN1254" s="59"/>
      <c r="BO1254" s="59"/>
      <c r="BP1254" s="59"/>
      <c r="BQ1254" s="59"/>
      <c r="BR1254" s="59"/>
      <c r="BS1254" s="59"/>
      <c r="BT1254" s="59"/>
      <c r="BU1254" s="59"/>
      <c r="BV1254" s="59"/>
      <c r="BW1254" s="59"/>
      <c r="BX1254" s="59"/>
      <c r="BY1254" s="59"/>
      <c r="BZ1254" s="59"/>
      <c r="CA1254" s="59"/>
      <c r="CB1254" s="59"/>
    </row>
    <row r="1255" spans="1:80">
      <c r="A1255" s="74">
        <v>1254</v>
      </c>
      <c r="B1255" s="66" t="s">
        <v>67</v>
      </c>
      <c r="C1255" s="67" t="s">
        <v>303</v>
      </c>
      <c r="D1255" s="59" t="s">
        <v>277</v>
      </c>
      <c r="E1255" s="88"/>
      <c r="F1255" s="59"/>
      <c r="G1255" s="59"/>
      <c r="H1255" s="77" t="s">
        <v>76</v>
      </c>
      <c r="I1255" s="82">
        <v>12000</v>
      </c>
      <c r="J1255" s="59"/>
      <c r="K1255" s="85"/>
      <c r="L1255" s="86"/>
      <c r="M1255" s="87"/>
      <c r="N1255" s="59"/>
      <c r="O1255" s="59"/>
      <c r="P1255" s="59"/>
      <c r="Q1255" s="59"/>
      <c r="R1255" s="59"/>
      <c r="S1255" s="59"/>
      <c r="T1255" s="59"/>
      <c r="U1255" s="59"/>
      <c r="V1255" s="59"/>
      <c r="W1255" s="59"/>
      <c r="X1255" s="59"/>
      <c r="Y1255" s="59"/>
      <c r="Z1255" s="59"/>
      <c r="AA1255" s="59"/>
      <c r="AB1255" s="59"/>
      <c r="AC1255" s="59"/>
      <c r="AD1255" s="59"/>
      <c r="AE1255" s="59"/>
      <c r="AF1255" s="59"/>
      <c r="AG1255" s="59"/>
      <c r="AH1255" s="59"/>
      <c r="AI1255" s="59"/>
      <c r="AJ1255" s="59"/>
      <c r="AK1255" s="59"/>
      <c r="AL1255" s="59"/>
      <c r="AM1255" s="59"/>
      <c r="AN1255" s="59"/>
      <c r="AO1255" s="59"/>
      <c r="AP1255" s="59"/>
      <c r="AQ1255" s="59"/>
      <c r="AR1255" s="59"/>
      <c r="AS1255" s="59"/>
      <c r="AT1255" s="59"/>
      <c r="AU1255" s="59"/>
      <c r="AV1255" s="59"/>
      <c r="AW1255" s="59"/>
      <c r="AX1255" s="59"/>
      <c r="AY1255" s="59"/>
      <c r="AZ1255" s="59"/>
      <c r="BA1255" s="59"/>
      <c r="BB1255" s="59"/>
      <c r="BC1255" s="59"/>
      <c r="BD1255" s="59"/>
      <c r="BE1255" s="59"/>
      <c r="BF1255" s="59"/>
      <c r="BG1255" s="59"/>
      <c r="BH1255" s="59"/>
      <c r="BI1255" s="59"/>
      <c r="BJ1255" s="59"/>
      <c r="BK1255" s="59"/>
      <c r="BL1255" s="59"/>
      <c r="BM1255" s="59"/>
      <c r="BN1255" s="59"/>
      <c r="BO1255" s="59"/>
      <c r="BP1255" s="59"/>
      <c r="BQ1255" s="59"/>
      <c r="BR1255" s="59"/>
      <c r="BS1255" s="59"/>
      <c r="BT1255" s="59"/>
      <c r="BU1255" s="59"/>
      <c r="BV1255" s="59"/>
      <c r="BW1255" s="59"/>
      <c r="BX1255" s="59"/>
      <c r="BY1255" s="59"/>
      <c r="BZ1255" s="59"/>
      <c r="CA1255" s="59"/>
      <c r="CB1255" s="59"/>
    </row>
    <row r="1256" spans="1:80">
      <c r="A1256" s="74">
        <v>1255</v>
      </c>
      <c r="B1256" s="66" t="s">
        <v>67</v>
      </c>
      <c r="C1256" s="67" t="s">
        <v>303</v>
      </c>
      <c r="D1256" s="59" t="s">
        <v>278</v>
      </c>
      <c r="E1256" s="88"/>
      <c r="F1256" s="59"/>
      <c r="G1256" s="59"/>
      <c r="H1256" s="77" t="s">
        <v>76</v>
      </c>
      <c r="I1256" s="82">
        <v>12000</v>
      </c>
      <c r="J1256" s="59"/>
      <c r="K1256" s="85"/>
      <c r="L1256" s="86"/>
      <c r="M1256" s="87"/>
      <c r="N1256" s="59"/>
      <c r="O1256" s="59"/>
      <c r="P1256" s="59"/>
      <c r="Q1256" s="59"/>
      <c r="R1256" s="59"/>
      <c r="S1256" s="59"/>
      <c r="T1256" s="59"/>
      <c r="U1256" s="59"/>
      <c r="V1256" s="59"/>
      <c r="W1256" s="59"/>
      <c r="X1256" s="59"/>
      <c r="Y1256" s="59"/>
      <c r="Z1256" s="59"/>
      <c r="AA1256" s="59"/>
      <c r="AB1256" s="59"/>
      <c r="AC1256" s="59"/>
      <c r="AD1256" s="59"/>
      <c r="AE1256" s="59"/>
      <c r="AF1256" s="59"/>
      <c r="AG1256" s="59"/>
      <c r="AH1256" s="59"/>
      <c r="AI1256" s="59"/>
      <c r="AJ1256" s="59"/>
      <c r="AK1256" s="59"/>
      <c r="AL1256" s="59"/>
      <c r="AM1256" s="59"/>
      <c r="AN1256" s="59"/>
      <c r="AO1256" s="59"/>
      <c r="AP1256" s="59"/>
      <c r="AQ1256" s="59"/>
      <c r="AR1256" s="59"/>
      <c r="AS1256" s="59"/>
      <c r="AT1256" s="59"/>
      <c r="AU1256" s="59"/>
      <c r="AV1256" s="59"/>
      <c r="AW1256" s="59"/>
      <c r="AX1256" s="59"/>
      <c r="AY1256" s="59"/>
      <c r="AZ1256" s="59"/>
      <c r="BA1256" s="59"/>
      <c r="BB1256" s="59"/>
      <c r="BC1256" s="59"/>
      <c r="BD1256" s="59"/>
      <c r="BE1256" s="59"/>
      <c r="BF1256" s="59"/>
      <c r="BG1256" s="59"/>
      <c r="BH1256" s="59"/>
      <c r="BI1256" s="59"/>
      <c r="BJ1256" s="59"/>
      <c r="BK1256" s="59"/>
      <c r="BL1256" s="59"/>
      <c r="BM1256" s="59"/>
      <c r="BN1256" s="59"/>
      <c r="BO1256" s="59"/>
      <c r="BP1256" s="59"/>
      <c r="BQ1256" s="59"/>
      <c r="BR1256" s="59"/>
      <c r="BS1256" s="59"/>
      <c r="BT1256" s="59"/>
      <c r="BU1256" s="59"/>
      <c r="BV1256" s="59"/>
      <c r="BW1256" s="59"/>
      <c r="BX1256" s="59"/>
      <c r="BY1256" s="59"/>
      <c r="BZ1256" s="59"/>
      <c r="CA1256" s="59"/>
      <c r="CB1256" s="59"/>
    </row>
    <row r="1257" spans="1:80">
      <c r="A1257" s="74">
        <v>1256</v>
      </c>
      <c r="B1257" s="66" t="s">
        <v>67</v>
      </c>
      <c r="C1257" s="67" t="s">
        <v>303</v>
      </c>
      <c r="D1257" s="59" t="s">
        <v>279</v>
      </c>
      <c r="E1257" s="88"/>
      <c r="F1257" s="59"/>
      <c r="G1257" s="59"/>
      <c r="H1257" s="77" t="s">
        <v>76</v>
      </c>
      <c r="I1257" s="82">
        <v>12000</v>
      </c>
      <c r="J1257" s="59"/>
      <c r="K1257" s="85"/>
      <c r="L1257" s="86"/>
      <c r="M1257" s="87"/>
      <c r="N1257" s="59"/>
      <c r="O1257" s="59"/>
      <c r="P1257" s="59"/>
      <c r="Q1257" s="59"/>
      <c r="R1257" s="59"/>
      <c r="S1257" s="59"/>
      <c r="T1257" s="59"/>
      <c r="U1257" s="59"/>
      <c r="V1257" s="59"/>
      <c r="W1257" s="59"/>
      <c r="X1257" s="59"/>
      <c r="Y1257" s="59"/>
      <c r="Z1257" s="59"/>
      <c r="AA1257" s="59"/>
      <c r="AB1257" s="59"/>
      <c r="AC1257" s="59"/>
      <c r="AD1257" s="59"/>
      <c r="AE1257" s="59"/>
      <c r="AF1257" s="59"/>
      <c r="AG1257" s="59"/>
      <c r="AH1257" s="59"/>
      <c r="AI1257" s="59"/>
      <c r="AJ1257" s="59"/>
      <c r="AK1257" s="59"/>
      <c r="AL1257" s="59"/>
      <c r="AM1257" s="59"/>
      <c r="AN1257" s="59"/>
      <c r="AO1257" s="59"/>
      <c r="AP1257" s="59"/>
      <c r="AQ1257" s="59"/>
      <c r="AR1257" s="59"/>
      <c r="AS1257" s="59"/>
      <c r="AT1257" s="59"/>
      <c r="AU1257" s="59"/>
      <c r="AV1257" s="59"/>
      <c r="AW1257" s="59"/>
      <c r="AX1257" s="59"/>
      <c r="AY1257" s="59"/>
      <c r="AZ1257" s="59"/>
      <c r="BA1257" s="59"/>
      <c r="BB1257" s="59"/>
      <c r="BC1257" s="59"/>
      <c r="BD1257" s="59"/>
      <c r="BE1257" s="59"/>
      <c r="BF1257" s="59"/>
      <c r="BG1257" s="59"/>
      <c r="BH1257" s="59"/>
      <c r="BI1257" s="59"/>
      <c r="BJ1257" s="59"/>
      <c r="BK1257" s="59"/>
      <c r="BL1257" s="59"/>
      <c r="BM1257" s="59"/>
      <c r="BN1257" s="59"/>
      <c r="BO1257" s="59"/>
      <c r="BP1257" s="59"/>
      <c r="BQ1257" s="59"/>
      <c r="BR1257" s="59"/>
      <c r="BS1257" s="59"/>
      <c r="BT1257" s="59"/>
      <c r="BU1257" s="59"/>
      <c r="BV1257" s="59"/>
      <c r="BW1257" s="59"/>
      <c r="BX1257" s="59"/>
      <c r="BY1257" s="59"/>
      <c r="BZ1257" s="59"/>
      <c r="CA1257" s="59"/>
      <c r="CB1257" s="59"/>
    </row>
    <row r="1258" spans="1:80">
      <c r="A1258" s="74">
        <v>1257</v>
      </c>
      <c r="B1258" s="66" t="s">
        <v>67</v>
      </c>
      <c r="C1258" s="67" t="s">
        <v>303</v>
      </c>
      <c r="D1258" s="59" t="s">
        <v>280</v>
      </c>
      <c r="E1258" s="88"/>
      <c r="F1258" s="59"/>
      <c r="G1258" s="59"/>
      <c r="H1258" s="77" t="s">
        <v>76</v>
      </c>
      <c r="I1258" s="82">
        <v>12000</v>
      </c>
      <c r="J1258" s="59"/>
      <c r="K1258" s="85"/>
      <c r="L1258" s="86"/>
      <c r="M1258" s="87"/>
      <c r="N1258" s="59"/>
      <c r="O1258" s="59"/>
      <c r="P1258" s="59"/>
      <c r="Q1258" s="59"/>
      <c r="R1258" s="59"/>
      <c r="S1258" s="59"/>
      <c r="T1258" s="59"/>
      <c r="U1258" s="59"/>
      <c r="V1258" s="59"/>
      <c r="W1258" s="59"/>
      <c r="X1258" s="59"/>
      <c r="Y1258" s="59"/>
      <c r="Z1258" s="59"/>
      <c r="AA1258" s="59"/>
      <c r="AB1258" s="59"/>
      <c r="AC1258" s="59"/>
      <c r="AD1258" s="59"/>
      <c r="AE1258" s="59"/>
      <c r="AF1258" s="59"/>
      <c r="AG1258" s="59"/>
      <c r="AH1258" s="59"/>
      <c r="AI1258" s="59"/>
      <c r="AJ1258" s="59"/>
      <c r="AK1258" s="59"/>
      <c r="AL1258" s="59"/>
      <c r="AM1258" s="59"/>
      <c r="AN1258" s="59"/>
      <c r="AO1258" s="59"/>
      <c r="AP1258" s="59"/>
      <c r="AQ1258" s="59"/>
      <c r="AR1258" s="59"/>
      <c r="AS1258" s="59"/>
      <c r="AT1258" s="59"/>
      <c r="AU1258" s="59"/>
      <c r="AV1258" s="59"/>
      <c r="AW1258" s="59"/>
      <c r="AX1258" s="59"/>
      <c r="AY1258" s="59"/>
      <c r="AZ1258" s="59"/>
      <c r="BA1258" s="59"/>
      <c r="BB1258" s="59"/>
      <c r="BC1258" s="59"/>
      <c r="BD1258" s="59"/>
      <c r="BE1258" s="59"/>
      <c r="BF1258" s="59"/>
      <c r="BG1258" s="59"/>
      <c r="BH1258" s="59"/>
      <c r="BI1258" s="59"/>
      <c r="BJ1258" s="59"/>
      <c r="BK1258" s="59"/>
      <c r="BL1258" s="59"/>
      <c r="BM1258" s="59"/>
      <c r="BN1258" s="59"/>
      <c r="BO1258" s="59"/>
      <c r="BP1258" s="59"/>
      <c r="BQ1258" s="59"/>
      <c r="BR1258" s="59"/>
      <c r="BS1258" s="59"/>
      <c r="BT1258" s="59"/>
      <c r="BU1258" s="59"/>
      <c r="BV1258" s="59"/>
      <c r="BW1258" s="59"/>
      <c r="BX1258" s="59"/>
      <c r="BY1258" s="59"/>
      <c r="BZ1258" s="59"/>
      <c r="CA1258" s="59"/>
      <c r="CB1258" s="59"/>
    </row>
    <row r="1259" spans="1:80">
      <c r="A1259" s="74">
        <v>1258</v>
      </c>
      <c r="B1259" s="66" t="s">
        <v>67</v>
      </c>
      <c r="C1259" s="67" t="s">
        <v>303</v>
      </c>
      <c r="D1259" s="59" t="s">
        <v>281</v>
      </c>
      <c r="E1259" s="88"/>
      <c r="F1259" s="59"/>
      <c r="G1259" s="59"/>
      <c r="H1259" s="77" t="s">
        <v>76</v>
      </c>
      <c r="I1259" s="82">
        <v>12000</v>
      </c>
      <c r="J1259" s="59"/>
      <c r="K1259" s="85"/>
      <c r="L1259" s="86"/>
      <c r="M1259" s="87"/>
      <c r="N1259" s="59"/>
      <c r="O1259" s="59"/>
      <c r="P1259" s="59"/>
      <c r="Q1259" s="59"/>
      <c r="R1259" s="59"/>
      <c r="S1259" s="59"/>
      <c r="T1259" s="59"/>
      <c r="U1259" s="59"/>
      <c r="V1259" s="59"/>
      <c r="W1259" s="59"/>
      <c r="X1259" s="59"/>
      <c r="Y1259" s="59"/>
      <c r="Z1259" s="59"/>
      <c r="AA1259" s="59"/>
      <c r="AB1259" s="59"/>
      <c r="AC1259" s="59"/>
      <c r="AD1259" s="59"/>
      <c r="AE1259" s="59"/>
      <c r="AF1259" s="59"/>
      <c r="AG1259" s="59"/>
      <c r="AH1259" s="59"/>
      <c r="AI1259" s="59"/>
      <c r="AJ1259" s="59"/>
      <c r="AK1259" s="59"/>
      <c r="AL1259" s="59"/>
      <c r="AM1259" s="59"/>
      <c r="AN1259" s="59"/>
      <c r="AO1259" s="59"/>
      <c r="AP1259" s="59"/>
      <c r="AQ1259" s="59"/>
      <c r="AR1259" s="59"/>
      <c r="AS1259" s="59"/>
      <c r="AT1259" s="59"/>
      <c r="AU1259" s="59"/>
      <c r="AV1259" s="59"/>
      <c r="AW1259" s="59"/>
      <c r="AX1259" s="59"/>
      <c r="AY1259" s="59"/>
      <c r="AZ1259" s="59"/>
      <c r="BA1259" s="59"/>
      <c r="BB1259" s="59"/>
      <c r="BC1259" s="59"/>
      <c r="BD1259" s="59"/>
      <c r="BE1259" s="59"/>
      <c r="BF1259" s="59"/>
      <c r="BG1259" s="59"/>
      <c r="BH1259" s="59"/>
      <c r="BI1259" s="59"/>
      <c r="BJ1259" s="59"/>
      <c r="BK1259" s="59"/>
      <c r="BL1259" s="59"/>
      <c r="BM1259" s="59"/>
      <c r="BN1259" s="59"/>
      <c r="BO1259" s="59"/>
      <c r="BP1259" s="59"/>
      <c r="BQ1259" s="59"/>
      <c r="BR1259" s="59"/>
      <c r="BS1259" s="59"/>
      <c r="BT1259" s="59"/>
      <c r="BU1259" s="59"/>
      <c r="BV1259" s="59"/>
      <c r="BW1259" s="59"/>
      <c r="BX1259" s="59"/>
      <c r="BY1259" s="59"/>
      <c r="BZ1259" s="59"/>
      <c r="CA1259" s="59"/>
      <c r="CB1259" s="59"/>
    </row>
    <row r="1260" spans="1:80">
      <c r="A1260" s="74">
        <v>1259</v>
      </c>
      <c r="B1260" s="66" t="s">
        <v>67</v>
      </c>
      <c r="C1260" s="67" t="s">
        <v>303</v>
      </c>
      <c r="D1260" s="59" t="s">
        <v>282</v>
      </c>
      <c r="E1260" s="88"/>
      <c r="F1260" s="59"/>
      <c r="G1260" s="59"/>
      <c r="H1260" s="77" t="s">
        <v>76</v>
      </c>
      <c r="I1260" s="82">
        <v>12000</v>
      </c>
      <c r="J1260" s="59"/>
      <c r="K1260" s="85"/>
      <c r="L1260" s="86"/>
      <c r="M1260" s="87"/>
      <c r="N1260" s="59"/>
      <c r="O1260" s="59"/>
      <c r="P1260" s="59"/>
      <c r="Q1260" s="59"/>
      <c r="R1260" s="59"/>
      <c r="S1260" s="59"/>
      <c r="T1260" s="59"/>
      <c r="U1260" s="59"/>
      <c r="V1260" s="59"/>
      <c r="W1260" s="59"/>
      <c r="X1260" s="59"/>
      <c r="Y1260" s="59"/>
      <c r="Z1260" s="59"/>
      <c r="AA1260" s="59"/>
      <c r="AB1260" s="59"/>
      <c r="AC1260" s="59"/>
      <c r="AD1260" s="59"/>
      <c r="AE1260" s="59"/>
      <c r="AF1260" s="59"/>
      <c r="AG1260" s="59"/>
      <c r="AH1260" s="59"/>
      <c r="AI1260" s="59"/>
      <c r="AJ1260" s="59"/>
      <c r="AK1260" s="59"/>
      <c r="AL1260" s="59"/>
      <c r="AM1260" s="59"/>
      <c r="AN1260" s="59"/>
      <c r="AO1260" s="59"/>
      <c r="AP1260" s="59"/>
      <c r="AQ1260" s="59"/>
      <c r="AR1260" s="59"/>
      <c r="AS1260" s="59"/>
      <c r="AT1260" s="59"/>
      <c r="AU1260" s="59"/>
      <c r="AV1260" s="59"/>
      <c r="AW1260" s="59"/>
      <c r="AX1260" s="59"/>
      <c r="AY1260" s="59"/>
      <c r="AZ1260" s="59"/>
      <c r="BA1260" s="59"/>
      <c r="BB1260" s="59"/>
      <c r="BC1260" s="59"/>
      <c r="BD1260" s="59"/>
      <c r="BE1260" s="59"/>
      <c r="BF1260" s="59"/>
      <c r="BG1260" s="59"/>
      <c r="BH1260" s="59"/>
      <c r="BI1260" s="59"/>
      <c r="BJ1260" s="59"/>
      <c r="BK1260" s="59"/>
      <c r="BL1260" s="59"/>
      <c r="BM1260" s="59"/>
      <c r="BN1260" s="59"/>
      <c r="BO1260" s="59"/>
      <c r="BP1260" s="59"/>
      <c r="BQ1260" s="59"/>
      <c r="BR1260" s="59"/>
      <c r="BS1260" s="59"/>
      <c r="BT1260" s="59"/>
      <c r="BU1260" s="59"/>
      <c r="BV1260" s="59"/>
      <c r="BW1260" s="59"/>
      <c r="BX1260" s="59"/>
      <c r="BY1260" s="59"/>
      <c r="BZ1260" s="59"/>
      <c r="CA1260" s="59"/>
      <c r="CB1260" s="59"/>
    </row>
    <row r="1261" spans="1:80">
      <c r="A1261" s="74">
        <v>1260</v>
      </c>
      <c r="B1261" s="66" t="s">
        <v>67</v>
      </c>
      <c r="C1261" s="67" t="s">
        <v>303</v>
      </c>
      <c r="D1261" s="59" t="s">
        <v>283</v>
      </c>
      <c r="E1261" s="88"/>
      <c r="F1261" s="59"/>
      <c r="G1261" s="59"/>
      <c r="H1261" s="77" t="s">
        <v>76</v>
      </c>
      <c r="I1261" s="82">
        <v>12000</v>
      </c>
      <c r="J1261" s="59"/>
      <c r="K1261" s="85"/>
      <c r="L1261" s="86"/>
      <c r="M1261" s="87"/>
      <c r="N1261" s="59"/>
      <c r="O1261" s="59"/>
      <c r="P1261" s="59"/>
      <c r="Q1261" s="59"/>
      <c r="R1261" s="59"/>
      <c r="S1261" s="59"/>
      <c r="T1261" s="59"/>
      <c r="U1261" s="59"/>
      <c r="V1261" s="59"/>
      <c r="W1261" s="59"/>
      <c r="X1261" s="59"/>
      <c r="Y1261" s="59"/>
      <c r="Z1261" s="59"/>
      <c r="AA1261" s="59"/>
      <c r="AB1261" s="59"/>
      <c r="AC1261" s="59"/>
      <c r="AD1261" s="59"/>
      <c r="AE1261" s="59"/>
      <c r="AF1261" s="59"/>
      <c r="AG1261" s="59"/>
      <c r="AH1261" s="59"/>
      <c r="AI1261" s="59"/>
      <c r="AJ1261" s="59"/>
      <c r="AK1261" s="59"/>
      <c r="AL1261" s="59"/>
      <c r="AM1261" s="59"/>
      <c r="AN1261" s="59"/>
      <c r="AO1261" s="59"/>
      <c r="AP1261" s="59"/>
      <c r="AQ1261" s="59"/>
      <c r="AR1261" s="59"/>
      <c r="AS1261" s="59"/>
      <c r="AT1261" s="59"/>
      <c r="AU1261" s="59"/>
      <c r="AV1261" s="59"/>
      <c r="AW1261" s="59"/>
      <c r="AX1261" s="59"/>
      <c r="AY1261" s="59"/>
      <c r="AZ1261" s="59"/>
      <c r="BA1261" s="59"/>
      <c r="BB1261" s="59"/>
      <c r="BC1261" s="59"/>
      <c r="BD1261" s="59"/>
      <c r="BE1261" s="59"/>
      <c r="BF1261" s="59"/>
      <c r="BG1261" s="59"/>
      <c r="BH1261" s="59"/>
      <c r="BI1261" s="59"/>
      <c r="BJ1261" s="59"/>
      <c r="BK1261" s="59"/>
      <c r="BL1261" s="59"/>
      <c r="BM1261" s="59"/>
      <c r="BN1261" s="59"/>
      <c r="BO1261" s="59"/>
      <c r="BP1261" s="59"/>
      <c r="BQ1261" s="59"/>
      <c r="BR1261" s="59"/>
      <c r="BS1261" s="59"/>
      <c r="BT1261" s="59"/>
      <c r="BU1261" s="59"/>
      <c r="BV1261" s="59"/>
      <c r="BW1261" s="59"/>
      <c r="BX1261" s="59"/>
      <c r="BY1261" s="59"/>
      <c r="BZ1261" s="59"/>
      <c r="CA1261" s="59"/>
      <c r="CB1261" s="59"/>
    </row>
    <row r="1262" spans="1:80">
      <c r="A1262" s="74">
        <v>1261</v>
      </c>
      <c r="B1262" s="66" t="s">
        <v>67</v>
      </c>
      <c r="C1262" s="67" t="s">
        <v>303</v>
      </c>
      <c r="D1262" s="59" t="s">
        <v>284</v>
      </c>
      <c r="E1262" s="88"/>
      <c r="F1262" s="59"/>
      <c r="G1262" s="59"/>
      <c r="H1262" s="77" t="s">
        <v>76</v>
      </c>
      <c r="I1262" s="82">
        <v>12000</v>
      </c>
      <c r="J1262" s="59"/>
      <c r="K1262" s="85"/>
      <c r="L1262" s="86"/>
      <c r="M1262" s="87"/>
      <c r="N1262" s="59"/>
      <c r="O1262" s="59"/>
      <c r="P1262" s="59"/>
      <c r="Q1262" s="59"/>
      <c r="R1262" s="59"/>
      <c r="S1262" s="59"/>
      <c r="T1262" s="59"/>
      <c r="U1262" s="59"/>
      <c r="V1262" s="59"/>
      <c r="W1262" s="59"/>
      <c r="X1262" s="59"/>
      <c r="Y1262" s="59"/>
      <c r="Z1262" s="59"/>
      <c r="AA1262" s="59"/>
      <c r="AB1262" s="59"/>
      <c r="AC1262" s="59"/>
      <c r="AD1262" s="59"/>
      <c r="AE1262" s="59"/>
      <c r="AF1262" s="59"/>
      <c r="AG1262" s="59"/>
      <c r="AH1262" s="59"/>
      <c r="AI1262" s="59"/>
      <c r="AJ1262" s="59"/>
      <c r="AK1262" s="59"/>
      <c r="AL1262" s="59"/>
      <c r="AM1262" s="59"/>
      <c r="AN1262" s="59"/>
      <c r="AO1262" s="59"/>
      <c r="AP1262" s="59"/>
      <c r="AQ1262" s="59"/>
      <c r="AR1262" s="59"/>
      <c r="AS1262" s="59"/>
      <c r="AT1262" s="59"/>
      <c r="AU1262" s="59"/>
      <c r="AV1262" s="59"/>
      <c r="AW1262" s="59"/>
      <c r="AX1262" s="59"/>
      <c r="AY1262" s="59"/>
      <c r="AZ1262" s="59"/>
      <c r="BA1262" s="59"/>
      <c r="BB1262" s="59"/>
      <c r="BC1262" s="59"/>
      <c r="BD1262" s="59"/>
      <c r="BE1262" s="59"/>
      <c r="BF1262" s="59"/>
      <c r="BG1262" s="59"/>
      <c r="BH1262" s="59"/>
      <c r="BI1262" s="59"/>
      <c r="BJ1262" s="59"/>
      <c r="BK1262" s="59"/>
      <c r="BL1262" s="59"/>
      <c r="BM1262" s="59"/>
      <c r="BN1262" s="59"/>
      <c r="BO1262" s="59"/>
      <c r="BP1262" s="59"/>
      <c r="BQ1262" s="59"/>
      <c r="BR1262" s="59"/>
      <c r="BS1262" s="59"/>
      <c r="BT1262" s="59"/>
      <c r="BU1262" s="59"/>
      <c r="BV1262" s="59"/>
      <c r="BW1262" s="59"/>
      <c r="BX1262" s="59"/>
      <c r="BY1262" s="59"/>
      <c r="BZ1262" s="59"/>
      <c r="CA1262" s="59"/>
      <c r="CB1262" s="59"/>
    </row>
    <row r="1263" spans="1:80">
      <c r="A1263" s="74">
        <v>1262</v>
      </c>
      <c r="B1263" s="66" t="s">
        <v>67</v>
      </c>
      <c r="C1263" s="67" t="s">
        <v>303</v>
      </c>
      <c r="D1263" s="59" t="s">
        <v>285</v>
      </c>
      <c r="E1263" s="88"/>
      <c r="F1263" s="59"/>
      <c r="G1263" s="59"/>
      <c r="H1263" s="77" t="s">
        <v>76</v>
      </c>
      <c r="I1263" s="82">
        <v>12000</v>
      </c>
      <c r="J1263" s="59"/>
      <c r="K1263" s="85"/>
      <c r="L1263" s="86"/>
      <c r="M1263" s="87"/>
      <c r="N1263" s="59"/>
      <c r="O1263" s="59"/>
      <c r="P1263" s="59"/>
      <c r="Q1263" s="59"/>
      <c r="R1263" s="59"/>
      <c r="S1263" s="59"/>
      <c r="T1263" s="59"/>
      <c r="U1263" s="59"/>
      <c r="V1263" s="59"/>
      <c r="W1263" s="59"/>
      <c r="X1263" s="59"/>
      <c r="Y1263" s="59"/>
      <c r="Z1263" s="59"/>
      <c r="AA1263" s="59"/>
      <c r="AB1263" s="59"/>
      <c r="AC1263" s="59"/>
      <c r="AD1263" s="59"/>
      <c r="AE1263" s="59"/>
      <c r="AF1263" s="59"/>
      <c r="AG1263" s="59"/>
      <c r="AH1263" s="59"/>
      <c r="AI1263" s="59"/>
      <c r="AJ1263" s="59"/>
      <c r="AK1263" s="59"/>
      <c r="AL1263" s="59"/>
      <c r="AM1263" s="59"/>
      <c r="AN1263" s="59"/>
      <c r="AO1263" s="59"/>
      <c r="AP1263" s="59"/>
      <c r="AQ1263" s="59"/>
      <c r="AR1263" s="59"/>
      <c r="AS1263" s="59"/>
      <c r="AT1263" s="59"/>
      <c r="AU1263" s="59"/>
      <c r="AV1263" s="59"/>
      <c r="AW1263" s="59"/>
      <c r="AX1263" s="59"/>
      <c r="AY1263" s="59"/>
      <c r="AZ1263" s="59"/>
      <c r="BA1263" s="59"/>
      <c r="BB1263" s="59"/>
      <c r="BC1263" s="59"/>
      <c r="BD1263" s="59"/>
      <c r="BE1263" s="59"/>
      <c r="BF1263" s="59"/>
      <c r="BG1263" s="59"/>
      <c r="BH1263" s="59"/>
      <c r="BI1263" s="59"/>
      <c r="BJ1263" s="59"/>
      <c r="BK1263" s="59"/>
      <c r="BL1263" s="59"/>
      <c r="BM1263" s="59"/>
      <c r="BN1263" s="59"/>
      <c r="BO1263" s="59"/>
      <c r="BP1263" s="59"/>
      <c r="BQ1263" s="59"/>
      <c r="BR1263" s="59"/>
      <c r="BS1263" s="59"/>
      <c r="BT1263" s="59"/>
      <c r="BU1263" s="59"/>
      <c r="BV1263" s="59"/>
      <c r="BW1263" s="59"/>
      <c r="BX1263" s="59"/>
      <c r="BY1263" s="59"/>
      <c r="BZ1263" s="59"/>
      <c r="CA1263" s="59"/>
      <c r="CB1263" s="59"/>
    </row>
    <row r="1264" spans="1:80">
      <c r="A1264" s="74">
        <v>1263</v>
      </c>
      <c r="B1264" s="66" t="s">
        <v>67</v>
      </c>
      <c r="C1264" s="67" t="s">
        <v>303</v>
      </c>
      <c r="D1264" s="59" t="s">
        <v>286</v>
      </c>
      <c r="E1264" s="88"/>
      <c r="F1264" s="59"/>
      <c r="G1264" s="59"/>
      <c r="H1264" s="77" t="s">
        <v>76</v>
      </c>
      <c r="I1264" s="82">
        <v>12000</v>
      </c>
      <c r="J1264" s="59"/>
      <c r="K1264" s="85"/>
      <c r="L1264" s="86"/>
      <c r="M1264" s="87"/>
      <c r="N1264" s="59"/>
      <c r="O1264" s="59"/>
      <c r="P1264" s="59"/>
      <c r="Q1264" s="59"/>
      <c r="R1264" s="59"/>
      <c r="S1264" s="59"/>
      <c r="T1264" s="59"/>
      <c r="U1264" s="59"/>
      <c r="V1264" s="59"/>
      <c r="W1264" s="59"/>
      <c r="X1264" s="59"/>
      <c r="Y1264" s="59"/>
      <c r="Z1264" s="59"/>
      <c r="AA1264" s="59"/>
      <c r="AB1264" s="59"/>
      <c r="AC1264" s="59"/>
      <c r="AD1264" s="59"/>
      <c r="AE1264" s="59"/>
      <c r="AF1264" s="59"/>
      <c r="AG1264" s="59"/>
      <c r="AH1264" s="59"/>
      <c r="AI1264" s="59"/>
      <c r="AJ1264" s="59"/>
      <c r="AK1264" s="59"/>
      <c r="AL1264" s="59"/>
      <c r="AM1264" s="59"/>
      <c r="AN1264" s="59"/>
      <c r="AO1264" s="59"/>
      <c r="AP1264" s="59"/>
      <c r="AQ1264" s="59"/>
      <c r="AR1264" s="59"/>
      <c r="AS1264" s="59"/>
      <c r="AT1264" s="59"/>
      <c r="AU1264" s="59"/>
      <c r="AV1264" s="59"/>
      <c r="AW1264" s="59"/>
      <c r="AX1264" s="59"/>
      <c r="AY1264" s="59"/>
      <c r="AZ1264" s="59"/>
      <c r="BA1264" s="59"/>
      <c r="BB1264" s="59"/>
      <c r="BC1264" s="59"/>
      <c r="BD1264" s="59"/>
      <c r="BE1264" s="59"/>
      <c r="BF1264" s="59"/>
      <c r="BG1264" s="59"/>
      <c r="BH1264" s="59"/>
      <c r="BI1264" s="59"/>
      <c r="BJ1264" s="59"/>
      <c r="BK1264" s="59"/>
      <c r="BL1264" s="59"/>
      <c r="BM1264" s="59"/>
      <c r="BN1264" s="59"/>
      <c r="BO1264" s="59"/>
      <c r="BP1264" s="59"/>
      <c r="BQ1264" s="59"/>
      <c r="BR1264" s="59"/>
      <c r="BS1264" s="59"/>
      <c r="BT1264" s="59"/>
      <c r="BU1264" s="59"/>
      <c r="BV1264" s="59"/>
      <c r="BW1264" s="59"/>
      <c r="BX1264" s="59"/>
      <c r="BY1264" s="59"/>
      <c r="BZ1264" s="59"/>
      <c r="CA1264" s="59"/>
      <c r="CB1264" s="59"/>
    </row>
    <row r="1265" spans="1:80">
      <c r="A1265" s="74">
        <v>1264</v>
      </c>
      <c r="B1265" s="66" t="s">
        <v>67</v>
      </c>
      <c r="C1265" s="67" t="s">
        <v>303</v>
      </c>
      <c r="D1265" s="59" t="s">
        <v>287</v>
      </c>
      <c r="E1265" s="88"/>
      <c r="F1265" s="59"/>
      <c r="G1265" s="59"/>
      <c r="H1265" s="77" t="s">
        <v>76</v>
      </c>
      <c r="I1265" s="82">
        <v>12000</v>
      </c>
      <c r="J1265" s="59"/>
      <c r="K1265" s="85"/>
      <c r="L1265" s="86"/>
      <c r="M1265" s="87"/>
      <c r="N1265" s="59"/>
      <c r="O1265" s="59"/>
      <c r="P1265" s="59"/>
      <c r="Q1265" s="59"/>
      <c r="R1265" s="59"/>
      <c r="S1265" s="59"/>
      <c r="T1265" s="59"/>
      <c r="U1265" s="59"/>
      <c r="V1265" s="59"/>
      <c r="W1265" s="59"/>
      <c r="X1265" s="59"/>
      <c r="Y1265" s="59"/>
      <c r="Z1265" s="59"/>
      <c r="AA1265" s="59"/>
      <c r="AB1265" s="59"/>
      <c r="AC1265" s="59"/>
      <c r="AD1265" s="59"/>
      <c r="AE1265" s="59"/>
      <c r="AF1265" s="59"/>
      <c r="AG1265" s="59"/>
      <c r="AH1265" s="59"/>
      <c r="AI1265" s="59"/>
      <c r="AJ1265" s="59"/>
      <c r="AK1265" s="59"/>
      <c r="AL1265" s="59"/>
      <c r="AM1265" s="59"/>
      <c r="AN1265" s="59"/>
      <c r="AO1265" s="59"/>
      <c r="AP1265" s="59"/>
      <c r="AQ1265" s="59"/>
      <c r="AR1265" s="59"/>
      <c r="AS1265" s="59"/>
      <c r="AT1265" s="59"/>
      <c r="AU1265" s="59"/>
      <c r="AV1265" s="59"/>
      <c r="AW1265" s="59"/>
      <c r="AX1265" s="59"/>
      <c r="AY1265" s="59"/>
      <c r="AZ1265" s="59"/>
      <c r="BA1265" s="59"/>
      <c r="BB1265" s="59"/>
      <c r="BC1265" s="59"/>
      <c r="BD1265" s="59"/>
      <c r="BE1265" s="59"/>
      <c r="BF1265" s="59"/>
      <c r="BG1265" s="59"/>
      <c r="BH1265" s="59"/>
      <c r="BI1265" s="59"/>
      <c r="BJ1265" s="59"/>
      <c r="BK1265" s="59"/>
      <c r="BL1265" s="59"/>
      <c r="BM1265" s="59"/>
      <c r="BN1265" s="59"/>
      <c r="BO1265" s="59"/>
      <c r="BP1265" s="59"/>
      <c r="BQ1265" s="59"/>
      <c r="BR1265" s="59"/>
      <c r="BS1265" s="59"/>
      <c r="BT1265" s="59"/>
      <c r="BU1265" s="59"/>
      <c r="BV1265" s="59"/>
      <c r="BW1265" s="59"/>
      <c r="BX1265" s="59"/>
      <c r="BY1265" s="59"/>
      <c r="BZ1265" s="59"/>
      <c r="CA1265" s="59"/>
      <c r="CB1265" s="59"/>
    </row>
    <row r="1266" spans="1:80">
      <c r="A1266" s="74">
        <v>1265</v>
      </c>
      <c r="B1266" s="66" t="s">
        <v>67</v>
      </c>
      <c r="C1266" s="67" t="s">
        <v>303</v>
      </c>
      <c r="D1266" s="59" t="s">
        <v>288</v>
      </c>
      <c r="E1266" s="88"/>
      <c r="F1266" s="59"/>
      <c r="G1266" s="59"/>
      <c r="H1266" s="77" t="s">
        <v>76</v>
      </c>
      <c r="I1266" s="82">
        <v>12000</v>
      </c>
      <c r="J1266" s="59"/>
      <c r="K1266" s="85"/>
      <c r="L1266" s="86"/>
      <c r="M1266" s="87"/>
      <c r="N1266" s="59"/>
      <c r="O1266" s="59"/>
      <c r="P1266" s="59"/>
      <c r="Q1266" s="59"/>
      <c r="R1266" s="59"/>
      <c r="S1266" s="59"/>
      <c r="T1266" s="59"/>
      <c r="U1266" s="59"/>
      <c r="V1266" s="59"/>
      <c r="W1266" s="59"/>
      <c r="X1266" s="59"/>
      <c r="Y1266" s="59"/>
      <c r="Z1266" s="59"/>
      <c r="AA1266" s="59"/>
      <c r="AB1266" s="59"/>
      <c r="AC1266" s="59"/>
      <c r="AD1266" s="59"/>
      <c r="AE1266" s="59"/>
      <c r="AF1266" s="59"/>
      <c r="AG1266" s="59"/>
      <c r="AH1266" s="59"/>
      <c r="AI1266" s="59"/>
      <c r="AJ1266" s="59"/>
      <c r="AK1266" s="59"/>
      <c r="AL1266" s="59"/>
      <c r="AM1266" s="59"/>
      <c r="AN1266" s="59"/>
      <c r="AO1266" s="59"/>
      <c r="AP1266" s="59"/>
      <c r="AQ1266" s="59"/>
      <c r="AR1266" s="59"/>
      <c r="AS1266" s="59"/>
      <c r="AT1266" s="59"/>
      <c r="AU1266" s="59"/>
      <c r="AV1266" s="59"/>
      <c r="AW1266" s="59"/>
      <c r="AX1266" s="59"/>
      <c r="AY1266" s="59"/>
      <c r="AZ1266" s="59"/>
      <c r="BA1266" s="59"/>
      <c r="BB1266" s="59"/>
      <c r="BC1266" s="59"/>
      <c r="BD1266" s="59"/>
      <c r="BE1266" s="59"/>
      <c r="BF1266" s="59"/>
      <c r="BG1266" s="59"/>
      <c r="BH1266" s="59"/>
      <c r="BI1266" s="59"/>
      <c r="BJ1266" s="59"/>
      <c r="BK1266" s="59"/>
      <c r="BL1266" s="59"/>
      <c r="BM1266" s="59"/>
      <c r="BN1266" s="59"/>
      <c r="BO1266" s="59"/>
      <c r="BP1266" s="59"/>
      <c r="BQ1266" s="59"/>
      <c r="BR1266" s="59"/>
      <c r="BS1266" s="59"/>
      <c r="BT1266" s="59"/>
      <c r="BU1266" s="59"/>
      <c r="BV1266" s="59"/>
      <c r="BW1266" s="59"/>
      <c r="BX1266" s="59"/>
      <c r="BY1266" s="59"/>
      <c r="BZ1266" s="59"/>
      <c r="CA1266" s="59"/>
      <c r="CB1266" s="59"/>
    </row>
    <row r="1267" spans="1:80">
      <c r="A1267" s="74">
        <v>1266</v>
      </c>
      <c r="B1267" s="66" t="s">
        <v>67</v>
      </c>
      <c r="C1267" s="67" t="s">
        <v>303</v>
      </c>
      <c r="D1267" s="59" t="s">
        <v>289</v>
      </c>
      <c r="E1267" s="88"/>
      <c r="F1267" s="59"/>
      <c r="G1267" s="59"/>
      <c r="H1267" s="77" t="s">
        <v>76</v>
      </c>
      <c r="I1267" s="82">
        <v>12000</v>
      </c>
      <c r="J1267" s="59"/>
      <c r="K1267" s="85"/>
      <c r="L1267" s="86"/>
      <c r="M1267" s="87"/>
      <c r="N1267" s="59"/>
      <c r="O1267" s="59"/>
      <c r="P1267" s="59"/>
      <c r="Q1267" s="59"/>
      <c r="R1267" s="59"/>
      <c r="S1267" s="59"/>
      <c r="T1267" s="59"/>
      <c r="U1267" s="59"/>
      <c r="V1267" s="59"/>
      <c r="W1267" s="59"/>
      <c r="X1267" s="59"/>
      <c r="Y1267" s="59"/>
      <c r="Z1267" s="59"/>
      <c r="AA1267" s="59"/>
      <c r="AB1267" s="59"/>
      <c r="AC1267" s="59"/>
      <c r="AD1267" s="59"/>
      <c r="AE1267" s="59"/>
      <c r="AF1267" s="59"/>
      <c r="AG1267" s="59"/>
      <c r="AH1267" s="59"/>
      <c r="AI1267" s="59"/>
      <c r="AJ1267" s="59"/>
      <c r="AK1267" s="59"/>
      <c r="AL1267" s="59"/>
      <c r="AM1267" s="59"/>
      <c r="AN1267" s="59"/>
      <c r="AO1267" s="59"/>
      <c r="AP1267" s="59"/>
      <c r="AQ1267" s="59"/>
      <c r="AR1267" s="59"/>
      <c r="AS1267" s="59"/>
      <c r="AT1267" s="59"/>
      <c r="AU1267" s="59"/>
      <c r="AV1267" s="59"/>
      <c r="AW1267" s="59"/>
      <c r="AX1267" s="59"/>
      <c r="AY1267" s="59"/>
      <c r="AZ1267" s="59"/>
      <c r="BA1267" s="59"/>
      <c r="BB1267" s="59"/>
      <c r="BC1267" s="59"/>
      <c r="BD1267" s="59"/>
      <c r="BE1267" s="59"/>
      <c r="BF1267" s="59"/>
      <c r="BG1267" s="59"/>
      <c r="BH1267" s="59"/>
      <c r="BI1267" s="59"/>
      <c r="BJ1267" s="59"/>
      <c r="BK1267" s="59"/>
      <c r="BL1267" s="59"/>
      <c r="BM1267" s="59"/>
      <c r="BN1267" s="59"/>
      <c r="BO1267" s="59"/>
      <c r="BP1267" s="59"/>
      <c r="BQ1267" s="59"/>
      <c r="BR1267" s="59"/>
      <c r="BS1267" s="59"/>
      <c r="BT1267" s="59"/>
      <c r="BU1267" s="59"/>
      <c r="BV1267" s="59"/>
      <c r="BW1267" s="59"/>
      <c r="BX1267" s="59"/>
      <c r="BY1267" s="59"/>
      <c r="BZ1267" s="59"/>
      <c r="CA1267" s="59"/>
      <c r="CB1267" s="59"/>
    </row>
    <row r="1268" spans="1:80">
      <c r="A1268" s="74">
        <v>1267</v>
      </c>
      <c r="B1268" s="66" t="s">
        <v>67</v>
      </c>
      <c r="C1268" s="67" t="s">
        <v>303</v>
      </c>
      <c r="D1268" s="59" t="s">
        <v>290</v>
      </c>
      <c r="E1268" s="88"/>
      <c r="F1268" s="59"/>
      <c r="G1268" s="59"/>
      <c r="H1268" s="77" t="s">
        <v>76</v>
      </c>
      <c r="I1268" s="82">
        <v>12000</v>
      </c>
      <c r="J1268" s="59"/>
      <c r="K1268" s="85"/>
      <c r="L1268" s="86"/>
      <c r="M1268" s="87"/>
      <c r="N1268" s="59"/>
      <c r="O1268" s="59"/>
      <c r="P1268" s="59"/>
      <c r="Q1268" s="59"/>
      <c r="R1268" s="59"/>
      <c r="S1268" s="59"/>
      <c r="T1268" s="59"/>
      <c r="U1268" s="59"/>
      <c r="V1268" s="59"/>
      <c r="W1268" s="59"/>
      <c r="X1268" s="59"/>
      <c r="Y1268" s="59"/>
      <c r="Z1268" s="59"/>
      <c r="AA1268" s="59"/>
      <c r="AB1268" s="59"/>
      <c r="AC1268" s="59"/>
      <c r="AD1268" s="59"/>
      <c r="AE1268" s="59"/>
      <c r="AF1268" s="59"/>
      <c r="AG1268" s="59"/>
      <c r="AH1268" s="59"/>
      <c r="AI1268" s="59"/>
      <c r="AJ1268" s="59"/>
      <c r="AK1268" s="59"/>
      <c r="AL1268" s="59"/>
      <c r="AM1268" s="59"/>
      <c r="AN1268" s="59"/>
      <c r="AO1268" s="59"/>
      <c r="AP1268" s="59"/>
      <c r="AQ1268" s="59"/>
      <c r="AR1268" s="59"/>
      <c r="AS1268" s="59"/>
      <c r="AT1268" s="59"/>
      <c r="AU1268" s="59"/>
      <c r="AV1268" s="59"/>
      <c r="AW1268" s="59"/>
      <c r="AX1268" s="59"/>
      <c r="AY1268" s="59"/>
      <c r="AZ1268" s="59"/>
      <c r="BA1268" s="59"/>
      <c r="BB1268" s="59"/>
      <c r="BC1268" s="59"/>
      <c r="BD1268" s="59"/>
      <c r="BE1268" s="59"/>
      <c r="BF1268" s="59"/>
      <c r="BG1268" s="59"/>
      <c r="BH1268" s="59"/>
      <c r="BI1268" s="59"/>
      <c r="BJ1268" s="59"/>
      <c r="BK1268" s="59"/>
      <c r="BL1268" s="59"/>
      <c r="BM1268" s="59"/>
      <c r="BN1268" s="59"/>
      <c r="BO1268" s="59"/>
      <c r="BP1268" s="59"/>
      <c r="BQ1268" s="59"/>
      <c r="BR1268" s="59"/>
      <c r="BS1268" s="59"/>
      <c r="BT1268" s="59"/>
      <c r="BU1268" s="59"/>
      <c r="BV1268" s="59"/>
      <c r="BW1268" s="59"/>
      <c r="BX1268" s="59"/>
      <c r="BY1268" s="59"/>
      <c r="BZ1268" s="59"/>
      <c r="CA1268" s="59"/>
      <c r="CB1268" s="59"/>
    </row>
    <row r="1269" spans="1:80">
      <c r="A1269" s="74">
        <v>1268</v>
      </c>
      <c r="B1269" s="66" t="s">
        <v>67</v>
      </c>
      <c r="C1269" s="67" t="s">
        <v>303</v>
      </c>
      <c r="D1269" s="59" t="s">
        <v>291</v>
      </c>
      <c r="E1269" s="88"/>
      <c r="F1269" s="59"/>
      <c r="G1269" s="59"/>
      <c r="H1269" s="77" t="s">
        <v>76</v>
      </c>
      <c r="I1269" s="82">
        <v>12000</v>
      </c>
      <c r="J1269" s="59"/>
      <c r="K1269" s="85"/>
      <c r="L1269" s="86"/>
      <c r="M1269" s="87"/>
      <c r="N1269" s="59"/>
      <c r="O1269" s="59"/>
      <c r="P1269" s="59"/>
      <c r="Q1269" s="59"/>
      <c r="R1269" s="59"/>
      <c r="S1269" s="59"/>
      <c r="T1269" s="59"/>
      <c r="U1269" s="59"/>
      <c r="V1269" s="59"/>
      <c r="W1269" s="59"/>
      <c r="X1269" s="59"/>
      <c r="Y1269" s="59"/>
      <c r="Z1269" s="59"/>
      <c r="AA1269" s="59"/>
      <c r="AB1269" s="59"/>
      <c r="AC1269" s="59"/>
      <c r="AD1269" s="59"/>
      <c r="AE1269" s="59"/>
      <c r="AF1269" s="59"/>
      <c r="AG1269" s="59"/>
      <c r="AH1269" s="59"/>
      <c r="AI1269" s="59"/>
      <c r="AJ1269" s="59"/>
      <c r="AK1269" s="59"/>
      <c r="AL1269" s="59"/>
      <c r="AM1269" s="59"/>
      <c r="AN1269" s="59"/>
      <c r="AO1269" s="59"/>
      <c r="AP1269" s="59"/>
      <c r="AQ1269" s="59"/>
      <c r="AR1269" s="59"/>
      <c r="AS1269" s="59"/>
      <c r="AT1269" s="59"/>
      <c r="AU1269" s="59"/>
      <c r="AV1269" s="59"/>
      <c r="AW1269" s="59"/>
      <c r="AX1269" s="59"/>
      <c r="AY1269" s="59"/>
      <c r="AZ1269" s="59"/>
      <c r="BA1269" s="59"/>
      <c r="BB1269" s="59"/>
      <c r="BC1269" s="59"/>
      <c r="BD1269" s="59"/>
      <c r="BE1269" s="59"/>
      <c r="BF1269" s="59"/>
      <c r="BG1269" s="59"/>
      <c r="BH1269" s="59"/>
      <c r="BI1269" s="59"/>
      <c r="BJ1269" s="59"/>
      <c r="BK1269" s="59"/>
      <c r="BL1269" s="59"/>
      <c r="BM1269" s="59"/>
      <c r="BN1269" s="59"/>
      <c r="BO1269" s="59"/>
      <c r="BP1269" s="59"/>
      <c r="BQ1269" s="59"/>
      <c r="BR1269" s="59"/>
      <c r="BS1269" s="59"/>
      <c r="BT1269" s="59"/>
      <c r="BU1269" s="59"/>
      <c r="BV1269" s="59"/>
      <c r="BW1269" s="59"/>
      <c r="BX1269" s="59"/>
      <c r="BY1269" s="59"/>
      <c r="BZ1269" s="59"/>
      <c r="CA1269" s="59"/>
      <c r="CB1269" s="59"/>
    </row>
    <row r="1270" spans="1:80">
      <c r="A1270" s="74">
        <v>1269</v>
      </c>
      <c r="B1270" s="66" t="s">
        <v>67</v>
      </c>
      <c r="C1270" s="67" t="s">
        <v>303</v>
      </c>
      <c r="D1270" s="59" t="s">
        <v>292</v>
      </c>
      <c r="E1270" s="88"/>
      <c r="F1270" s="59"/>
      <c r="G1270" s="59"/>
      <c r="H1270" s="77" t="s">
        <v>76</v>
      </c>
      <c r="I1270" s="82">
        <v>12000</v>
      </c>
      <c r="J1270" s="59"/>
      <c r="K1270" s="85"/>
      <c r="L1270" s="86"/>
      <c r="M1270" s="87"/>
      <c r="N1270" s="59"/>
      <c r="O1270" s="59"/>
      <c r="P1270" s="59"/>
      <c r="Q1270" s="59"/>
      <c r="R1270" s="59"/>
      <c r="S1270" s="59"/>
      <c r="T1270" s="59"/>
      <c r="U1270" s="59"/>
      <c r="V1270" s="59"/>
      <c r="W1270" s="59"/>
      <c r="X1270" s="59"/>
      <c r="Y1270" s="59"/>
      <c r="Z1270" s="59"/>
      <c r="AA1270" s="59"/>
      <c r="AB1270" s="59"/>
      <c r="AC1270" s="59"/>
      <c r="AD1270" s="59"/>
      <c r="AE1270" s="59"/>
      <c r="AF1270" s="59"/>
      <c r="AG1270" s="59"/>
      <c r="AH1270" s="59"/>
      <c r="AI1270" s="59"/>
      <c r="AJ1270" s="59"/>
      <c r="AK1270" s="59"/>
      <c r="AL1270" s="59"/>
      <c r="AM1270" s="59"/>
      <c r="AN1270" s="59"/>
      <c r="AO1270" s="59"/>
      <c r="AP1270" s="59"/>
      <c r="AQ1270" s="59"/>
      <c r="AR1270" s="59"/>
      <c r="AS1270" s="59"/>
      <c r="AT1270" s="59"/>
      <c r="AU1270" s="59"/>
      <c r="AV1270" s="59"/>
      <c r="AW1270" s="59"/>
      <c r="AX1270" s="59"/>
      <c r="AY1270" s="59"/>
      <c r="AZ1270" s="59"/>
      <c r="BA1270" s="59"/>
      <c r="BB1270" s="59"/>
      <c r="BC1270" s="59"/>
      <c r="BD1270" s="59"/>
      <c r="BE1270" s="59"/>
      <c r="BF1270" s="59"/>
      <c r="BG1270" s="59"/>
      <c r="BH1270" s="59"/>
      <c r="BI1270" s="59"/>
      <c r="BJ1270" s="59"/>
      <c r="BK1270" s="59"/>
      <c r="BL1270" s="59"/>
      <c r="BM1270" s="59"/>
      <c r="BN1270" s="59"/>
      <c r="BO1270" s="59"/>
      <c r="BP1270" s="59"/>
      <c r="BQ1270" s="59"/>
      <c r="BR1270" s="59"/>
      <c r="BS1270" s="59"/>
      <c r="BT1270" s="59"/>
      <c r="BU1270" s="59"/>
      <c r="BV1270" s="59"/>
      <c r="BW1270" s="59"/>
      <c r="BX1270" s="59"/>
      <c r="BY1270" s="59"/>
      <c r="BZ1270" s="59"/>
      <c r="CA1270" s="59"/>
      <c r="CB1270" s="59"/>
    </row>
    <row r="1271" spans="1:80">
      <c r="A1271" s="74">
        <v>1270</v>
      </c>
      <c r="B1271" s="66" t="s">
        <v>67</v>
      </c>
      <c r="C1271" s="67" t="s">
        <v>303</v>
      </c>
      <c r="D1271" s="59" t="s">
        <v>293</v>
      </c>
      <c r="E1271" s="88"/>
      <c r="F1271" s="59"/>
      <c r="G1271" s="59"/>
      <c r="H1271" s="77" t="s">
        <v>76</v>
      </c>
      <c r="I1271" s="82">
        <v>12000</v>
      </c>
      <c r="J1271" s="59"/>
      <c r="K1271" s="85"/>
      <c r="L1271" s="86"/>
      <c r="M1271" s="87"/>
      <c r="N1271" s="59"/>
      <c r="O1271" s="59"/>
      <c r="P1271" s="59"/>
      <c r="Q1271" s="59"/>
      <c r="R1271" s="59"/>
      <c r="S1271" s="59"/>
      <c r="T1271" s="59"/>
      <c r="U1271" s="59"/>
      <c r="V1271" s="59"/>
      <c r="W1271" s="59"/>
      <c r="X1271" s="59"/>
      <c r="Y1271" s="59"/>
      <c r="Z1271" s="59"/>
      <c r="AA1271" s="59"/>
      <c r="AB1271" s="59"/>
      <c r="AC1271" s="59"/>
      <c r="AD1271" s="59"/>
      <c r="AE1271" s="59"/>
      <c r="AF1271" s="59"/>
      <c r="AG1271" s="59"/>
      <c r="AH1271" s="59"/>
      <c r="AI1271" s="59"/>
      <c r="AJ1271" s="59"/>
      <c r="AK1271" s="59"/>
      <c r="AL1271" s="59"/>
      <c r="AM1271" s="59"/>
      <c r="AN1271" s="59"/>
      <c r="AO1271" s="59"/>
      <c r="AP1271" s="59"/>
      <c r="AQ1271" s="59"/>
      <c r="AR1271" s="59"/>
      <c r="AS1271" s="59"/>
      <c r="AT1271" s="59"/>
      <c r="AU1271" s="59"/>
      <c r="AV1271" s="59"/>
      <c r="AW1271" s="59"/>
      <c r="AX1271" s="59"/>
      <c r="AY1271" s="59"/>
      <c r="AZ1271" s="59"/>
      <c r="BA1271" s="59"/>
      <c r="BB1271" s="59"/>
      <c r="BC1271" s="59"/>
      <c r="BD1271" s="59"/>
      <c r="BE1271" s="59"/>
      <c r="BF1271" s="59"/>
      <c r="BG1271" s="59"/>
      <c r="BH1271" s="59"/>
      <c r="BI1271" s="59"/>
      <c r="BJ1271" s="59"/>
      <c r="BK1271" s="59"/>
      <c r="BL1271" s="59"/>
      <c r="BM1271" s="59"/>
      <c r="BN1271" s="59"/>
      <c r="BO1271" s="59"/>
      <c r="BP1271" s="59"/>
      <c r="BQ1271" s="59"/>
      <c r="BR1271" s="59"/>
      <c r="BS1271" s="59"/>
      <c r="BT1271" s="59"/>
      <c r="BU1271" s="59"/>
      <c r="BV1271" s="59"/>
      <c r="BW1271" s="59"/>
      <c r="BX1271" s="59"/>
      <c r="BY1271" s="59"/>
      <c r="BZ1271" s="59"/>
      <c r="CA1271" s="59"/>
      <c r="CB1271" s="59"/>
    </row>
    <row r="1272" spans="1:80">
      <c r="A1272" s="74">
        <v>1271</v>
      </c>
      <c r="B1272" s="66" t="s">
        <v>67</v>
      </c>
      <c r="C1272" s="67" t="s">
        <v>303</v>
      </c>
      <c r="D1272" s="59" t="s">
        <v>294</v>
      </c>
      <c r="E1272" s="88"/>
      <c r="F1272" s="59"/>
      <c r="G1272" s="59"/>
      <c r="H1272" s="77" t="s">
        <v>76</v>
      </c>
      <c r="I1272" s="82">
        <v>12000</v>
      </c>
      <c r="J1272" s="59"/>
      <c r="K1272" s="85"/>
      <c r="L1272" s="86"/>
      <c r="M1272" s="87"/>
      <c r="N1272" s="59"/>
      <c r="O1272" s="59"/>
      <c r="P1272" s="59"/>
      <c r="Q1272" s="59"/>
      <c r="R1272" s="59"/>
      <c r="S1272" s="59"/>
      <c r="T1272" s="59"/>
      <c r="U1272" s="59"/>
      <c r="V1272" s="59"/>
      <c r="W1272" s="59"/>
      <c r="X1272" s="59"/>
      <c r="Y1272" s="59"/>
      <c r="Z1272" s="59"/>
      <c r="AA1272" s="59"/>
      <c r="AB1272" s="59"/>
      <c r="AC1272" s="59"/>
      <c r="AD1272" s="59"/>
      <c r="AE1272" s="59"/>
      <c r="AF1272" s="59"/>
      <c r="AG1272" s="59"/>
      <c r="AH1272" s="59"/>
      <c r="AI1272" s="59"/>
      <c r="AJ1272" s="59"/>
      <c r="AK1272" s="59"/>
      <c r="AL1272" s="59"/>
      <c r="AM1272" s="59"/>
      <c r="AN1272" s="59"/>
      <c r="AO1272" s="59"/>
      <c r="AP1272" s="59"/>
      <c r="AQ1272" s="59"/>
      <c r="AR1272" s="59"/>
      <c r="AS1272" s="59"/>
      <c r="AT1272" s="59"/>
      <c r="AU1272" s="59"/>
      <c r="AV1272" s="59"/>
      <c r="AW1272" s="59"/>
      <c r="AX1272" s="59"/>
      <c r="AY1272" s="59"/>
      <c r="AZ1272" s="59"/>
      <c r="BA1272" s="59"/>
      <c r="BB1272" s="59"/>
      <c r="BC1272" s="59"/>
      <c r="BD1272" s="59"/>
      <c r="BE1272" s="59"/>
      <c r="BF1272" s="59"/>
      <c r="BG1272" s="59"/>
      <c r="BH1272" s="59"/>
      <c r="BI1272" s="59"/>
      <c r="BJ1272" s="59"/>
      <c r="BK1272" s="59"/>
      <c r="BL1272" s="59"/>
      <c r="BM1272" s="59"/>
      <c r="BN1272" s="59"/>
      <c r="BO1272" s="59"/>
      <c r="BP1272" s="59"/>
      <c r="BQ1272" s="59"/>
      <c r="BR1272" s="59"/>
      <c r="BS1272" s="59"/>
      <c r="BT1272" s="59"/>
      <c r="BU1272" s="59"/>
      <c r="BV1272" s="59"/>
      <c r="BW1272" s="59"/>
      <c r="BX1272" s="59"/>
      <c r="BY1272" s="59"/>
      <c r="BZ1272" s="59"/>
      <c r="CA1272" s="59"/>
      <c r="CB1272" s="59"/>
    </row>
    <row r="1273" spans="1:80">
      <c r="A1273" s="74">
        <v>1272</v>
      </c>
      <c r="B1273" s="66" t="s">
        <v>67</v>
      </c>
      <c r="C1273" s="67" t="s">
        <v>303</v>
      </c>
      <c r="D1273" s="59" t="s">
        <v>295</v>
      </c>
      <c r="E1273" s="88"/>
      <c r="F1273" s="59"/>
      <c r="G1273" s="59"/>
      <c r="H1273" s="77" t="s">
        <v>76</v>
      </c>
      <c r="I1273" s="82">
        <v>12000</v>
      </c>
      <c r="J1273" s="59"/>
      <c r="K1273" s="85"/>
      <c r="L1273" s="86"/>
      <c r="M1273" s="87"/>
      <c r="N1273" s="59"/>
      <c r="O1273" s="59"/>
      <c r="P1273" s="59"/>
      <c r="Q1273" s="59"/>
      <c r="R1273" s="59"/>
      <c r="S1273" s="59"/>
      <c r="T1273" s="59"/>
      <c r="U1273" s="59"/>
      <c r="V1273" s="59"/>
      <c r="W1273" s="59"/>
      <c r="X1273" s="59"/>
      <c r="Y1273" s="59"/>
      <c r="Z1273" s="59"/>
      <c r="AA1273" s="59"/>
      <c r="AB1273" s="59"/>
      <c r="AC1273" s="59"/>
      <c r="AD1273" s="59"/>
      <c r="AE1273" s="59"/>
      <c r="AF1273" s="59"/>
      <c r="AG1273" s="59"/>
      <c r="AH1273" s="59"/>
      <c r="AI1273" s="59"/>
      <c r="AJ1273" s="59"/>
      <c r="AK1273" s="59"/>
      <c r="AL1273" s="59"/>
      <c r="AM1273" s="59"/>
      <c r="AN1273" s="59"/>
      <c r="AO1273" s="59"/>
      <c r="AP1273" s="59"/>
      <c r="AQ1273" s="59"/>
      <c r="AR1273" s="59"/>
      <c r="AS1273" s="59"/>
      <c r="AT1273" s="59"/>
      <c r="AU1273" s="59"/>
      <c r="AV1273" s="59"/>
      <c r="AW1273" s="59"/>
      <c r="AX1273" s="59"/>
      <c r="AY1273" s="59"/>
      <c r="AZ1273" s="59"/>
      <c r="BA1273" s="59"/>
      <c r="BB1273" s="59"/>
      <c r="BC1273" s="59"/>
      <c r="BD1273" s="59"/>
      <c r="BE1273" s="59"/>
      <c r="BF1273" s="59"/>
      <c r="BG1273" s="59"/>
      <c r="BH1273" s="59"/>
      <c r="BI1273" s="59"/>
      <c r="BJ1273" s="59"/>
      <c r="BK1273" s="59"/>
      <c r="BL1273" s="59"/>
      <c r="BM1273" s="59"/>
      <c r="BN1273" s="59"/>
      <c r="BO1273" s="59"/>
      <c r="BP1273" s="59"/>
      <c r="BQ1273" s="59"/>
      <c r="BR1273" s="59"/>
      <c r="BS1273" s="59"/>
      <c r="BT1273" s="59"/>
      <c r="BU1273" s="59"/>
      <c r="BV1273" s="59"/>
      <c r="BW1273" s="59"/>
      <c r="BX1273" s="59"/>
      <c r="BY1273" s="59"/>
      <c r="BZ1273" s="59"/>
      <c r="CA1273" s="59"/>
      <c r="CB1273" s="59"/>
    </row>
  </sheetData>
  <autoFilter xmlns:etc="http://www.wps.cn/officeDocument/2017/etCustomData" ref="A1:BR1273" etc:filterBottomFollowUsedRange="0">
    <extLst/>
  </autoFilter>
  <sortState ref="F37">
    <sortCondition ref="F37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4"/>
  <sheetViews>
    <sheetView showGridLines="0" zoomScale="55" zoomScaleNormal="55" topLeftCell="B25" workbookViewId="0">
      <selection activeCell="X41" sqref="X41"/>
    </sheetView>
  </sheetViews>
  <sheetFormatPr defaultColWidth="9" defaultRowHeight="14"/>
  <cols>
    <col min="1" max="3" width="3.63636363636364" customWidth="1"/>
    <col min="4" max="5" width="5.45454545454545" customWidth="1"/>
    <col min="6" max="6" width="4.81818181818182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8" width="3.63636363636364" customWidth="1"/>
    <col min="19" max="19" width="3.90909090909091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304</v>
      </c>
      <c r="C3" s="12"/>
      <c r="D3" s="1"/>
      <c r="E3" s="1"/>
      <c r="F3" s="1"/>
      <c r="G3" s="1"/>
      <c r="H3" s="1"/>
      <c r="I3" s="11" t="s">
        <v>305</v>
      </c>
      <c r="J3" s="12"/>
      <c r="K3" s="11" t="s">
        <v>306</v>
      </c>
      <c r="L3" s="12"/>
      <c r="M3" s="1"/>
      <c r="N3" s="1"/>
      <c r="O3" s="1"/>
      <c r="P3" s="11" t="s">
        <v>307</v>
      </c>
      <c r="Q3" s="12"/>
      <c r="R3" s="11" t="s">
        <v>308</v>
      </c>
      <c r="S3" s="12"/>
      <c r="V3" s="1"/>
      <c r="W3" s="1"/>
      <c r="X3" s="1"/>
      <c r="Y3" s="11" t="s">
        <v>309</v>
      </c>
      <c r="Z3" s="12"/>
      <c r="AA3" s="11" t="s">
        <v>310</v>
      </c>
      <c r="AB3" s="12"/>
      <c r="AC3" s="1"/>
      <c r="AD3" s="1"/>
      <c r="AE3" s="1"/>
      <c r="AF3" s="1"/>
      <c r="AG3" s="11" t="s">
        <v>311</v>
      </c>
      <c r="AH3" s="12"/>
      <c r="AI3" s="11" t="s">
        <v>312</v>
      </c>
      <c r="AJ3" s="12"/>
      <c r="AM3" s="1"/>
      <c r="AN3" s="1"/>
      <c r="AO3" s="1"/>
      <c r="AP3" s="11" t="s">
        <v>313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317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1" t="s">
        <v>69</v>
      </c>
      <c r="E9" s="31"/>
      <c r="F9" s="34"/>
      <c r="G9" s="34"/>
      <c r="H9" s="31" t="s">
        <v>97</v>
      </c>
      <c r="I9" s="31"/>
      <c r="L9" s="31" t="s">
        <v>120</v>
      </c>
      <c r="M9" s="31"/>
      <c r="N9" s="34"/>
      <c r="O9" s="34"/>
      <c r="P9" s="31" t="s">
        <v>141</v>
      </c>
      <c r="Q9" s="31"/>
      <c r="T9" s="31" t="s">
        <v>164</v>
      </c>
      <c r="U9" s="31"/>
      <c r="V9" s="34"/>
      <c r="W9" s="34"/>
      <c r="X9" s="31" t="s">
        <v>185</v>
      </c>
      <c r="Y9" s="31"/>
      <c r="AB9" s="31" t="s">
        <v>208</v>
      </c>
      <c r="AC9" s="31"/>
      <c r="AD9" s="34"/>
      <c r="AE9" s="34"/>
      <c r="AF9" s="31" t="s">
        <v>229</v>
      </c>
      <c r="AG9" s="31"/>
      <c r="AJ9" s="31" t="s">
        <v>252</v>
      </c>
      <c r="AK9" s="31"/>
      <c r="AL9" s="34"/>
      <c r="AM9" s="34"/>
      <c r="AN9" s="31" t="s">
        <v>273</v>
      </c>
      <c r="AO9" s="31"/>
      <c r="AP9" s="1"/>
      <c r="AQ9" s="32"/>
      <c r="AU9" s="6"/>
      <c r="AV9" s="6"/>
      <c r="AW9" s="1"/>
    </row>
    <row r="10" spans="2:50">
      <c r="B10" s="24"/>
      <c r="D10" s="31" t="s">
        <v>75</v>
      </c>
      <c r="E10" s="31"/>
      <c r="F10" s="34"/>
      <c r="G10" s="34"/>
      <c r="H10" s="31" t="s">
        <v>98</v>
      </c>
      <c r="I10" s="31"/>
      <c r="L10" s="31" t="s">
        <v>121</v>
      </c>
      <c r="M10" s="31"/>
      <c r="N10" s="34"/>
      <c r="O10" s="34"/>
      <c r="P10" s="31" t="s">
        <v>142</v>
      </c>
      <c r="Q10" s="31"/>
      <c r="T10" s="31" t="s">
        <v>165</v>
      </c>
      <c r="U10" s="31"/>
      <c r="V10" s="34"/>
      <c r="W10" s="34"/>
      <c r="X10" s="31" t="s">
        <v>186</v>
      </c>
      <c r="Y10" s="31"/>
      <c r="AB10" s="31" t="s">
        <v>209</v>
      </c>
      <c r="AC10" s="31"/>
      <c r="AD10" s="34"/>
      <c r="AE10" s="34"/>
      <c r="AF10" s="31" t="s">
        <v>230</v>
      </c>
      <c r="AG10" s="31"/>
      <c r="AJ10" s="31" t="s">
        <v>253</v>
      </c>
      <c r="AK10" s="31"/>
      <c r="AL10" s="34"/>
      <c r="AM10" s="34"/>
      <c r="AN10" s="31" t="s">
        <v>274</v>
      </c>
      <c r="AO10" s="31"/>
      <c r="AP10" s="1"/>
      <c r="AQ10" s="32"/>
      <c r="AR10" s="35"/>
      <c r="AU10" s="6"/>
    </row>
    <row r="11" spans="2:50">
      <c r="B11" s="24"/>
      <c r="D11" s="31" t="s">
        <v>77</v>
      </c>
      <c r="E11" s="31"/>
      <c r="F11" s="34"/>
      <c r="G11" s="34"/>
      <c r="H11" s="31" t="s">
        <v>99</v>
      </c>
      <c r="I11" s="31"/>
      <c r="L11" s="31" t="s">
        <v>122</v>
      </c>
      <c r="M11" s="31"/>
      <c r="N11" s="34"/>
      <c r="O11" s="34"/>
      <c r="P11" s="31" t="s">
        <v>143</v>
      </c>
      <c r="Q11" s="31"/>
      <c r="T11" s="31" t="s">
        <v>166</v>
      </c>
      <c r="U11" s="31"/>
      <c r="V11" s="34"/>
      <c r="W11" s="34"/>
      <c r="X11" s="31" t="s">
        <v>187</v>
      </c>
      <c r="Y11" s="31"/>
      <c r="AB11" s="31" t="s">
        <v>210</v>
      </c>
      <c r="AC11" s="31"/>
      <c r="AD11" s="34"/>
      <c r="AE11" s="34"/>
      <c r="AF11" s="31" t="s">
        <v>231</v>
      </c>
      <c r="AG11" s="31"/>
      <c r="AJ11" s="31" t="s">
        <v>254</v>
      </c>
      <c r="AK11" s="31"/>
      <c r="AL11" s="34"/>
      <c r="AM11" s="34"/>
      <c r="AN11" s="31" t="s">
        <v>275</v>
      </c>
      <c r="AO11" s="31"/>
      <c r="AP11" s="1"/>
      <c r="AQ11" s="32"/>
      <c r="AU11" s="6"/>
    </row>
    <row r="12" spans="2:50">
      <c r="B12" s="24"/>
      <c r="D12" s="31" t="s">
        <v>79</v>
      </c>
      <c r="E12" s="31"/>
      <c r="F12" s="34"/>
      <c r="G12" s="34"/>
      <c r="H12" s="31" t="s">
        <v>100</v>
      </c>
      <c r="I12" s="31"/>
      <c r="L12" s="31" t="s">
        <v>123</v>
      </c>
      <c r="M12" s="31"/>
      <c r="N12" s="34"/>
      <c r="O12" s="34"/>
      <c r="P12" s="31" t="s">
        <v>144</v>
      </c>
      <c r="Q12" s="31"/>
      <c r="T12" s="31" t="s">
        <v>167</v>
      </c>
      <c r="U12" s="31"/>
      <c r="V12" s="34"/>
      <c r="W12" s="34"/>
      <c r="X12" s="31" t="s">
        <v>188</v>
      </c>
      <c r="Y12" s="31"/>
      <c r="AB12" s="31" t="s">
        <v>211</v>
      </c>
      <c r="AC12" s="31"/>
      <c r="AD12" s="34"/>
      <c r="AE12" s="34"/>
      <c r="AF12" s="31" t="s">
        <v>232</v>
      </c>
      <c r="AG12" s="31"/>
      <c r="AJ12" s="31" t="s">
        <v>255</v>
      </c>
      <c r="AK12" s="31"/>
      <c r="AL12" s="34"/>
      <c r="AM12" s="34"/>
      <c r="AN12" s="31" t="s">
        <v>276</v>
      </c>
      <c r="AO12" s="31"/>
      <c r="AP12" s="1"/>
      <c r="AQ12" s="32"/>
      <c r="AU12" s="6"/>
    </row>
    <row r="13" spans="2:50">
      <c r="B13" s="24"/>
      <c r="D13" s="31" t="s">
        <v>80</v>
      </c>
      <c r="E13" s="31"/>
      <c r="F13" s="34"/>
      <c r="G13" s="34"/>
      <c r="H13" s="31" t="s">
        <v>101</v>
      </c>
      <c r="I13" s="31"/>
      <c r="L13" s="31" t="s">
        <v>124</v>
      </c>
      <c r="M13" s="31"/>
      <c r="N13" s="34"/>
      <c r="O13" s="34"/>
      <c r="P13" s="31" t="s">
        <v>145</v>
      </c>
      <c r="Q13" s="31"/>
      <c r="T13" s="31" t="s">
        <v>168</v>
      </c>
      <c r="U13" s="31"/>
      <c r="V13" s="34"/>
      <c r="W13" s="34"/>
      <c r="X13" s="31" t="s">
        <v>189</v>
      </c>
      <c r="Y13" s="31"/>
      <c r="AB13" s="31" t="s">
        <v>212</v>
      </c>
      <c r="AC13" s="31"/>
      <c r="AD13" s="34"/>
      <c r="AE13" s="34"/>
      <c r="AF13" s="31" t="s">
        <v>233</v>
      </c>
      <c r="AG13" s="31"/>
      <c r="AJ13" s="31" t="s">
        <v>256</v>
      </c>
      <c r="AK13" s="31"/>
      <c r="AL13" s="34"/>
      <c r="AM13" s="34"/>
      <c r="AN13" s="31" t="s">
        <v>277</v>
      </c>
      <c r="AO13" s="31"/>
      <c r="AP13" s="1"/>
      <c r="AQ13" s="32"/>
    </row>
    <row r="14" spans="2:50">
      <c r="B14" s="24"/>
      <c r="D14" s="31" t="s">
        <v>81</v>
      </c>
      <c r="E14" s="31"/>
      <c r="F14" s="34"/>
      <c r="G14" s="34"/>
      <c r="H14" s="31" t="s">
        <v>102</v>
      </c>
      <c r="I14" s="31"/>
      <c r="L14" s="31" t="s">
        <v>125</v>
      </c>
      <c r="M14" s="31"/>
      <c r="N14" s="34"/>
      <c r="O14" s="34"/>
      <c r="P14" s="31" t="s">
        <v>146</v>
      </c>
      <c r="Q14" s="31"/>
      <c r="T14" s="31" t="s">
        <v>169</v>
      </c>
      <c r="U14" s="31"/>
      <c r="V14" s="34"/>
      <c r="W14" s="34"/>
      <c r="X14" s="31" t="s">
        <v>190</v>
      </c>
      <c r="Y14" s="31"/>
      <c r="AB14" s="31" t="s">
        <v>213</v>
      </c>
      <c r="AC14" s="31"/>
      <c r="AD14" s="34"/>
      <c r="AE14" s="34"/>
      <c r="AF14" s="31" t="s">
        <v>234</v>
      </c>
      <c r="AG14" s="31"/>
      <c r="AJ14" s="31" t="s">
        <v>257</v>
      </c>
      <c r="AK14" s="31"/>
      <c r="AL14" s="34"/>
      <c r="AM14" s="34"/>
      <c r="AN14" s="31" t="s">
        <v>278</v>
      </c>
      <c r="AO14" s="31"/>
      <c r="AP14" s="1"/>
      <c r="AQ14" s="32"/>
    </row>
    <row r="15" spans="2:50">
      <c r="B15" s="24"/>
      <c r="D15" s="31" t="s">
        <v>82</v>
      </c>
      <c r="E15" s="31"/>
      <c r="F15" s="34"/>
      <c r="G15" s="34"/>
      <c r="H15" s="31" t="s">
        <v>103</v>
      </c>
      <c r="I15" s="31"/>
      <c r="L15" s="31" t="s">
        <v>126</v>
      </c>
      <c r="M15" s="31"/>
      <c r="N15" s="34"/>
      <c r="O15" s="34"/>
      <c r="P15" s="31" t="s">
        <v>147</v>
      </c>
      <c r="Q15" s="31"/>
      <c r="T15" s="31" t="s">
        <v>170</v>
      </c>
      <c r="U15" s="31"/>
      <c r="V15" s="34"/>
      <c r="W15" s="34"/>
      <c r="X15" s="31" t="s">
        <v>191</v>
      </c>
      <c r="Y15" s="31"/>
      <c r="AB15" s="31" t="s">
        <v>214</v>
      </c>
      <c r="AC15" s="31"/>
      <c r="AD15" s="34"/>
      <c r="AE15" s="34"/>
      <c r="AF15" s="31" t="s">
        <v>235</v>
      </c>
      <c r="AG15" s="31"/>
      <c r="AJ15" s="31" t="s">
        <v>258</v>
      </c>
      <c r="AK15" s="31"/>
      <c r="AL15" s="34"/>
      <c r="AM15" s="34"/>
      <c r="AN15" s="31" t="s">
        <v>279</v>
      </c>
      <c r="AO15" s="31"/>
      <c r="AP15" s="1"/>
      <c r="AQ15" s="32"/>
    </row>
    <row r="16" spans="2:50">
      <c r="B16" s="24"/>
      <c r="D16" s="31" t="s">
        <v>83</v>
      </c>
      <c r="E16" s="31"/>
      <c r="F16" s="34"/>
      <c r="G16" s="34"/>
      <c r="H16" s="31" t="s">
        <v>104</v>
      </c>
      <c r="I16" s="31"/>
      <c r="L16" s="31" t="s">
        <v>127</v>
      </c>
      <c r="M16" s="31"/>
      <c r="N16" s="34"/>
      <c r="O16" s="34"/>
      <c r="P16" s="31" t="s">
        <v>148</v>
      </c>
      <c r="Q16" s="31"/>
      <c r="T16" s="31" t="s">
        <v>171</v>
      </c>
      <c r="U16" s="31"/>
      <c r="V16" s="34"/>
      <c r="W16" s="34"/>
      <c r="X16" s="31" t="s">
        <v>192</v>
      </c>
      <c r="Y16" s="31"/>
      <c r="AB16" s="31" t="s">
        <v>215</v>
      </c>
      <c r="AC16" s="31"/>
      <c r="AD16" s="34"/>
      <c r="AE16" s="34"/>
      <c r="AF16" s="31" t="s">
        <v>236</v>
      </c>
      <c r="AG16" s="31"/>
      <c r="AJ16" s="31" t="s">
        <v>259</v>
      </c>
      <c r="AK16" s="31"/>
      <c r="AL16" s="34"/>
      <c r="AM16" s="34"/>
      <c r="AN16" s="31" t="s">
        <v>280</v>
      </c>
      <c r="AO16" s="31"/>
      <c r="AP16" s="1"/>
      <c r="AQ16" s="32"/>
    </row>
    <row r="17" spans="2:43">
      <c r="B17" s="24"/>
      <c r="D17" s="31" t="s">
        <v>84</v>
      </c>
      <c r="E17" s="31"/>
      <c r="F17" s="34"/>
      <c r="G17" s="34"/>
      <c r="H17" s="31" t="s">
        <v>105</v>
      </c>
      <c r="I17" s="31"/>
      <c r="L17" s="31" t="s">
        <v>128</v>
      </c>
      <c r="M17" s="31"/>
      <c r="N17" s="34"/>
      <c r="O17" s="34"/>
      <c r="P17" s="31" t="s">
        <v>149</v>
      </c>
      <c r="Q17" s="31"/>
      <c r="T17" s="31" t="s">
        <v>172</v>
      </c>
      <c r="U17" s="31"/>
      <c r="V17" s="34"/>
      <c r="W17" s="34"/>
      <c r="X17" s="31" t="s">
        <v>193</v>
      </c>
      <c r="Y17" s="31"/>
      <c r="AB17" s="31" t="s">
        <v>216</v>
      </c>
      <c r="AC17" s="31"/>
      <c r="AD17" s="34"/>
      <c r="AE17" s="34"/>
      <c r="AF17" s="31" t="s">
        <v>237</v>
      </c>
      <c r="AG17" s="31"/>
      <c r="AJ17" s="31" t="s">
        <v>260</v>
      </c>
      <c r="AK17" s="31"/>
      <c r="AL17" s="34"/>
      <c r="AM17" s="34"/>
      <c r="AN17" s="31" t="s">
        <v>281</v>
      </c>
      <c r="AO17" s="31"/>
      <c r="AP17" s="1"/>
      <c r="AQ17" s="32"/>
    </row>
    <row r="18" spans="2:43">
      <c r="B18" s="24"/>
      <c r="D18" s="31" t="s">
        <v>85</v>
      </c>
      <c r="E18" s="31"/>
      <c r="F18" s="34"/>
      <c r="G18" s="34"/>
      <c r="H18" s="31" t="s">
        <v>106</v>
      </c>
      <c r="I18" s="31"/>
      <c r="L18" s="31" t="s">
        <v>129</v>
      </c>
      <c r="M18" s="31"/>
      <c r="N18" s="34"/>
      <c r="O18" s="34"/>
      <c r="P18" s="31" t="s">
        <v>150</v>
      </c>
      <c r="Q18" s="31"/>
      <c r="T18" s="31" t="s">
        <v>173</v>
      </c>
      <c r="U18" s="31"/>
      <c r="V18" s="34"/>
      <c r="W18" s="34"/>
      <c r="X18" s="31" t="s">
        <v>194</v>
      </c>
      <c r="Y18" s="31"/>
      <c r="AB18" s="31" t="s">
        <v>217</v>
      </c>
      <c r="AC18" s="31"/>
      <c r="AD18" s="34"/>
      <c r="AE18" s="34"/>
      <c r="AF18" s="31" t="s">
        <v>238</v>
      </c>
      <c r="AG18" s="31"/>
      <c r="AJ18" s="31" t="s">
        <v>261</v>
      </c>
      <c r="AK18" s="31"/>
      <c r="AL18" s="34"/>
      <c r="AM18" s="34"/>
      <c r="AN18" s="31" t="s">
        <v>282</v>
      </c>
      <c r="AO18" s="31"/>
      <c r="AP18" s="1"/>
      <c r="AQ18" s="32"/>
    </row>
    <row r="19" spans="2:43">
      <c r="B19" s="24"/>
      <c r="D19" s="38"/>
      <c r="E19" s="38"/>
      <c r="F19" s="34"/>
      <c r="G19" s="34"/>
      <c r="H19" s="31" t="s">
        <v>107</v>
      </c>
      <c r="I19" s="31"/>
      <c r="L19" s="38"/>
      <c r="M19" s="38"/>
      <c r="N19" s="34"/>
      <c r="O19" s="34"/>
      <c r="P19" s="31" t="s">
        <v>151</v>
      </c>
      <c r="Q19" s="31"/>
      <c r="T19" s="38"/>
      <c r="U19" s="38"/>
      <c r="V19" s="34"/>
      <c r="W19" s="34"/>
      <c r="X19" s="31" t="s">
        <v>195</v>
      </c>
      <c r="Y19" s="31"/>
      <c r="AB19" s="38"/>
      <c r="AC19" s="38"/>
      <c r="AD19" s="34"/>
      <c r="AE19" s="34"/>
      <c r="AF19" s="31" t="s">
        <v>239</v>
      </c>
      <c r="AG19" s="31"/>
      <c r="AJ19" s="38"/>
      <c r="AK19" s="38"/>
      <c r="AL19" s="34"/>
      <c r="AM19" s="34"/>
      <c r="AN19" s="31" t="s">
        <v>283</v>
      </c>
      <c r="AO19" s="31"/>
      <c r="AP19" s="1"/>
      <c r="AQ19" s="32"/>
    </row>
    <row r="20" spans="2:43">
      <c r="B20" s="24"/>
      <c r="D20" s="38"/>
      <c r="E20" s="38"/>
      <c r="F20" s="34"/>
      <c r="G20" s="34"/>
      <c r="H20" s="31" t="s">
        <v>108</v>
      </c>
      <c r="I20" s="31"/>
      <c r="L20" s="38"/>
      <c r="M20" s="38"/>
      <c r="N20" s="34"/>
      <c r="O20" s="34"/>
      <c r="P20" s="31" t="s">
        <v>152</v>
      </c>
      <c r="Q20" s="31"/>
      <c r="T20" s="38"/>
      <c r="U20" s="38"/>
      <c r="V20" s="34"/>
      <c r="W20" s="34"/>
      <c r="X20" s="31" t="s">
        <v>196</v>
      </c>
      <c r="Y20" s="31"/>
      <c r="AB20" s="38"/>
      <c r="AC20" s="38"/>
      <c r="AD20" s="34"/>
      <c r="AE20" s="34"/>
      <c r="AF20" s="31" t="s">
        <v>240</v>
      </c>
      <c r="AG20" s="31"/>
      <c r="AJ20" s="38"/>
      <c r="AK20" s="38"/>
      <c r="AL20" s="34"/>
      <c r="AM20" s="34"/>
      <c r="AN20" s="31" t="s">
        <v>284</v>
      </c>
      <c r="AO20" s="31"/>
      <c r="AP20" s="39"/>
      <c r="AQ20" s="32"/>
    </row>
    <row r="21" spans="2:43">
      <c r="B21" s="24"/>
      <c r="D21" s="31" t="s">
        <v>86</v>
      </c>
      <c r="E21" s="31"/>
      <c r="F21" s="34"/>
      <c r="G21" s="34"/>
      <c r="H21" s="31" t="s">
        <v>109</v>
      </c>
      <c r="I21" s="31"/>
      <c r="L21" s="31" t="s">
        <v>130</v>
      </c>
      <c r="M21" s="31"/>
      <c r="N21" s="34"/>
      <c r="O21" s="34"/>
      <c r="P21" s="31" t="s">
        <v>153</v>
      </c>
      <c r="Q21" s="31"/>
      <c r="T21" s="31" t="s">
        <v>174</v>
      </c>
      <c r="U21" s="31"/>
      <c r="V21" s="34"/>
      <c r="W21" s="34"/>
      <c r="X21" s="31" t="s">
        <v>197</v>
      </c>
      <c r="Y21" s="31"/>
      <c r="AB21" s="31" t="s">
        <v>218</v>
      </c>
      <c r="AC21" s="31"/>
      <c r="AD21" s="34"/>
      <c r="AE21" s="34"/>
      <c r="AF21" s="31" t="s">
        <v>241</v>
      </c>
      <c r="AG21" s="31"/>
      <c r="AJ21" s="31" t="s">
        <v>262</v>
      </c>
      <c r="AK21" s="31"/>
      <c r="AL21" s="34"/>
      <c r="AM21" s="34"/>
      <c r="AN21" s="31" t="s">
        <v>285</v>
      </c>
      <c r="AO21" s="31"/>
      <c r="AP21" s="1"/>
      <c r="AQ21" s="32"/>
    </row>
    <row r="22" spans="2:43">
      <c r="B22" s="24"/>
      <c r="D22" s="31" t="s">
        <v>87</v>
      </c>
      <c r="E22" s="31"/>
      <c r="F22" s="34"/>
      <c r="G22" s="34"/>
      <c r="H22" s="31" t="s">
        <v>110</v>
      </c>
      <c r="I22" s="31"/>
      <c r="L22" s="31" t="s">
        <v>131</v>
      </c>
      <c r="M22" s="31"/>
      <c r="N22" s="34"/>
      <c r="O22" s="34"/>
      <c r="P22" s="31" t="s">
        <v>154</v>
      </c>
      <c r="Q22" s="31"/>
      <c r="T22" s="31" t="s">
        <v>175</v>
      </c>
      <c r="U22" s="31"/>
      <c r="V22" s="34"/>
      <c r="W22" s="34"/>
      <c r="X22" s="31" t="s">
        <v>198</v>
      </c>
      <c r="Y22" s="31"/>
      <c r="AB22" s="31" t="s">
        <v>219</v>
      </c>
      <c r="AC22" s="31"/>
      <c r="AD22" s="34"/>
      <c r="AE22" s="34"/>
      <c r="AF22" s="31" t="s">
        <v>242</v>
      </c>
      <c r="AG22" s="31"/>
      <c r="AJ22" s="31" t="s">
        <v>263</v>
      </c>
      <c r="AK22" s="31"/>
      <c r="AL22" s="34"/>
      <c r="AM22" s="34"/>
      <c r="AN22" s="31" t="s">
        <v>286</v>
      </c>
      <c r="AO22" s="31"/>
      <c r="AP22" s="1"/>
      <c r="AQ22" s="32"/>
    </row>
    <row r="23" spans="2:43">
      <c r="B23" s="24"/>
      <c r="D23" s="31" t="s">
        <v>88</v>
      </c>
      <c r="E23" s="31"/>
      <c r="F23" s="34"/>
      <c r="G23" s="34"/>
      <c r="H23" s="31" t="s">
        <v>111</v>
      </c>
      <c r="I23" s="31"/>
      <c r="L23" s="31" t="s">
        <v>132</v>
      </c>
      <c r="M23" s="31"/>
      <c r="N23" s="34"/>
      <c r="O23" s="34"/>
      <c r="P23" s="31" t="s">
        <v>155</v>
      </c>
      <c r="Q23" s="31"/>
      <c r="T23" s="31" t="s">
        <v>176</v>
      </c>
      <c r="U23" s="31"/>
      <c r="V23" s="34"/>
      <c r="W23" s="34"/>
      <c r="X23" s="31" t="s">
        <v>199</v>
      </c>
      <c r="Y23" s="31"/>
      <c r="AB23" s="31" t="s">
        <v>220</v>
      </c>
      <c r="AC23" s="31"/>
      <c r="AD23" s="34"/>
      <c r="AE23" s="34"/>
      <c r="AF23" s="31" t="s">
        <v>243</v>
      </c>
      <c r="AG23" s="31"/>
      <c r="AJ23" s="31" t="s">
        <v>264</v>
      </c>
      <c r="AK23" s="31"/>
      <c r="AL23" s="34"/>
      <c r="AM23" s="34"/>
      <c r="AN23" s="31" t="s">
        <v>287</v>
      </c>
      <c r="AO23" s="31"/>
      <c r="AP23" s="1"/>
      <c r="AQ23" s="32"/>
    </row>
    <row r="24" spans="2:43">
      <c r="B24" s="24"/>
      <c r="D24" s="31" t="s">
        <v>89</v>
      </c>
      <c r="E24" s="31"/>
      <c r="F24" s="34"/>
      <c r="G24" s="34"/>
      <c r="H24" s="31" t="s">
        <v>112</v>
      </c>
      <c r="I24" s="31"/>
      <c r="L24" s="31" t="s">
        <v>133</v>
      </c>
      <c r="M24" s="31"/>
      <c r="N24" s="34"/>
      <c r="O24" s="34"/>
      <c r="P24" s="31" t="s">
        <v>156</v>
      </c>
      <c r="Q24" s="31"/>
      <c r="T24" s="31" t="s">
        <v>177</v>
      </c>
      <c r="U24" s="31"/>
      <c r="V24" s="34"/>
      <c r="W24" s="34"/>
      <c r="X24" s="31" t="s">
        <v>200</v>
      </c>
      <c r="Y24" s="31"/>
      <c r="AB24" s="31" t="s">
        <v>221</v>
      </c>
      <c r="AC24" s="31"/>
      <c r="AD24" s="34"/>
      <c r="AE24" s="34"/>
      <c r="AF24" s="31" t="s">
        <v>244</v>
      </c>
      <c r="AG24" s="31"/>
      <c r="AJ24" s="31" t="s">
        <v>265</v>
      </c>
      <c r="AK24" s="31"/>
      <c r="AL24" s="34"/>
      <c r="AM24" s="34"/>
      <c r="AN24" s="31" t="s">
        <v>288</v>
      </c>
      <c r="AO24" s="31"/>
      <c r="AP24" s="1"/>
      <c r="AQ24" s="32"/>
    </row>
    <row r="25" spans="2:43">
      <c r="B25" s="24"/>
      <c r="D25" s="31" t="s">
        <v>90</v>
      </c>
      <c r="E25" s="31"/>
      <c r="F25" s="34"/>
      <c r="G25" s="34"/>
      <c r="H25" s="31" t="s">
        <v>113</v>
      </c>
      <c r="I25" s="31"/>
      <c r="L25" s="31" t="s">
        <v>134</v>
      </c>
      <c r="M25" s="31"/>
      <c r="N25" s="34"/>
      <c r="O25" s="34"/>
      <c r="P25" s="31" t="s">
        <v>157</v>
      </c>
      <c r="Q25" s="31"/>
      <c r="T25" s="31" t="s">
        <v>178</v>
      </c>
      <c r="U25" s="31"/>
      <c r="V25" s="34"/>
      <c r="W25" s="34"/>
      <c r="X25" s="31" t="s">
        <v>201</v>
      </c>
      <c r="Y25" s="31"/>
      <c r="AB25" s="31" t="s">
        <v>222</v>
      </c>
      <c r="AC25" s="31"/>
      <c r="AD25" s="34"/>
      <c r="AE25" s="34"/>
      <c r="AF25" s="31" t="s">
        <v>245</v>
      </c>
      <c r="AG25" s="31"/>
      <c r="AJ25" s="31" t="s">
        <v>266</v>
      </c>
      <c r="AK25" s="31"/>
      <c r="AL25" s="34"/>
      <c r="AM25" s="34"/>
      <c r="AN25" s="31" t="s">
        <v>289</v>
      </c>
      <c r="AO25" s="31"/>
      <c r="AP25" s="1"/>
      <c r="AQ25" s="32"/>
    </row>
    <row r="26" spans="2:43">
      <c r="B26" s="24"/>
      <c r="D26" s="31" t="s">
        <v>91</v>
      </c>
      <c r="E26" s="31"/>
      <c r="F26" s="34"/>
      <c r="G26" s="34"/>
      <c r="H26" s="31" t="s">
        <v>114</v>
      </c>
      <c r="I26" s="31"/>
      <c r="L26" s="31" t="s">
        <v>135</v>
      </c>
      <c r="M26" s="31"/>
      <c r="N26" s="34"/>
      <c r="O26" s="34"/>
      <c r="P26" s="31" t="s">
        <v>158</v>
      </c>
      <c r="Q26" s="31"/>
      <c r="T26" s="31" t="s">
        <v>179</v>
      </c>
      <c r="U26" s="31"/>
      <c r="V26" s="34"/>
      <c r="W26" s="34"/>
      <c r="X26" s="31" t="s">
        <v>202</v>
      </c>
      <c r="Y26" s="31"/>
      <c r="AB26" s="31" t="s">
        <v>223</v>
      </c>
      <c r="AC26" s="31"/>
      <c r="AD26" s="34"/>
      <c r="AE26" s="34"/>
      <c r="AF26" s="31" t="s">
        <v>246</v>
      </c>
      <c r="AG26" s="31"/>
      <c r="AJ26" s="31" t="s">
        <v>267</v>
      </c>
      <c r="AK26" s="31"/>
      <c r="AL26" s="34"/>
      <c r="AM26" s="34"/>
      <c r="AN26" s="31" t="s">
        <v>290</v>
      </c>
      <c r="AO26" s="31"/>
      <c r="AP26" s="1"/>
      <c r="AQ26" s="32"/>
    </row>
    <row r="27" ht="15" customHeight="1" spans="2:43">
      <c r="B27" s="24"/>
      <c r="D27" s="31" t="s">
        <v>92</v>
      </c>
      <c r="E27" s="31"/>
      <c r="H27" s="31" t="s">
        <v>115</v>
      </c>
      <c r="I27" s="31"/>
      <c r="L27" s="31" t="s">
        <v>136</v>
      </c>
      <c r="M27" s="31"/>
      <c r="P27" s="31" t="s">
        <v>159</v>
      </c>
      <c r="Q27" s="31"/>
      <c r="T27" s="31" t="s">
        <v>180</v>
      </c>
      <c r="U27" s="31"/>
      <c r="X27" s="31" t="s">
        <v>203</v>
      </c>
      <c r="Y27" s="31"/>
      <c r="AB27" s="31" t="s">
        <v>224</v>
      </c>
      <c r="AC27" s="31"/>
      <c r="AF27" s="31" t="s">
        <v>247</v>
      </c>
      <c r="AG27" s="31"/>
      <c r="AJ27" s="31" t="s">
        <v>268</v>
      </c>
      <c r="AK27" s="31"/>
      <c r="AN27" s="33" t="s">
        <v>291</v>
      </c>
      <c r="AO27" s="33"/>
      <c r="AP27" s="1"/>
      <c r="AQ27" s="32"/>
    </row>
    <row r="28" ht="15" customHeight="1" spans="2:43">
      <c r="B28" s="24"/>
      <c r="D28" s="31" t="s">
        <v>93</v>
      </c>
      <c r="E28" s="31"/>
      <c r="H28" s="33" t="s">
        <v>116</v>
      </c>
      <c r="I28" s="33"/>
      <c r="L28" s="31" t="s">
        <v>137</v>
      </c>
      <c r="M28" s="31"/>
      <c r="P28" s="33" t="s">
        <v>160</v>
      </c>
      <c r="Q28" s="33"/>
      <c r="T28" s="31" t="s">
        <v>181</v>
      </c>
      <c r="U28" s="31"/>
      <c r="X28" s="33" t="s">
        <v>204</v>
      </c>
      <c r="Y28" s="33"/>
      <c r="AB28" s="31" t="s">
        <v>225</v>
      </c>
      <c r="AC28" s="31"/>
      <c r="AF28" s="33" t="s">
        <v>248</v>
      </c>
      <c r="AG28" s="33"/>
      <c r="AJ28" s="31" t="s">
        <v>269</v>
      </c>
      <c r="AK28" s="31"/>
      <c r="AN28" s="33" t="s">
        <v>292</v>
      </c>
      <c r="AO28" s="33"/>
      <c r="AP28" s="1"/>
      <c r="AQ28" s="32"/>
    </row>
    <row r="29" ht="15" customHeight="1" spans="2:43">
      <c r="B29" s="24"/>
      <c r="D29" s="33" t="s">
        <v>94</v>
      </c>
      <c r="E29" s="33"/>
      <c r="H29" s="33" t="s">
        <v>117</v>
      </c>
      <c r="I29" s="33"/>
      <c r="L29" s="33" t="s">
        <v>138</v>
      </c>
      <c r="M29" s="33"/>
      <c r="P29" s="33" t="s">
        <v>161</v>
      </c>
      <c r="Q29" s="33"/>
      <c r="T29" s="33" t="s">
        <v>182</v>
      </c>
      <c r="U29" s="33"/>
      <c r="X29" s="33" t="s">
        <v>205</v>
      </c>
      <c r="Y29" s="33"/>
      <c r="AB29" s="33" t="s">
        <v>226</v>
      </c>
      <c r="AC29" s="33"/>
      <c r="AF29" s="33" t="s">
        <v>249</v>
      </c>
      <c r="AG29" s="33"/>
      <c r="AJ29" s="33" t="s">
        <v>270</v>
      </c>
      <c r="AK29" s="33"/>
      <c r="AN29" s="33" t="s">
        <v>293</v>
      </c>
      <c r="AO29" s="33"/>
      <c r="AP29" s="1"/>
      <c r="AQ29" s="32"/>
    </row>
    <row r="30" ht="15" customHeight="1" spans="2:43">
      <c r="B30" s="24"/>
      <c r="D30" s="33" t="s">
        <v>95</v>
      </c>
      <c r="E30" s="33"/>
      <c r="H30" s="33" t="s">
        <v>118</v>
      </c>
      <c r="I30" s="33"/>
      <c r="L30" s="33" t="s">
        <v>139</v>
      </c>
      <c r="M30" s="33"/>
      <c r="P30" s="33" t="s">
        <v>162</v>
      </c>
      <c r="Q30" s="33"/>
      <c r="T30" s="33" t="s">
        <v>183</v>
      </c>
      <c r="U30" s="33"/>
      <c r="X30" s="33" t="s">
        <v>206</v>
      </c>
      <c r="Y30" s="33"/>
      <c r="AB30" s="33" t="s">
        <v>227</v>
      </c>
      <c r="AC30" s="33"/>
      <c r="AF30" s="33" t="s">
        <v>250</v>
      </c>
      <c r="AG30" s="33"/>
      <c r="AJ30" s="33" t="s">
        <v>271</v>
      </c>
      <c r="AK30" s="33"/>
      <c r="AN30" s="33" t="s">
        <v>294</v>
      </c>
      <c r="AO30" s="33"/>
      <c r="AP30" s="1"/>
      <c r="AQ30" s="32"/>
    </row>
    <row r="31" ht="15" customHeight="1" spans="2:43">
      <c r="B31" s="18"/>
      <c r="C31" s="19"/>
      <c r="D31" s="33" t="s">
        <v>96</v>
      </c>
      <c r="E31" s="33"/>
      <c r="F31" s="19"/>
      <c r="G31" s="19"/>
      <c r="H31" s="33" t="s">
        <v>119</v>
      </c>
      <c r="I31" s="33"/>
      <c r="J31" s="19"/>
      <c r="K31" s="19"/>
      <c r="L31" s="33" t="s">
        <v>140</v>
      </c>
      <c r="M31" s="33"/>
      <c r="N31" s="19"/>
      <c r="O31" s="19"/>
      <c r="P31" s="33" t="s">
        <v>163</v>
      </c>
      <c r="Q31" s="33"/>
      <c r="R31" s="19"/>
      <c r="S31" s="19"/>
      <c r="T31" s="33" t="s">
        <v>184</v>
      </c>
      <c r="U31" s="33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3" t="s">
        <v>295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329</v>
      </c>
      <c r="C34" s="12"/>
      <c r="D34" s="1"/>
      <c r="E34" s="1"/>
      <c r="F34" s="1"/>
      <c r="G34" s="1"/>
      <c r="H34" s="1"/>
      <c r="I34" s="11" t="s">
        <v>330</v>
      </c>
      <c r="J34" s="12"/>
      <c r="K34" s="11" t="s">
        <v>331</v>
      </c>
      <c r="L34" s="12"/>
      <c r="M34" s="1"/>
      <c r="N34" s="1"/>
      <c r="O34" s="1"/>
      <c r="P34" s="11" t="s">
        <v>332</v>
      </c>
      <c r="Q34" s="12"/>
      <c r="R34" s="1"/>
      <c r="S34" s="1"/>
      <c r="T34" s="11" t="s">
        <v>333</v>
      </c>
      <c r="U34" s="12"/>
      <c r="V34" s="1"/>
      <c r="W34" s="1"/>
      <c r="X34" s="1"/>
      <c r="Y34" s="11" t="s">
        <v>334</v>
      </c>
      <c r="Z34" s="12"/>
      <c r="AA34" s="11" t="s">
        <v>335</v>
      </c>
      <c r="AB34" s="12"/>
      <c r="AC34" s="1"/>
      <c r="AD34" s="1"/>
      <c r="AE34" s="1"/>
      <c r="AF34" s="1"/>
      <c r="AG34" s="11" t="s">
        <v>336</v>
      </c>
      <c r="AH34" s="12"/>
      <c r="AI34" s="11" t="s">
        <v>337</v>
      </c>
      <c r="AJ34" s="12"/>
      <c r="AM34" s="1"/>
      <c r="AN34" s="1"/>
      <c r="AO34" s="1"/>
      <c r="AP34" s="11" t="s">
        <v>338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72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368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72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368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220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184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36</v>
      </c>
      <c r="G44" s="44"/>
      <c r="H44" s="1"/>
    </row>
  </sheetData>
  <mergeCells count="281">
    <mergeCell ref="B3:C3"/>
    <mergeCell ref="I3:J3"/>
    <mergeCell ref="K3:L3"/>
    <mergeCell ref="P3:Q3"/>
    <mergeCell ref="R3:S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S45"/>
  <sheetViews>
    <sheetView showGridLines="0" zoomScale="70" zoomScaleNormal="70" topLeftCell="A28" workbookViewId="0">
      <selection activeCell="L9" sqref="L9:M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</cols>
  <sheetData>
    <row r="1" spans="2:45">
      <c r="AS1" s="5"/>
    </row>
    <row r="2" ht="14.15" customHeight="1" spans="2: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</row>
    <row r="3" ht="25" customHeight="1" spans="2:45">
      <c r="B3" s="11" t="s">
        <v>343</v>
      </c>
      <c r="C3" s="12"/>
      <c r="D3" s="1"/>
      <c r="E3" s="1"/>
      <c r="F3" s="1"/>
      <c r="G3" s="1"/>
      <c r="H3" s="1"/>
      <c r="I3" s="11" t="s">
        <v>344</v>
      </c>
      <c r="J3" s="12"/>
      <c r="K3" s="11" t="s">
        <v>345</v>
      </c>
      <c r="L3" s="12"/>
      <c r="M3" s="1"/>
      <c r="N3" s="1"/>
      <c r="O3" s="1"/>
      <c r="P3" s="11" t="s">
        <v>346</v>
      </c>
      <c r="Q3" s="12"/>
      <c r="R3" s="1"/>
      <c r="S3" s="1"/>
      <c r="T3" s="11" t="s">
        <v>347</v>
      </c>
      <c r="U3" s="12"/>
      <c r="V3" s="1"/>
      <c r="W3" s="1"/>
      <c r="X3" s="1"/>
      <c r="Y3" s="11" t="s">
        <v>348</v>
      </c>
      <c r="Z3" s="12"/>
      <c r="AA3" s="11" t="s">
        <v>349</v>
      </c>
      <c r="AB3" s="12"/>
      <c r="AC3" s="1"/>
      <c r="AD3" s="1"/>
      <c r="AE3" s="1"/>
      <c r="AF3" s="1"/>
      <c r="AG3" s="11" t="s">
        <v>350</v>
      </c>
      <c r="AH3" s="12"/>
      <c r="AI3" s="1"/>
      <c r="AJ3" s="1"/>
      <c r="AK3" s="11" t="s">
        <v>351</v>
      </c>
      <c r="AL3" s="12"/>
      <c r="AM3" s="1"/>
      <c r="AN3" s="1"/>
      <c r="AO3" s="1"/>
      <c r="AP3" s="11" t="s">
        <v>352</v>
      </c>
      <c r="AQ3" s="12"/>
      <c r="AR3" s="13"/>
      <c r="AS3" s="5"/>
    </row>
    <row r="4" s="1" customFormat="1" ht="25" customHeight="1" spans="2:45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</row>
    <row r="5" spans="2:45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</row>
    <row r="6" spans="2:45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8" t="s">
        <v>353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</row>
    <row r="7" spans="2:45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</row>
    <row r="8" ht="14.25" customHeight="1" spans="2:45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</row>
    <row r="9" spans="2:45">
      <c r="B9" s="24"/>
      <c r="D9" s="36" t="s">
        <v>273</v>
      </c>
      <c r="E9" s="37"/>
      <c r="F9" s="34"/>
      <c r="G9" s="34"/>
      <c r="H9" s="36" t="s">
        <v>252</v>
      </c>
      <c r="I9" s="37"/>
      <c r="L9" s="31" t="s">
        <v>229</v>
      </c>
      <c r="M9" s="31"/>
      <c r="N9" s="34"/>
      <c r="O9" s="34"/>
      <c r="P9" s="36" t="s">
        <v>208</v>
      </c>
      <c r="Q9" s="37"/>
      <c r="T9" s="31" t="s">
        <v>185</v>
      </c>
      <c r="U9" s="31"/>
      <c r="V9" s="34"/>
      <c r="W9" s="34"/>
      <c r="X9" s="36" t="s">
        <v>164</v>
      </c>
      <c r="Y9" s="37"/>
      <c r="AB9" s="31" t="s">
        <v>141</v>
      </c>
      <c r="AC9" s="31"/>
      <c r="AD9" s="34"/>
      <c r="AE9" s="34"/>
      <c r="AF9" s="31" t="s">
        <v>120</v>
      </c>
      <c r="AG9" s="31"/>
      <c r="AJ9" s="31" t="s">
        <v>97</v>
      </c>
      <c r="AK9" s="31"/>
      <c r="AL9" s="34"/>
      <c r="AM9" s="34"/>
      <c r="AN9" s="31" t="s">
        <v>69</v>
      </c>
      <c r="AO9" s="31"/>
      <c r="AP9" s="1"/>
      <c r="AQ9" s="32"/>
    </row>
    <row r="10" spans="2:45">
      <c r="B10" s="24"/>
      <c r="D10" s="36" t="s">
        <v>274</v>
      </c>
      <c r="E10" s="37"/>
      <c r="F10" s="34"/>
      <c r="G10" s="34"/>
      <c r="H10" s="36" t="s">
        <v>253</v>
      </c>
      <c r="I10" s="37"/>
      <c r="L10" s="36" t="s">
        <v>230</v>
      </c>
      <c r="M10" s="37"/>
      <c r="N10" s="34"/>
      <c r="O10" s="34"/>
      <c r="P10" s="36" t="s">
        <v>209</v>
      </c>
      <c r="Q10" s="37"/>
      <c r="T10" s="36" t="s">
        <v>186</v>
      </c>
      <c r="U10" s="37"/>
      <c r="V10" s="34"/>
      <c r="W10" s="34"/>
      <c r="X10" s="36" t="s">
        <v>165</v>
      </c>
      <c r="Y10" s="37"/>
      <c r="AB10" s="31" t="s">
        <v>142</v>
      </c>
      <c r="AC10" s="31"/>
      <c r="AD10" s="34"/>
      <c r="AE10" s="34"/>
      <c r="AF10" s="31" t="s">
        <v>121</v>
      </c>
      <c r="AG10" s="31"/>
      <c r="AJ10" s="31" t="s">
        <v>98</v>
      </c>
      <c r="AK10" s="31"/>
      <c r="AL10" s="34"/>
      <c r="AM10" s="34"/>
      <c r="AN10" s="31" t="s">
        <v>75</v>
      </c>
      <c r="AO10" s="31"/>
      <c r="AP10" s="1"/>
      <c r="AQ10" s="32"/>
      <c r="AR10" s="35"/>
    </row>
    <row r="11" spans="2:45">
      <c r="B11" s="24"/>
      <c r="D11" s="36" t="s">
        <v>275</v>
      </c>
      <c r="E11" s="37"/>
      <c r="F11" s="34"/>
      <c r="G11" s="34"/>
      <c r="H11" s="36" t="s">
        <v>254</v>
      </c>
      <c r="I11" s="37"/>
      <c r="L11" s="36" t="s">
        <v>231</v>
      </c>
      <c r="M11" s="37"/>
      <c r="N11" s="34"/>
      <c r="O11" s="34"/>
      <c r="P11" s="36" t="s">
        <v>210</v>
      </c>
      <c r="Q11" s="37"/>
      <c r="T11" s="36" t="s">
        <v>187</v>
      </c>
      <c r="U11" s="37"/>
      <c r="V11" s="34"/>
      <c r="W11" s="34"/>
      <c r="X11" s="36" t="s">
        <v>166</v>
      </c>
      <c r="Y11" s="37"/>
      <c r="AB11" s="31" t="s">
        <v>143</v>
      </c>
      <c r="AC11" s="31"/>
      <c r="AD11" s="34"/>
      <c r="AE11" s="34"/>
      <c r="AF11" s="31" t="s">
        <v>122</v>
      </c>
      <c r="AG11" s="31"/>
      <c r="AJ11" s="31" t="s">
        <v>99</v>
      </c>
      <c r="AK11" s="31"/>
      <c r="AL11" s="34"/>
      <c r="AM11" s="34"/>
      <c r="AN11" s="31" t="s">
        <v>77</v>
      </c>
      <c r="AO11" s="31"/>
      <c r="AP11" s="1"/>
      <c r="AQ11" s="32"/>
    </row>
    <row r="12" spans="2:45">
      <c r="B12" s="24"/>
      <c r="D12" s="36" t="s">
        <v>276</v>
      </c>
      <c r="E12" s="37"/>
      <c r="F12" s="34"/>
      <c r="G12" s="34"/>
      <c r="H12" s="36" t="s">
        <v>255</v>
      </c>
      <c r="I12" s="37"/>
      <c r="L12" s="36" t="s">
        <v>232</v>
      </c>
      <c r="M12" s="37"/>
      <c r="N12" s="34"/>
      <c r="O12" s="34"/>
      <c r="P12" s="36" t="s">
        <v>211</v>
      </c>
      <c r="Q12" s="37"/>
      <c r="T12" s="36" t="s">
        <v>188</v>
      </c>
      <c r="U12" s="37"/>
      <c r="V12" s="34"/>
      <c r="W12" s="34"/>
      <c r="X12" s="36" t="s">
        <v>167</v>
      </c>
      <c r="Y12" s="37"/>
      <c r="AB12" s="31" t="s">
        <v>144</v>
      </c>
      <c r="AC12" s="31"/>
      <c r="AD12" s="34"/>
      <c r="AE12" s="34"/>
      <c r="AF12" s="31" t="s">
        <v>123</v>
      </c>
      <c r="AG12" s="31"/>
      <c r="AJ12" s="31" t="s">
        <v>100</v>
      </c>
      <c r="AK12" s="31"/>
      <c r="AL12" s="34"/>
      <c r="AM12" s="34"/>
      <c r="AN12" s="31" t="s">
        <v>79</v>
      </c>
      <c r="AO12" s="31"/>
      <c r="AP12" s="1"/>
      <c r="AQ12" s="32"/>
    </row>
    <row r="13" spans="2:45">
      <c r="B13" s="24"/>
      <c r="D13" s="36" t="s">
        <v>277</v>
      </c>
      <c r="E13" s="37"/>
      <c r="F13" s="34"/>
      <c r="G13" s="34"/>
      <c r="H13" s="36" t="s">
        <v>256</v>
      </c>
      <c r="I13" s="37"/>
      <c r="L13" s="36" t="s">
        <v>233</v>
      </c>
      <c r="M13" s="37"/>
      <c r="N13" s="34"/>
      <c r="O13" s="34"/>
      <c r="P13" s="36" t="s">
        <v>212</v>
      </c>
      <c r="Q13" s="37"/>
      <c r="T13" s="36" t="s">
        <v>189</v>
      </c>
      <c r="U13" s="37"/>
      <c r="V13" s="34"/>
      <c r="W13" s="34"/>
      <c r="X13" s="36" t="s">
        <v>168</v>
      </c>
      <c r="Y13" s="37"/>
      <c r="AB13" s="36" t="s">
        <v>145</v>
      </c>
      <c r="AC13" s="37"/>
      <c r="AD13" s="34"/>
      <c r="AE13" s="34"/>
      <c r="AF13" s="31" t="s">
        <v>124</v>
      </c>
      <c r="AG13" s="31"/>
      <c r="AJ13" s="31" t="s">
        <v>101</v>
      </c>
      <c r="AK13" s="31"/>
      <c r="AL13" s="34"/>
      <c r="AM13" s="34"/>
      <c r="AN13" s="31" t="s">
        <v>80</v>
      </c>
      <c r="AO13" s="31"/>
      <c r="AP13" s="1"/>
      <c r="AQ13" s="32"/>
    </row>
    <row r="14" spans="2:45">
      <c r="B14" s="24"/>
      <c r="D14" s="36" t="s">
        <v>278</v>
      </c>
      <c r="E14" s="37"/>
      <c r="F14" s="34"/>
      <c r="G14" s="34"/>
      <c r="H14" s="36" t="s">
        <v>257</v>
      </c>
      <c r="I14" s="37"/>
      <c r="L14" s="36" t="s">
        <v>234</v>
      </c>
      <c r="M14" s="37"/>
      <c r="N14" s="34"/>
      <c r="O14" s="34"/>
      <c r="P14" s="36" t="s">
        <v>213</v>
      </c>
      <c r="Q14" s="37"/>
      <c r="T14" s="36" t="s">
        <v>190</v>
      </c>
      <c r="U14" s="37"/>
      <c r="V14" s="34"/>
      <c r="W14" s="34"/>
      <c r="X14" s="36" t="s">
        <v>169</v>
      </c>
      <c r="Y14" s="37"/>
      <c r="AB14" s="36" t="s">
        <v>146</v>
      </c>
      <c r="AC14" s="37"/>
      <c r="AD14" s="34"/>
      <c r="AE14" s="34"/>
      <c r="AF14" s="31" t="s">
        <v>125</v>
      </c>
      <c r="AG14" s="31"/>
      <c r="AJ14" s="31" t="s">
        <v>102</v>
      </c>
      <c r="AK14" s="31"/>
      <c r="AL14" s="34"/>
      <c r="AM14" s="34"/>
      <c r="AN14" s="31" t="s">
        <v>81</v>
      </c>
      <c r="AO14" s="31"/>
      <c r="AP14" s="1"/>
      <c r="AQ14" s="32"/>
    </row>
    <row r="15" spans="2:45">
      <c r="B15" s="24"/>
      <c r="D15" s="36" t="s">
        <v>279</v>
      </c>
      <c r="E15" s="37"/>
      <c r="F15" s="34"/>
      <c r="G15" s="34"/>
      <c r="H15" s="36" t="s">
        <v>258</v>
      </c>
      <c r="I15" s="37"/>
      <c r="L15" s="36" t="s">
        <v>235</v>
      </c>
      <c r="M15" s="37"/>
      <c r="N15" s="34"/>
      <c r="O15" s="34"/>
      <c r="P15" s="36" t="s">
        <v>214</v>
      </c>
      <c r="Q15" s="37"/>
      <c r="T15" s="36" t="s">
        <v>191</v>
      </c>
      <c r="U15" s="37"/>
      <c r="V15" s="34"/>
      <c r="W15" s="34"/>
      <c r="X15" s="36" t="s">
        <v>170</v>
      </c>
      <c r="Y15" s="37"/>
      <c r="AB15" s="36" t="s">
        <v>147</v>
      </c>
      <c r="AC15" s="37"/>
      <c r="AD15" s="34"/>
      <c r="AE15" s="34"/>
      <c r="AF15" s="31" t="s">
        <v>126</v>
      </c>
      <c r="AG15" s="31"/>
      <c r="AJ15" s="31" t="s">
        <v>103</v>
      </c>
      <c r="AK15" s="31"/>
      <c r="AL15" s="34"/>
      <c r="AM15" s="34"/>
      <c r="AN15" s="31" t="s">
        <v>82</v>
      </c>
      <c r="AO15" s="31"/>
      <c r="AP15" s="1"/>
      <c r="AQ15" s="32"/>
    </row>
    <row r="16" spans="2:45">
      <c r="B16" s="24"/>
      <c r="D16" s="36" t="s">
        <v>280</v>
      </c>
      <c r="E16" s="37"/>
      <c r="F16" s="34"/>
      <c r="G16" s="34"/>
      <c r="H16" s="36" t="s">
        <v>259</v>
      </c>
      <c r="I16" s="37"/>
      <c r="L16" s="36" t="s">
        <v>236</v>
      </c>
      <c r="M16" s="37"/>
      <c r="N16" s="34"/>
      <c r="O16" s="34"/>
      <c r="P16" s="36" t="s">
        <v>215</v>
      </c>
      <c r="Q16" s="37"/>
      <c r="T16" s="36" t="s">
        <v>192</v>
      </c>
      <c r="U16" s="37"/>
      <c r="V16" s="34"/>
      <c r="W16" s="34"/>
      <c r="X16" s="36" t="s">
        <v>171</v>
      </c>
      <c r="Y16" s="37"/>
      <c r="AB16" s="36" t="s">
        <v>148</v>
      </c>
      <c r="AC16" s="37"/>
      <c r="AD16" s="34"/>
      <c r="AE16" s="34"/>
      <c r="AF16" s="31" t="s">
        <v>127</v>
      </c>
      <c r="AG16" s="31"/>
      <c r="AJ16" s="31" t="s">
        <v>104</v>
      </c>
      <c r="AK16" s="31"/>
      <c r="AL16" s="34"/>
      <c r="AM16" s="34"/>
      <c r="AN16" s="31" t="s">
        <v>83</v>
      </c>
      <c r="AO16" s="31"/>
      <c r="AP16" s="1"/>
      <c r="AQ16" s="32"/>
    </row>
    <row r="17" spans="2:43">
      <c r="B17" s="24"/>
      <c r="D17" s="36" t="s">
        <v>281</v>
      </c>
      <c r="E17" s="37"/>
      <c r="F17" s="34"/>
      <c r="G17" s="34"/>
      <c r="H17" s="36" t="s">
        <v>260</v>
      </c>
      <c r="I17" s="37"/>
      <c r="L17" s="36" t="s">
        <v>237</v>
      </c>
      <c r="M17" s="37"/>
      <c r="N17" s="34"/>
      <c r="O17" s="34"/>
      <c r="P17" s="36" t="s">
        <v>216</v>
      </c>
      <c r="Q17" s="37"/>
      <c r="T17" s="36" t="s">
        <v>193</v>
      </c>
      <c r="U17" s="37"/>
      <c r="V17" s="34"/>
      <c r="W17" s="34"/>
      <c r="X17" s="36" t="s">
        <v>172</v>
      </c>
      <c r="Y17" s="37"/>
      <c r="AB17" s="36" t="s">
        <v>149</v>
      </c>
      <c r="AC17" s="37"/>
      <c r="AD17" s="34"/>
      <c r="AE17" s="34"/>
      <c r="AF17" s="31" t="s">
        <v>128</v>
      </c>
      <c r="AG17" s="31"/>
      <c r="AJ17" s="31" t="s">
        <v>105</v>
      </c>
      <c r="AK17" s="31"/>
      <c r="AL17" s="34"/>
      <c r="AM17" s="34"/>
      <c r="AN17" s="31" t="s">
        <v>84</v>
      </c>
      <c r="AO17" s="31"/>
      <c r="AP17" s="1"/>
      <c r="AQ17" s="32"/>
    </row>
    <row r="18" spans="2:43">
      <c r="B18" s="24"/>
      <c r="D18" s="36" t="s">
        <v>282</v>
      </c>
      <c r="E18" s="37"/>
      <c r="F18" s="34"/>
      <c r="G18" s="34"/>
      <c r="H18" s="36" t="s">
        <v>261</v>
      </c>
      <c r="I18" s="37"/>
      <c r="L18" s="36" t="s">
        <v>238</v>
      </c>
      <c r="M18" s="37"/>
      <c r="N18" s="34"/>
      <c r="O18" s="34"/>
      <c r="P18" s="36" t="s">
        <v>217</v>
      </c>
      <c r="Q18" s="37"/>
      <c r="T18" s="36" t="s">
        <v>194</v>
      </c>
      <c r="U18" s="37"/>
      <c r="V18" s="34"/>
      <c r="W18" s="34"/>
      <c r="X18" s="36" t="s">
        <v>173</v>
      </c>
      <c r="Y18" s="37"/>
      <c r="AB18" s="33" t="s">
        <v>150</v>
      </c>
      <c r="AC18" s="33"/>
      <c r="AD18" s="34"/>
      <c r="AE18" s="34"/>
      <c r="AF18" s="31" t="s">
        <v>129</v>
      </c>
      <c r="AG18" s="31"/>
      <c r="AJ18" s="31" t="s">
        <v>106</v>
      </c>
      <c r="AK18" s="31"/>
      <c r="AL18" s="34"/>
      <c r="AM18" s="34"/>
      <c r="AN18" s="31" t="s">
        <v>85</v>
      </c>
      <c r="AO18" s="31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6" t="s">
        <v>239</v>
      </c>
      <c r="M19" s="37"/>
      <c r="N19" s="34"/>
      <c r="O19" s="34"/>
      <c r="P19" s="38"/>
      <c r="Q19" s="38"/>
      <c r="T19" s="36" t="s">
        <v>195</v>
      </c>
      <c r="U19" s="37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1" t="s">
        <v>107</v>
      </c>
      <c r="AK19" s="31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1" t="s">
        <v>108</v>
      </c>
      <c r="AK20" s="31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1" t="s">
        <v>130</v>
      </c>
      <c r="AG21" s="31"/>
      <c r="AJ21" s="31" t="s">
        <v>109</v>
      </c>
      <c r="AK21" s="31"/>
      <c r="AL21" s="34"/>
      <c r="AM21" s="34"/>
      <c r="AN21" s="31" t="s">
        <v>86</v>
      </c>
      <c r="AO21" s="31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1" t="s">
        <v>154</v>
      </c>
      <c r="AC22" s="31"/>
      <c r="AD22" s="34"/>
      <c r="AE22" s="34"/>
      <c r="AF22" s="31" t="s">
        <v>131</v>
      </c>
      <c r="AG22" s="31"/>
      <c r="AJ22" s="31" t="s">
        <v>110</v>
      </c>
      <c r="AK22" s="31"/>
      <c r="AL22" s="34"/>
      <c r="AM22" s="34"/>
      <c r="AN22" s="31" t="s">
        <v>87</v>
      </c>
      <c r="AO22" s="31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1" t="s">
        <v>155</v>
      </c>
      <c r="AC23" s="31"/>
      <c r="AD23" s="34"/>
      <c r="AE23" s="34"/>
      <c r="AF23" s="31" t="s">
        <v>132</v>
      </c>
      <c r="AG23" s="31"/>
      <c r="AJ23" s="31" t="s">
        <v>111</v>
      </c>
      <c r="AK23" s="31"/>
      <c r="AL23" s="34"/>
      <c r="AM23" s="34"/>
      <c r="AN23" s="31" t="s">
        <v>88</v>
      </c>
      <c r="AO23" s="31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1" t="s">
        <v>156</v>
      </c>
      <c r="AC24" s="31"/>
      <c r="AD24" s="34"/>
      <c r="AE24" s="34"/>
      <c r="AF24" s="31" t="s">
        <v>133</v>
      </c>
      <c r="AG24" s="31"/>
      <c r="AJ24" s="31" t="s">
        <v>112</v>
      </c>
      <c r="AK24" s="31"/>
      <c r="AL24" s="34"/>
      <c r="AM24" s="34"/>
      <c r="AN24" s="31" t="s">
        <v>89</v>
      </c>
      <c r="AO24" s="31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1" t="s">
        <v>157</v>
      </c>
      <c r="AC25" s="31"/>
      <c r="AD25" s="34"/>
      <c r="AE25" s="34"/>
      <c r="AF25" s="31" t="s">
        <v>134</v>
      </c>
      <c r="AG25" s="31"/>
      <c r="AJ25" s="31" t="s">
        <v>113</v>
      </c>
      <c r="AK25" s="31"/>
      <c r="AL25" s="34"/>
      <c r="AM25" s="34"/>
      <c r="AN25" s="31" t="s">
        <v>90</v>
      </c>
      <c r="AO25" s="31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1" t="s">
        <v>158</v>
      </c>
      <c r="AC26" s="31"/>
      <c r="AD26" s="34"/>
      <c r="AE26" s="34"/>
      <c r="AF26" s="31" t="s">
        <v>135</v>
      </c>
      <c r="AG26" s="31"/>
      <c r="AJ26" s="31" t="s">
        <v>114</v>
      </c>
      <c r="AK26" s="31"/>
      <c r="AL26" s="34"/>
      <c r="AM26" s="34"/>
      <c r="AN26" s="31" t="s">
        <v>91</v>
      </c>
      <c r="AO26" s="31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31" t="s">
        <v>159</v>
      </c>
      <c r="AC27" s="31"/>
      <c r="AF27" s="31" t="s">
        <v>136</v>
      </c>
      <c r="AG27" s="31"/>
      <c r="AJ27" s="31" t="s">
        <v>115</v>
      </c>
      <c r="AK27" s="31"/>
      <c r="AN27" s="31" t="s">
        <v>92</v>
      </c>
      <c r="AO27" s="31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33" t="s">
        <v>160</v>
      </c>
      <c r="AC28" s="33"/>
      <c r="AF28" s="31" t="s">
        <v>137</v>
      </c>
      <c r="AG28" s="31"/>
      <c r="AJ28" s="33" t="s">
        <v>116</v>
      </c>
      <c r="AK28" s="33"/>
      <c r="AN28" s="31" t="s">
        <v>93</v>
      </c>
      <c r="AO28" s="31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33" t="s">
        <v>161</v>
      </c>
      <c r="AC29" s="33"/>
      <c r="AF29" s="33" t="s">
        <v>138</v>
      </c>
      <c r="AG29" s="33"/>
      <c r="AJ29" s="33" t="s">
        <v>117</v>
      </c>
      <c r="AK29" s="33"/>
      <c r="AN29" s="33" t="s">
        <v>94</v>
      </c>
      <c r="AO29" s="33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33" t="s">
        <v>162</v>
      </c>
      <c r="AC30" s="33"/>
      <c r="AF30" s="33" t="s">
        <v>139</v>
      </c>
      <c r="AG30" s="33"/>
      <c r="AJ30" s="33" t="s">
        <v>118</v>
      </c>
      <c r="AK30" s="33"/>
      <c r="AN30" s="33" t="s">
        <v>95</v>
      </c>
      <c r="AO30" s="33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33" t="s">
        <v>163</v>
      </c>
      <c r="AC31" s="33"/>
      <c r="AD31" s="19"/>
      <c r="AE31" s="19"/>
      <c r="AF31" s="33" t="s">
        <v>140</v>
      </c>
      <c r="AG31" s="33"/>
      <c r="AH31" s="19"/>
      <c r="AI31" s="19"/>
      <c r="AJ31" s="33" t="s">
        <v>119</v>
      </c>
      <c r="AK31" s="33"/>
      <c r="AL31" s="19"/>
      <c r="AM31" s="19"/>
      <c r="AN31" s="33" t="s">
        <v>96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354</v>
      </c>
      <c r="C34" s="12"/>
      <c r="D34" s="1"/>
      <c r="E34" s="1"/>
      <c r="F34" s="1"/>
      <c r="G34" s="1"/>
      <c r="H34" s="1"/>
      <c r="I34" s="11" t="s">
        <v>355</v>
      </c>
      <c r="J34" s="12"/>
      <c r="K34" s="11" t="s">
        <v>356</v>
      </c>
      <c r="L34" s="12"/>
      <c r="M34" s="1"/>
      <c r="N34" s="1"/>
      <c r="O34" s="1"/>
      <c r="P34" s="11" t="s">
        <v>357</v>
      </c>
      <c r="Q34" s="12"/>
      <c r="R34" s="11" t="s">
        <v>358</v>
      </c>
      <c r="S34" s="12"/>
      <c r="V34" s="1"/>
      <c r="W34" s="1"/>
      <c r="X34" s="1"/>
      <c r="Y34" s="11" t="s">
        <v>359</v>
      </c>
      <c r="Z34" s="12"/>
      <c r="AA34" s="11" t="s">
        <v>360</v>
      </c>
      <c r="AB34" s="12"/>
      <c r="AC34" s="1"/>
      <c r="AD34" s="1"/>
      <c r="AE34" s="1"/>
      <c r="AF34" s="1"/>
      <c r="AG34" s="11" t="s">
        <v>361</v>
      </c>
      <c r="AH34" s="12"/>
      <c r="AI34" s="11" t="s">
        <v>362</v>
      </c>
      <c r="AJ34" s="12"/>
      <c r="AM34" s="1"/>
      <c r="AN34" s="1"/>
      <c r="AO34" s="1"/>
      <c r="AP34" s="11" t="s">
        <v>363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6" spans="2:43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2"/>
    </row>
    <row r="38" ht="14.15" customHeight="1" spans="2:43">
      <c r="B38" s="40" t="s">
        <v>339</v>
      </c>
      <c r="C38" s="40"/>
      <c r="D38" s="40"/>
      <c r="E38" s="40"/>
      <c r="F38" s="40"/>
      <c r="G38" s="41"/>
      <c r="H38" s="51">
        <f>getcolorcount($D$9:$AO$35,G38)</f>
        <v>306</v>
      </c>
    </row>
    <row r="39" spans="2:43">
      <c r="B39" s="40"/>
      <c r="C39" s="40"/>
      <c r="D39" s="40"/>
      <c r="E39" s="40"/>
      <c r="F39" s="40"/>
      <c r="G39" s="43"/>
      <c r="H39" s="51">
        <f>getcolorcount($D$9:$AO$35,G39)</f>
        <v>134</v>
      </c>
    </row>
    <row r="40" spans="2:43">
      <c r="B40" s="40"/>
      <c r="C40" s="40"/>
      <c r="D40" s="40"/>
      <c r="E40" s="40"/>
      <c r="F40" s="40"/>
      <c r="G40" s="44"/>
      <c r="H40" s="51">
        <f>getcolorcount($D$9:$AO$35,G40)</f>
        <v>306</v>
      </c>
    </row>
    <row r="41" spans="2:43">
      <c r="B41" s="40"/>
      <c r="C41" s="40"/>
      <c r="D41" s="40"/>
      <c r="E41" s="40"/>
      <c r="F41" s="40"/>
      <c r="G41" s="45"/>
      <c r="H41" s="51">
        <f>getcolorcount($D$9:$AO$35,G41)</f>
        <v>134</v>
      </c>
      <c r="I41" s="1"/>
      <c r="J41" s="2"/>
      <c r="K41" s="46"/>
    </row>
    <row r="42" spans="2:43">
      <c r="B42" s="47"/>
      <c r="C42" s="47"/>
      <c r="D42" s="47"/>
      <c r="E42" s="47"/>
      <c r="F42" s="47"/>
      <c r="G42" s="48"/>
      <c r="H42" s="1"/>
      <c r="I42" s="1"/>
      <c r="J42" s="35"/>
      <c r="K42" s="46"/>
    </row>
    <row r="43" spans="2:43">
      <c r="B43" s="49" t="s">
        <v>340</v>
      </c>
      <c r="C43" s="49"/>
      <c r="D43" s="49"/>
      <c r="E43" s="49"/>
      <c r="F43" s="51">
        <v>220</v>
      </c>
      <c r="G43" s="1"/>
      <c r="H43" s="1"/>
      <c r="I43" s="1"/>
    </row>
    <row r="44" spans="2:43">
      <c r="B44" s="49" t="s">
        <v>341</v>
      </c>
      <c r="C44" s="49"/>
      <c r="D44" s="49"/>
      <c r="E44" s="49"/>
      <c r="F44" s="51">
        <f>H41/2</f>
        <v>67</v>
      </c>
      <c r="G44" s="50"/>
      <c r="H44" s="1"/>
      <c r="I44" s="1"/>
    </row>
    <row r="45" spans="2:43">
      <c r="B45" s="49" t="s">
        <v>342</v>
      </c>
      <c r="C45" s="49"/>
      <c r="D45" s="49"/>
      <c r="E45" s="49"/>
      <c r="F45" s="51">
        <f>F43-F44</f>
        <v>153</v>
      </c>
      <c r="G45" s="44"/>
      <c r="H45" s="1"/>
      <c r="I45" s="1"/>
    </row>
  </sheetData>
  <mergeCells count="28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3:E43"/>
    <mergeCell ref="B44:E44"/>
    <mergeCell ref="B45:E45"/>
    <mergeCell ref="AS1:AS5"/>
    <mergeCell ref="B38:F42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4"/>
  <sheetViews>
    <sheetView showGridLines="0" zoomScale="70" zoomScaleNormal="70" workbookViewId="0">
      <selection activeCell="AS14" sqref="AS14"/>
    </sheetView>
  </sheetViews>
  <sheetFormatPr defaultColWidth="9" defaultRowHeight="14"/>
  <cols>
    <col min="1" max="3" width="3.63636363636364" customWidth="1"/>
    <col min="4" max="5" width="5.45454545454545" customWidth="1"/>
    <col min="6" max="6" width="6.81818181818182" customWidth="1"/>
    <col min="7" max="7" width="3.63636363636364" customWidth="1"/>
    <col min="8" max="8" width="5.5454545454545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364</v>
      </c>
      <c r="C3" s="12"/>
      <c r="D3" s="1"/>
      <c r="E3" s="1"/>
      <c r="F3" s="1"/>
      <c r="G3" s="1"/>
      <c r="H3" s="1"/>
      <c r="I3" s="11" t="s">
        <v>365</v>
      </c>
      <c r="J3" s="12"/>
      <c r="K3" s="11" t="s">
        <v>366</v>
      </c>
      <c r="L3" s="12"/>
      <c r="M3" s="1"/>
      <c r="N3" s="1"/>
      <c r="O3" s="1"/>
      <c r="R3" s="11" t="s">
        <v>367</v>
      </c>
      <c r="S3" s="12"/>
      <c r="T3" s="11" t="s">
        <v>368</v>
      </c>
      <c r="U3" s="12"/>
      <c r="V3" s="1"/>
      <c r="W3" s="1"/>
      <c r="X3" s="1"/>
      <c r="Y3" s="11" t="s">
        <v>369</v>
      </c>
      <c r="Z3" s="12"/>
      <c r="AA3" s="11" t="s">
        <v>370</v>
      </c>
      <c r="AB3" s="12"/>
      <c r="AC3" s="1"/>
      <c r="AD3" s="1"/>
      <c r="AE3" s="1"/>
      <c r="AF3" s="1"/>
      <c r="AG3" s="11" t="s">
        <v>371</v>
      </c>
      <c r="AH3" s="12"/>
      <c r="AI3" s="11" t="s">
        <v>372</v>
      </c>
      <c r="AJ3" s="12"/>
      <c r="AM3" s="1"/>
      <c r="AN3" s="1"/>
      <c r="AO3" s="1"/>
      <c r="AP3" s="11" t="s">
        <v>373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374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1" t="s">
        <v>69</v>
      </c>
      <c r="E9" s="31"/>
      <c r="F9" s="34"/>
      <c r="G9" s="34"/>
      <c r="H9" s="31" t="s">
        <v>97</v>
      </c>
      <c r="I9" s="31"/>
      <c r="L9" s="31" t="s">
        <v>120</v>
      </c>
      <c r="M9" s="31"/>
      <c r="N9" s="34"/>
      <c r="O9" s="34"/>
      <c r="P9" s="31" t="s">
        <v>141</v>
      </c>
      <c r="Q9" s="31"/>
      <c r="T9" s="31" t="s">
        <v>164</v>
      </c>
      <c r="U9" s="31"/>
      <c r="V9" s="34"/>
      <c r="W9" s="34"/>
      <c r="X9" s="31" t="s">
        <v>185</v>
      </c>
      <c r="Y9" s="31"/>
      <c r="AB9" s="31" t="s">
        <v>208</v>
      </c>
      <c r="AC9" s="31"/>
      <c r="AD9" s="34"/>
      <c r="AE9" s="34"/>
      <c r="AF9" s="31" t="s">
        <v>229</v>
      </c>
      <c r="AG9" s="31"/>
      <c r="AJ9" s="31" t="s">
        <v>252</v>
      </c>
      <c r="AK9" s="31"/>
      <c r="AL9" s="34"/>
      <c r="AM9" s="34"/>
      <c r="AN9" s="31" t="s">
        <v>273</v>
      </c>
      <c r="AO9" s="31"/>
      <c r="AP9" s="1"/>
      <c r="AQ9" s="32"/>
      <c r="AU9" s="6"/>
      <c r="AV9" s="6"/>
      <c r="AW9" s="1"/>
    </row>
    <row r="10" spans="2:50">
      <c r="B10" s="24"/>
      <c r="D10" s="31" t="s">
        <v>75</v>
      </c>
      <c r="E10" s="31"/>
      <c r="F10" s="34"/>
      <c r="G10" s="34"/>
      <c r="H10" s="33" t="s">
        <v>98</v>
      </c>
      <c r="I10" s="33"/>
      <c r="L10" s="31" t="s">
        <v>121</v>
      </c>
      <c r="M10" s="31"/>
      <c r="N10" s="34"/>
      <c r="O10" s="34"/>
      <c r="P10" s="33" t="s">
        <v>142</v>
      </c>
      <c r="Q10" s="33"/>
      <c r="T10" s="31" t="s">
        <v>165</v>
      </c>
      <c r="U10" s="31"/>
      <c r="V10" s="34"/>
      <c r="W10" s="34"/>
      <c r="X10" s="31" t="s">
        <v>186</v>
      </c>
      <c r="Y10" s="31"/>
      <c r="AB10" s="31" t="s">
        <v>209</v>
      </c>
      <c r="AC10" s="31"/>
      <c r="AD10" s="34"/>
      <c r="AE10" s="34"/>
      <c r="AF10" s="31" t="s">
        <v>230</v>
      </c>
      <c r="AG10" s="31"/>
      <c r="AJ10" s="31" t="s">
        <v>253</v>
      </c>
      <c r="AK10" s="31"/>
      <c r="AL10" s="34"/>
      <c r="AM10" s="34"/>
      <c r="AN10" s="31" t="s">
        <v>274</v>
      </c>
      <c r="AO10" s="31"/>
      <c r="AP10" s="1"/>
      <c r="AQ10" s="32"/>
      <c r="AR10" s="35"/>
      <c r="AU10" s="6"/>
    </row>
    <row r="11" spans="2:50">
      <c r="B11" s="24"/>
      <c r="D11" s="31" t="s">
        <v>77</v>
      </c>
      <c r="E11" s="31"/>
      <c r="F11" s="34"/>
      <c r="G11" s="34"/>
      <c r="H11" s="33" t="s">
        <v>99</v>
      </c>
      <c r="I11" s="33"/>
      <c r="L11" s="33" t="s">
        <v>122</v>
      </c>
      <c r="M11" s="33"/>
      <c r="N11" s="34"/>
      <c r="O11" s="34"/>
      <c r="P11" s="33" t="s">
        <v>143</v>
      </c>
      <c r="Q11" s="33"/>
      <c r="T11" s="31" t="s">
        <v>166</v>
      </c>
      <c r="U11" s="31"/>
      <c r="V11" s="34"/>
      <c r="W11" s="34"/>
      <c r="X11" s="31" t="s">
        <v>187</v>
      </c>
      <c r="Y11" s="31"/>
      <c r="AB11" s="31" t="s">
        <v>210</v>
      </c>
      <c r="AC11" s="31"/>
      <c r="AD11" s="34"/>
      <c r="AE11" s="34"/>
      <c r="AF11" s="31" t="s">
        <v>231</v>
      </c>
      <c r="AG11" s="31"/>
      <c r="AJ11" s="31" t="s">
        <v>254</v>
      </c>
      <c r="AK11" s="31"/>
      <c r="AL11" s="34"/>
      <c r="AM11" s="34"/>
      <c r="AN11" s="31" t="s">
        <v>275</v>
      </c>
      <c r="AO11" s="31"/>
      <c r="AP11" s="1"/>
      <c r="AQ11" s="32"/>
      <c r="AU11" s="6"/>
    </row>
    <row r="12" spans="2:50">
      <c r="B12" s="24"/>
      <c r="D12" s="33" t="s">
        <v>79</v>
      </c>
      <c r="E12" s="33"/>
      <c r="F12" s="34"/>
      <c r="G12" s="34"/>
      <c r="H12" s="33" t="s">
        <v>100</v>
      </c>
      <c r="I12" s="33"/>
      <c r="L12" s="33" t="s">
        <v>123</v>
      </c>
      <c r="M12" s="33"/>
      <c r="N12" s="34"/>
      <c r="O12" s="34"/>
      <c r="P12" s="33" t="s">
        <v>144</v>
      </c>
      <c r="Q12" s="33"/>
      <c r="T12" s="31" t="s">
        <v>167</v>
      </c>
      <c r="U12" s="31"/>
      <c r="V12" s="34"/>
      <c r="W12" s="34"/>
      <c r="X12" s="31" t="s">
        <v>188</v>
      </c>
      <c r="Y12" s="31"/>
      <c r="AB12" s="31" t="s">
        <v>211</v>
      </c>
      <c r="AC12" s="31"/>
      <c r="AD12" s="34"/>
      <c r="AE12" s="34"/>
      <c r="AF12" s="31" t="s">
        <v>232</v>
      </c>
      <c r="AG12" s="31"/>
      <c r="AJ12" s="31" t="s">
        <v>255</v>
      </c>
      <c r="AK12" s="31"/>
      <c r="AL12" s="34"/>
      <c r="AM12" s="34"/>
      <c r="AN12" s="31" t="s">
        <v>276</v>
      </c>
      <c r="AO12" s="31"/>
      <c r="AP12" s="1"/>
      <c r="AQ12" s="32"/>
      <c r="AU12" s="6"/>
    </row>
    <row r="13" spans="2:50">
      <c r="B13" s="24"/>
      <c r="D13" s="33" t="s">
        <v>80</v>
      </c>
      <c r="E13" s="33"/>
      <c r="F13" s="34"/>
      <c r="G13" s="34"/>
      <c r="H13" s="33" t="s">
        <v>101</v>
      </c>
      <c r="I13" s="33"/>
      <c r="L13" s="33" t="s">
        <v>124</v>
      </c>
      <c r="M13" s="33"/>
      <c r="N13" s="34"/>
      <c r="O13" s="34"/>
      <c r="P13" s="33" t="s">
        <v>145</v>
      </c>
      <c r="Q13" s="33"/>
      <c r="T13" s="31" t="s">
        <v>168</v>
      </c>
      <c r="U13" s="31"/>
      <c r="V13" s="34"/>
      <c r="W13" s="34"/>
      <c r="X13" s="31" t="s">
        <v>189</v>
      </c>
      <c r="Y13" s="31"/>
      <c r="AB13" s="31" t="s">
        <v>212</v>
      </c>
      <c r="AC13" s="31"/>
      <c r="AD13" s="34"/>
      <c r="AE13" s="34"/>
      <c r="AF13" s="31" t="s">
        <v>233</v>
      </c>
      <c r="AG13" s="31"/>
      <c r="AJ13" s="31" t="s">
        <v>256</v>
      </c>
      <c r="AK13" s="31"/>
      <c r="AL13" s="34"/>
      <c r="AM13" s="34"/>
      <c r="AN13" s="31" t="s">
        <v>277</v>
      </c>
      <c r="AO13" s="31"/>
      <c r="AP13" s="1"/>
      <c r="AQ13" s="32"/>
    </row>
    <row r="14" spans="2:50">
      <c r="B14" s="24"/>
      <c r="D14" s="33" t="s">
        <v>81</v>
      </c>
      <c r="E14" s="33"/>
      <c r="F14" s="34"/>
      <c r="G14" s="34"/>
      <c r="H14" s="33" t="s">
        <v>102</v>
      </c>
      <c r="I14" s="33"/>
      <c r="L14" s="33" t="s">
        <v>125</v>
      </c>
      <c r="M14" s="33"/>
      <c r="N14" s="34"/>
      <c r="O14" s="34"/>
      <c r="P14" s="33" t="s">
        <v>146</v>
      </c>
      <c r="Q14" s="33"/>
      <c r="T14" s="31" t="s">
        <v>169</v>
      </c>
      <c r="U14" s="31"/>
      <c r="V14" s="34"/>
      <c r="W14" s="34"/>
      <c r="X14" s="31" t="s">
        <v>190</v>
      </c>
      <c r="Y14" s="31"/>
      <c r="AB14" s="31" t="s">
        <v>213</v>
      </c>
      <c r="AC14" s="31"/>
      <c r="AD14" s="34"/>
      <c r="AE14" s="34"/>
      <c r="AF14" s="31" t="s">
        <v>234</v>
      </c>
      <c r="AG14" s="31"/>
      <c r="AJ14" s="31" t="s">
        <v>257</v>
      </c>
      <c r="AK14" s="31"/>
      <c r="AL14" s="34"/>
      <c r="AM14" s="34"/>
      <c r="AN14" s="31" t="s">
        <v>278</v>
      </c>
      <c r="AO14" s="31"/>
      <c r="AP14" s="1"/>
      <c r="AQ14" s="32"/>
    </row>
    <row r="15" spans="2:50">
      <c r="B15" s="24"/>
      <c r="D15" s="33" t="s">
        <v>82</v>
      </c>
      <c r="E15" s="33"/>
      <c r="F15" s="34"/>
      <c r="G15" s="34"/>
      <c r="H15" s="33" t="s">
        <v>103</v>
      </c>
      <c r="I15" s="33"/>
      <c r="L15" s="33" t="s">
        <v>126</v>
      </c>
      <c r="M15" s="33"/>
      <c r="N15" s="34"/>
      <c r="O15" s="34"/>
      <c r="P15" s="33" t="s">
        <v>147</v>
      </c>
      <c r="Q15" s="33"/>
      <c r="T15" s="31" t="s">
        <v>170</v>
      </c>
      <c r="U15" s="31"/>
      <c r="V15" s="34"/>
      <c r="W15" s="34"/>
      <c r="X15" s="31" t="s">
        <v>191</v>
      </c>
      <c r="Y15" s="31"/>
      <c r="AB15" s="31" t="s">
        <v>214</v>
      </c>
      <c r="AC15" s="31"/>
      <c r="AD15" s="34"/>
      <c r="AE15" s="34"/>
      <c r="AF15" s="31" t="s">
        <v>235</v>
      </c>
      <c r="AG15" s="31"/>
      <c r="AJ15" s="31" t="s">
        <v>258</v>
      </c>
      <c r="AK15" s="31"/>
      <c r="AL15" s="34"/>
      <c r="AM15" s="34"/>
      <c r="AN15" s="31" t="s">
        <v>279</v>
      </c>
      <c r="AO15" s="31"/>
      <c r="AP15" s="1"/>
      <c r="AQ15" s="32"/>
    </row>
    <row r="16" spans="2:50">
      <c r="B16" s="24"/>
      <c r="D16" s="33" t="s">
        <v>83</v>
      </c>
      <c r="E16" s="33"/>
      <c r="F16" s="34"/>
      <c r="G16" s="34"/>
      <c r="H16" s="33" t="s">
        <v>104</v>
      </c>
      <c r="I16" s="33"/>
      <c r="L16" s="33" t="s">
        <v>127</v>
      </c>
      <c r="M16" s="33"/>
      <c r="N16" s="34"/>
      <c r="O16" s="34"/>
      <c r="P16" s="33" t="s">
        <v>148</v>
      </c>
      <c r="Q16" s="33"/>
      <c r="T16" s="31" t="s">
        <v>171</v>
      </c>
      <c r="U16" s="31"/>
      <c r="V16" s="34"/>
      <c r="W16" s="34"/>
      <c r="X16" s="31" t="s">
        <v>192</v>
      </c>
      <c r="Y16" s="31"/>
      <c r="AB16" s="31" t="s">
        <v>215</v>
      </c>
      <c r="AC16" s="31"/>
      <c r="AD16" s="34"/>
      <c r="AE16" s="34"/>
      <c r="AF16" s="31" t="s">
        <v>236</v>
      </c>
      <c r="AG16" s="31"/>
      <c r="AJ16" s="31" t="s">
        <v>259</v>
      </c>
      <c r="AK16" s="31"/>
      <c r="AL16" s="34"/>
      <c r="AM16" s="34"/>
      <c r="AN16" s="31" t="s">
        <v>280</v>
      </c>
      <c r="AO16" s="31"/>
      <c r="AP16" s="1"/>
      <c r="AQ16" s="32"/>
    </row>
    <row r="17" spans="2:43">
      <c r="B17" s="24"/>
      <c r="D17" s="33" t="s">
        <v>84</v>
      </c>
      <c r="E17" s="33"/>
      <c r="F17" s="34"/>
      <c r="G17" s="34"/>
      <c r="H17" s="33" t="s">
        <v>105</v>
      </c>
      <c r="I17" s="33"/>
      <c r="L17" s="33" t="s">
        <v>128</v>
      </c>
      <c r="M17" s="33"/>
      <c r="N17" s="34"/>
      <c r="O17" s="34"/>
      <c r="P17" s="33" t="s">
        <v>149</v>
      </c>
      <c r="Q17" s="33"/>
      <c r="T17" s="31" t="s">
        <v>172</v>
      </c>
      <c r="U17" s="31"/>
      <c r="V17" s="34"/>
      <c r="W17" s="34"/>
      <c r="X17" s="31" t="s">
        <v>193</v>
      </c>
      <c r="Y17" s="31"/>
      <c r="AB17" s="31" t="s">
        <v>216</v>
      </c>
      <c r="AC17" s="31"/>
      <c r="AD17" s="34"/>
      <c r="AE17" s="34"/>
      <c r="AF17" s="31" t="s">
        <v>237</v>
      </c>
      <c r="AG17" s="31"/>
      <c r="AJ17" s="31" t="s">
        <v>260</v>
      </c>
      <c r="AK17" s="31"/>
      <c r="AL17" s="34"/>
      <c r="AM17" s="34"/>
      <c r="AN17" s="31" t="s">
        <v>281</v>
      </c>
      <c r="AO17" s="31"/>
      <c r="AP17" s="1"/>
      <c r="AQ17" s="32"/>
    </row>
    <row r="18" spans="2:43">
      <c r="B18" s="24"/>
      <c r="D18" s="33" t="s">
        <v>85</v>
      </c>
      <c r="E18" s="33"/>
      <c r="F18" s="34"/>
      <c r="G18" s="34"/>
      <c r="H18" s="33" t="s">
        <v>106</v>
      </c>
      <c r="I18" s="33"/>
      <c r="L18" s="33" t="s">
        <v>129</v>
      </c>
      <c r="M18" s="33"/>
      <c r="N18" s="34"/>
      <c r="O18" s="34"/>
      <c r="P18" s="33" t="s">
        <v>150</v>
      </c>
      <c r="Q18" s="33"/>
      <c r="T18" s="31" t="s">
        <v>173</v>
      </c>
      <c r="U18" s="31"/>
      <c r="V18" s="34"/>
      <c r="W18" s="34"/>
      <c r="X18" s="31" t="s">
        <v>194</v>
      </c>
      <c r="Y18" s="31"/>
      <c r="AB18" s="31" t="s">
        <v>217</v>
      </c>
      <c r="AC18" s="31"/>
      <c r="AD18" s="34"/>
      <c r="AE18" s="34"/>
      <c r="AF18" s="31" t="s">
        <v>238</v>
      </c>
      <c r="AG18" s="31"/>
      <c r="AJ18" s="31" t="s">
        <v>261</v>
      </c>
      <c r="AK18" s="31"/>
      <c r="AL18" s="34"/>
      <c r="AM18" s="34"/>
      <c r="AN18" s="31" t="s">
        <v>282</v>
      </c>
      <c r="AO18" s="31"/>
      <c r="AP18" s="1"/>
      <c r="AQ18" s="32"/>
    </row>
    <row r="19" spans="2:43">
      <c r="B19" s="24"/>
      <c r="D19" s="38"/>
      <c r="E19" s="38"/>
      <c r="F19" s="34"/>
      <c r="G19" s="34"/>
      <c r="H19" s="33" t="s">
        <v>107</v>
      </c>
      <c r="I19" s="33"/>
      <c r="L19" s="38"/>
      <c r="M19" s="38"/>
      <c r="N19" s="34"/>
      <c r="O19" s="34"/>
      <c r="P19" s="33" t="s">
        <v>151</v>
      </c>
      <c r="Q19" s="33"/>
      <c r="T19" s="38"/>
      <c r="U19" s="38"/>
      <c r="V19" s="34"/>
      <c r="W19" s="34"/>
      <c r="X19" s="31" t="s">
        <v>195</v>
      </c>
      <c r="Y19" s="31"/>
      <c r="AB19" s="38"/>
      <c r="AC19" s="38"/>
      <c r="AD19" s="34"/>
      <c r="AE19" s="34"/>
      <c r="AF19" s="31" t="s">
        <v>239</v>
      </c>
      <c r="AG19" s="31"/>
      <c r="AJ19" s="38"/>
      <c r="AK19" s="38"/>
      <c r="AL19" s="34"/>
      <c r="AM19" s="34"/>
      <c r="AN19" s="31" t="s">
        <v>283</v>
      </c>
      <c r="AO19" s="31"/>
      <c r="AP19" s="1"/>
      <c r="AQ19" s="32"/>
    </row>
    <row r="20" spans="2:43">
      <c r="B20" s="24"/>
      <c r="D20" s="38"/>
      <c r="E20" s="38"/>
      <c r="F20" s="34"/>
      <c r="G20" s="34"/>
      <c r="H20" s="33" t="s">
        <v>108</v>
      </c>
      <c r="I20" s="33"/>
      <c r="L20" s="38"/>
      <c r="M20" s="38"/>
      <c r="N20" s="34"/>
      <c r="O20" s="34"/>
      <c r="P20" s="33" t="s">
        <v>152</v>
      </c>
      <c r="Q20" s="33"/>
      <c r="T20" s="38"/>
      <c r="U20" s="38"/>
      <c r="V20" s="34"/>
      <c r="W20" s="34"/>
      <c r="X20" s="31" t="s">
        <v>196</v>
      </c>
      <c r="Y20" s="31"/>
      <c r="AB20" s="38"/>
      <c r="AC20" s="38"/>
      <c r="AD20" s="34"/>
      <c r="AE20" s="34"/>
      <c r="AF20" s="31" t="s">
        <v>240</v>
      </c>
      <c r="AG20" s="31"/>
      <c r="AJ20" s="38"/>
      <c r="AK20" s="38"/>
      <c r="AL20" s="34"/>
      <c r="AM20" s="34"/>
      <c r="AN20" s="31" t="s">
        <v>284</v>
      </c>
      <c r="AO20" s="31"/>
      <c r="AP20" s="39"/>
      <c r="AQ20" s="32"/>
    </row>
    <row r="21" spans="2:43">
      <c r="B21" s="24"/>
      <c r="D21" s="54" t="s">
        <v>86</v>
      </c>
      <c r="E21" s="54"/>
      <c r="F21" s="34"/>
      <c r="G21" s="34"/>
      <c r="H21" s="33" t="s">
        <v>109</v>
      </c>
      <c r="I21" s="33"/>
      <c r="L21" s="33" t="s">
        <v>130</v>
      </c>
      <c r="M21" s="33"/>
      <c r="N21" s="34"/>
      <c r="O21" s="34"/>
      <c r="P21" s="33" t="s">
        <v>153</v>
      </c>
      <c r="Q21" s="33"/>
      <c r="T21" s="31" t="s">
        <v>174</v>
      </c>
      <c r="U21" s="31"/>
      <c r="V21" s="34"/>
      <c r="W21" s="34"/>
      <c r="X21" s="31" t="s">
        <v>197</v>
      </c>
      <c r="Y21" s="31"/>
      <c r="AB21" s="31" t="s">
        <v>218</v>
      </c>
      <c r="AC21" s="31"/>
      <c r="AD21" s="34"/>
      <c r="AE21" s="34"/>
      <c r="AF21" s="31" t="s">
        <v>241</v>
      </c>
      <c r="AG21" s="31"/>
      <c r="AJ21" s="31" t="s">
        <v>262</v>
      </c>
      <c r="AK21" s="31"/>
      <c r="AL21" s="34"/>
      <c r="AM21" s="34"/>
      <c r="AN21" s="31" t="s">
        <v>285</v>
      </c>
      <c r="AO21" s="31"/>
      <c r="AP21" s="1"/>
      <c r="AQ21" s="32"/>
    </row>
    <row r="22" spans="2:43">
      <c r="B22" s="24"/>
      <c r="D22" s="55" t="s">
        <v>87</v>
      </c>
      <c r="E22" s="55"/>
      <c r="F22" s="34"/>
      <c r="G22" s="34"/>
      <c r="H22" s="56" t="s">
        <v>110</v>
      </c>
      <c r="I22" s="56"/>
      <c r="L22" s="33" t="s">
        <v>131</v>
      </c>
      <c r="M22" s="33"/>
      <c r="N22" s="34"/>
      <c r="O22" s="34"/>
      <c r="P22" s="36" t="s">
        <v>154</v>
      </c>
      <c r="Q22" s="37"/>
      <c r="T22" s="31" t="s">
        <v>175</v>
      </c>
      <c r="U22" s="31"/>
      <c r="V22" s="34"/>
      <c r="W22" s="34"/>
      <c r="X22" s="31" t="s">
        <v>198</v>
      </c>
      <c r="Y22" s="31"/>
      <c r="AB22" s="31" t="s">
        <v>219</v>
      </c>
      <c r="AC22" s="31"/>
      <c r="AD22" s="34"/>
      <c r="AE22" s="34"/>
      <c r="AF22" s="31" t="s">
        <v>242</v>
      </c>
      <c r="AG22" s="31"/>
      <c r="AJ22" s="31" t="s">
        <v>263</v>
      </c>
      <c r="AK22" s="31"/>
      <c r="AL22" s="34"/>
      <c r="AM22" s="34"/>
      <c r="AN22" s="31" t="s">
        <v>286</v>
      </c>
      <c r="AO22" s="31"/>
      <c r="AP22" s="1"/>
      <c r="AQ22" s="32"/>
    </row>
    <row r="23" spans="2:43">
      <c r="B23" s="24"/>
      <c r="D23" s="55" t="s">
        <v>88</v>
      </c>
      <c r="E23" s="55"/>
      <c r="F23" s="2"/>
      <c r="G23" s="2"/>
      <c r="H23" s="57" t="s">
        <v>111</v>
      </c>
      <c r="I23" s="57"/>
      <c r="J23" s="2"/>
      <c r="K23" s="2"/>
      <c r="L23" s="33" t="s">
        <v>132</v>
      </c>
      <c r="M23" s="33"/>
      <c r="N23" s="2"/>
      <c r="O23" s="2"/>
      <c r="P23" s="36" t="s">
        <v>155</v>
      </c>
      <c r="Q23" s="37"/>
      <c r="T23" s="31" t="s">
        <v>176</v>
      </c>
      <c r="U23" s="31"/>
      <c r="V23" s="34"/>
      <c r="W23" s="34"/>
      <c r="X23" s="31" t="s">
        <v>199</v>
      </c>
      <c r="Y23" s="31"/>
      <c r="AB23" s="31" t="s">
        <v>220</v>
      </c>
      <c r="AC23" s="31"/>
      <c r="AD23" s="34"/>
      <c r="AE23" s="34"/>
      <c r="AF23" s="31" t="s">
        <v>243</v>
      </c>
      <c r="AG23" s="31"/>
      <c r="AJ23" s="31" t="s">
        <v>264</v>
      </c>
      <c r="AK23" s="31"/>
      <c r="AL23" s="34"/>
      <c r="AM23" s="34"/>
      <c r="AN23" s="31" t="s">
        <v>287</v>
      </c>
      <c r="AO23" s="31"/>
      <c r="AP23" s="1"/>
      <c r="AQ23" s="32"/>
    </row>
    <row r="24" spans="2:43">
      <c r="B24" s="24"/>
      <c r="D24" s="58" t="s">
        <v>89</v>
      </c>
      <c r="E24" s="58"/>
      <c r="F24" s="2"/>
      <c r="G24" s="2"/>
      <c r="H24" s="57" t="s">
        <v>112</v>
      </c>
      <c r="I24" s="57"/>
      <c r="J24" s="2"/>
      <c r="K24" s="2"/>
      <c r="L24" s="33" t="s">
        <v>133</v>
      </c>
      <c r="M24" s="33"/>
      <c r="N24" s="2"/>
      <c r="O24" s="2"/>
      <c r="P24" s="36" t="s">
        <v>156</v>
      </c>
      <c r="Q24" s="37"/>
      <c r="T24" s="31" t="s">
        <v>177</v>
      </c>
      <c r="U24" s="31"/>
      <c r="V24" s="34"/>
      <c r="W24" s="34"/>
      <c r="X24" s="31" t="s">
        <v>200</v>
      </c>
      <c r="Y24" s="31"/>
      <c r="AB24" s="31" t="s">
        <v>221</v>
      </c>
      <c r="AC24" s="31"/>
      <c r="AD24" s="34"/>
      <c r="AE24" s="34"/>
      <c r="AF24" s="31" t="s">
        <v>244</v>
      </c>
      <c r="AG24" s="31"/>
      <c r="AJ24" s="31" t="s">
        <v>265</v>
      </c>
      <c r="AK24" s="31"/>
      <c r="AL24" s="34"/>
      <c r="AM24" s="34"/>
      <c r="AN24" s="31" t="s">
        <v>288</v>
      </c>
      <c r="AO24" s="31"/>
      <c r="AP24" s="1"/>
      <c r="AQ24" s="32"/>
    </row>
    <row r="25" spans="2:43">
      <c r="B25" s="24"/>
      <c r="D25" s="58" t="s">
        <v>90</v>
      </c>
      <c r="E25" s="58"/>
      <c r="F25" s="2"/>
      <c r="G25" s="2"/>
      <c r="H25" s="57" t="s">
        <v>113</v>
      </c>
      <c r="I25" s="57"/>
      <c r="J25" s="2"/>
      <c r="K25" s="2"/>
      <c r="L25" s="33" t="s">
        <v>134</v>
      </c>
      <c r="M25" s="33"/>
      <c r="N25" s="2"/>
      <c r="O25" s="2"/>
      <c r="P25" s="36" t="s">
        <v>157</v>
      </c>
      <c r="Q25" s="37"/>
      <c r="T25" s="31" t="s">
        <v>178</v>
      </c>
      <c r="U25" s="31"/>
      <c r="V25" s="34"/>
      <c r="W25" s="34"/>
      <c r="X25" s="31" t="s">
        <v>201</v>
      </c>
      <c r="Y25" s="31"/>
      <c r="AB25" s="31" t="s">
        <v>222</v>
      </c>
      <c r="AC25" s="31"/>
      <c r="AD25" s="34"/>
      <c r="AE25" s="34"/>
      <c r="AF25" s="31" t="s">
        <v>245</v>
      </c>
      <c r="AG25" s="31"/>
      <c r="AJ25" s="31" t="s">
        <v>266</v>
      </c>
      <c r="AK25" s="31"/>
      <c r="AL25" s="34"/>
      <c r="AM25" s="34"/>
      <c r="AN25" s="31" t="s">
        <v>289</v>
      </c>
      <c r="AO25" s="31"/>
      <c r="AP25" s="1"/>
      <c r="AQ25" s="32"/>
    </row>
    <row r="26" spans="2:43">
      <c r="B26" s="24"/>
      <c r="D26" s="2"/>
      <c r="E26" s="2"/>
      <c r="F26" s="2"/>
      <c r="G26" s="2"/>
      <c r="H26" s="1"/>
      <c r="I26" s="1"/>
      <c r="J26" s="2"/>
      <c r="K26" s="2"/>
      <c r="L26" s="1"/>
      <c r="M26" s="1"/>
      <c r="N26" s="1"/>
      <c r="O26" s="1"/>
      <c r="P26" s="1"/>
      <c r="Q26" s="1"/>
      <c r="T26" s="31" t="s">
        <v>179</v>
      </c>
      <c r="U26" s="31"/>
      <c r="V26" s="34"/>
      <c r="W26" s="34"/>
      <c r="X26" s="31" t="s">
        <v>202</v>
      </c>
      <c r="Y26" s="31"/>
      <c r="AB26" s="31" t="s">
        <v>223</v>
      </c>
      <c r="AC26" s="31"/>
      <c r="AD26" s="34"/>
      <c r="AE26" s="34"/>
      <c r="AF26" s="31" t="s">
        <v>246</v>
      </c>
      <c r="AG26" s="31"/>
      <c r="AJ26" s="31" t="s">
        <v>267</v>
      </c>
      <c r="AK26" s="31"/>
      <c r="AL26" s="34"/>
      <c r="AM26" s="34"/>
      <c r="AN26" s="31" t="s">
        <v>290</v>
      </c>
      <c r="AO26" s="31"/>
      <c r="AP26" s="1"/>
      <c r="AQ26" s="32"/>
    </row>
    <row r="27" spans="2:43">
      <c r="B27" s="24"/>
      <c r="D27" s="2"/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T27" s="31" t="s">
        <v>180</v>
      </c>
      <c r="U27" s="31"/>
      <c r="X27" s="31" t="s">
        <v>203</v>
      </c>
      <c r="Y27" s="31"/>
      <c r="AB27" s="31" t="s">
        <v>224</v>
      </c>
      <c r="AC27" s="31"/>
      <c r="AF27" s="31" t="s">
        <v>247</v>
      </c>
      <c r="AG27" s="31"/>
      <c r="AJ27" s="31" t="s">
        <v>268</v>
      </c>
      <c r="AK27" s="31"/>
      <c r="AN27" s="31" t="s">
        <v>291</v>
      </c>
      <c r="AO27" s="31"/>
      <c r="AP27" s="1"/>
      <c r="AQ27" s="32"/>
    </row>
    <row r="28" spans="2:43">
      <c r="B28" s="24"/>
      <c r="D28" s="2"/>
      <c r="E28" s="2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T28" s="31" t="s">
        <v>181</v>
      </c>
      <c r="U28" s="31"/>
      <c r="X28" s="31" t="s">
        <v>204</v>
      </c>
      <c r="Y28" s="31"/>
      <c r="AB28" s="31" t="s">
        <v>225</v>
      </c>
      <c r="AC28" s="31"/>
      <c r="AF28" s="31" t="s">
        <v>248</v>
      </c>
      <c r="AG28" s="31"/>
      <c r="AJ28" s="31" t="s">
        <v>269</v>
      </c>
      <c r="AK28" s="31"/>
      <c r="AN28" s="31" t="s">
        <v>292</v>
      </c>
      <c r="AO28" s="31"/>
      <c r="AP28" s="1"/>
      <c r="AQ28" s="32"/>
    </row>
    <row r="29" spans="2:43">
      <c r="B29" s="24"/>
      <c r="D29" s="2"/>
      <c r="E29" s="2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T29" s="31" t="s">
        <v>182</v>
      </c>
      <c r="U29" s="31"/>
      <c r="X29" s="31" t="s">
        <v>205</v>
      </c>
      <c r="Y29" s="31"/>
      <c r="AB29" s="33" t="s">
        <v>226</v>
      </c>
      <c r="AC29" s="33"/>
      <c r="AF29" s="31" t="s">
        <v>249</v>
      </c>
      <c r="AG29" s="31"/>
      <c r="AJ29" s="31" t="s">
        <v>270</v>
      </c>
      <c r="AK29" s="31"/>
      <c r="AN29" s="31" t="s">
        <v>293</v>
      </c>
      <c r="AO29" s="31"/>
      <c r="AP29" s="1"/>
      <c r="AQ29" s="32"/>
    </row>
    <row r="30" spans="2:43">
      <c r="B30" s="24"/>
      <c r="D30" s="2"/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T30" s="31" t="s">
        <v>183</v>
      </c>
      <c r="U30" s="31"/>
      <c r="X30" s="33" t="s">
        <v>206</v>
      </c>
      <c r="Y30" s="33"/>
      <c r="AB30" s="33" t="s">
        <v>227</v>
      </c>
      <c r="AC30" s="33"/>
      <c r="AF30" s="31" t="s">
        <v>250</v>
      </c>
      <c r="AG30" s="31"/>
      <c r="AJ30" s="33" t="s">
        <v>271</v>
      </c>
      <c r="AK30" s="33"/>
      <c r="AN30" s="31" t="s">
        <v>294</v>
      </c>
      <c r="AO30" s="31"/>
      <c r="AP30" s="1"/>
      <c r="AQ30" s="32"/>
    </row>
    <row r="31" spans="2:43">
      <c r="B31" s="18"/>
      <c r="C31" s="19"/>
      <c r="D31" s="2"/>
      <c r="E31" s="2"/>
      <c r="F31" s="19"/>
      <c r="G31" s="19"/>
      <c r="H31" s="1"/>
      <c r="I31" s="1"/>
      <c r="J31" s="19"/>
      <c r="K31" s="19"/>
      <c r="L31" s="1"/>
      <c r="M31" s="1"/>
      <c r="N31" s="1"/>
      <c r="O31" s="1"/>
      <c r="P31" s="1"/>
      <c r="Q31" s="1"/>
      <c r="R31" s="19"/>
      <c r="S31" s="19"/>
      <c r="T31" s="31" t="s">
        <v>184</v>
      </c>
      <c r="U31" s="31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6" t="s">
        <v>295</v>
      </c>
      <c r="AO31" s="37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3.4" customHeight="1" spans="2:43">
      <c r="B34" s="11" t="s">
        <v>375</v>
      </c>
      <c r="C34" s="12"/>
      <c r="D34" s="1"/>
      <c r="E34" s="1"/>
      <c r="F34" s="1"/>
      <c r="G34" s="1"/>
      <c r="H34" s="1"/>
      <c r="I34" s="11" t="s">
        <v>376</v>
      </c>
      <c r="J34" s="12"/>
      <c r="K34" s="11" t="s">
        <v>377</v>
      </c>
      <c r="L34" s="12"/>
      <c r="M34" s="1"/>
      <c r="N34" s="1"/>
      <c r="O34" s="1"/>
      <c r="P34" s="11" t="s">
        <v>378</v>
      </c>
      <c r="Q34" s="12"/>
      <c r="R34" s="1"/>
      <c r="S34" s="1"/>
      <c r="T34" s="11" t="s">
        <v>379</v>
      </c>
      <c r="U34" s="12"/>
      <c r="V34" s="1"/>
      <c r="W34" s="1"/>
      <c r="X34" s="1"/>
      <c r="Y34" s="11" t="s">
        <v>380</v>
      </c>
      <c r="Z34" s="12"/>
      <c r="AA34" s="11" t="s">
        <v>381</v>
      </c>
      <c r="AB34" s="12"/>
      <c r="AC34" s="1"/>
      <c r="AD34" s="1"/>
      <c r="AE34" s="1"/>
      <c r="AF34" s="1"/>
      <c r="AG34" s="11" t="s">
        <v>382</v>
      </c>
      <c r="AH34" s="12"/>
      <c r="AI34" s="11" t="s">
        <v>383</v>
      </c>
      <c r="AJ34" s="12"/>
      <c r="AM34" s="1"/>
      <c r="AN34" s="1"/>
      <c r="AO34" s="1"/>
      <c r="AP34" s="11" t="s">
        <v>384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122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270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122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270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196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135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61</v>
      </c>
      <c r="G44" s="44"/>
      <c r="H44" s="1"/>
    </row>
  </sheetData>
  <mergeCells count="257">
    <mergeCell ref="B3:C3"/>
    <mergeCell ref="I3:J3"/>
    <mergeCell ref="K3:L3"/>
    <mergeCell ref="R3:S3"/>
    <mergeCell ref="T3:U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T26:U26"/>
    <mergeCell ref="X26:Y26"/>
    <mergeCell ref="AB26:AC26"/>
    <mergeCell ref="AF26:AG26"/>
    <mergeCell ref="AJ26:AK26"/>
    <mergeCell ref="AN26:AO26"/>
    <mergeCell ref="T27:U27"/>
    <mergeCell ref="X27:Y27"/>
    <mergeCell ref="AB27:AC27"/>
    <mergeCell ref="AF27:AG27"/>
    <mergeCell ref="AJ27:AK27"/>
    <mergeCell ref="AN27:AO27"/>
    <mergeCell ref="T28:U28"/>
    <mergeCell ref="X28:Y28"/>
    <mergeCell ref="AB28:AC28"/>
    <mergeCell ref="AF28:AG28"/>
    <mergeCell ref="AJ28:AK28"/>
    <mergeCell ref="AN28:AO28"/>
    <mergeCell ref="T29:U29"/>
    <mergeCell ref="X29:Y29"/>
    <mergeCell ref="AB29:AC29"/>
    <mergeCell ref="AF29:AG29"/>
    <mergeCell ref="AJ29:AK29"/>
    <mergeCell ref="AN29:AO29"/>
    <mergeCell ref="T30:U30"/>
    <mergeCell ref="X30:Y30"/>
    <mergeCell ref="AB30:AC30"/>
    <mergeCell ref="AF30:AG30"/>
    <mergeCell ref="AJ30:AK30"/>
    <mergeCell ref="AN30:AO30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4"/>
  <sheetViews>
    <sheetView showGridLines="0" zoomScale="70" zoomScaleNormal="70" workbookViewId="0">
      <selection activeCell="AB9" sqref="AB9:AC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0"/>
      <c r="AX1" s="1"/>
    </row>
    <row r="2" ht="17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X2" s="1"/>
    </row>
    <row r="3" ht="25" customHeight="1" spans="2:50">
      <c r="B3" s="11" t="s">
        <v>385</v>
      </c>
      <c r="C3" s="12"/>
      <c r="D3" s="1"/>
      <c r="E3" s="1"/>
      <c r="F3" s="1"/>
      <c r="G3" s="1"/>
      <c r="H3" s="1"/>
      <c r="I3" s="11" t="s">
        <v>386</v>
      </c>
      <c r="J3" s="12"/>
      <c r="K3" s="11" t="s">
        <v>387</v>
      </c>
      <c r="L3" s="12"/>
      <c r="M3" s="1"/>
      <c r="N3" s="1"/>
      <c r="O3" s="1"/>
      <c r="P3" s="11" t="s">
        <v>388</v>
      </c>
      <c r="Q3" s="12"/>
      <c r="R3" s="1"/>
      <c r="S3" s="1"/>
      <c r="T3" s="11" t="s">
        <v>389</v>
      </c>
      <c r="U3" s="12"/>
      <c r="V3" s="1"/>
      <c r="W3" s="1"/>
      <c r="X3" s="1"/>
      <c r="Y3" s="11" t="s">
        <v>390</v>
      </c>
      <c r="Z3" s="12"/>
      <c r="AA3" s="11" t="s">
        <v>391</v>
      </c>
      <c r="AB3" s="12"/>
      <c r="AC3" s="1"/>
      <c r="AD3" s="1"/>
      <c r="AE3" s="1"/>
      <c r="AF3" s="1"/>
      <c r="AG3" s="11" t="s">
        <v>392</v>
      </c>
      <c r="AH3" s="12"/>
      <c r="AI3" s="1"/>
      <c r="AJ3" s="1"/>
      <c r="AK3" s="11" t="s">
        <v>393</v>
      </c>
      <c r="AL3" s="12"/>
      <c r="AM3" s="1"/>
      <c r="AN3" s="1"/>
      <c r="AO3" s="1"/>
      <c r="AP3" s="11" t="s">
        <v>394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23"/>
      <c r="AX4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1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395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273</v>
      </c>
      <c r="E9" s="33"/>
      <c r="F9" s="34"/>
      <c r="G9" s="34"/>
      <c r="H9" s="33" t="s">
        <v>252</v>
      </c>
      <c r="I9" s="33"/>
      <c r="L9" s="33" t="s">
        <v>229</v>
      </c>
      <c r="M9" s="33"/>
      <c r="N9" s="34"/>
      <c r="O9" s="34"/>
      <c r="P9" s="33" t="s">
        <v>208</v>
      </c>
      <c r="Q9" s="33"/>
      <c r="T9" s="33" t="s">
        <v>185</v>
      </c>
      <c r="U9" s="33"/>
      <c r="V9" s="34"/>
      <c r="W9" s="34"/>
      <c r="X9" s="33" t="s">
        <v>164</v>
      </c>
      <c r="Y9" s="33"/>
      <c r="AB9" s="31" t="s">
        <v>141</v>
      </c>
      <c r="AC9" s="31"/>
      <c r="AD9" s="34"/>
      <c r="AE9" s="34"/>
      <c r="AF9" s="31" t="s">
        <v>120</v>
      </c>
      <c r="AG9" s="31"/>
      <c r="AJ9" s="31" t="s">
        <v>97</v>
      </c>
      <c r="AK9" s="31"/>
      <c r="AL9" s="34"/>
      <c r="AM9" s="34"/>
      <c r="AN9" s="31" t="s">
        <v>69</v>
      </c>
      <c r="AO9" s="31"/>
      <c r="AP9" s="1"/>
      <c r="AQ9" s="32"/>
      <c r="AU9" s="6"/>
    </row>
    <row r="10" spans="2:50">
      <c r="B10" s="24"/>
      <c r="D10" s="33" t="s">
        <v>274</v>
      </c>
      <c r="E10" s="33"/>
      <c r="F10" s="34"/>
      <c r="G10" s="34"/>
      <c r="H10" s="33" t="s">
        <v>253</v>
      </c>
      <c r="I10" s="33"/>
      <c r="L10" s="33" t="s">
        <v>230</v>
      </c>
      <c r="M10" s="33"/>
      <c r="N10" s="34"/>
      <c r="O10" s="34"/>
      <c r="P10" s="33" t="s">
        <v>209</v>
      </c>
      <c r="Q10" s="33"/>
      <c r="T10" s="33" t="s">
        <v>186</v>
      </c>
      <c r="U10" s="33"/>
      <c r="V10" s="34"/>
      <c r="W10" s="34"/>
      <c r="X10" s="33" t="s">
        <v>165</v>
      </c>
      <c r="Y10" s="33"/>
      <c r="AB10" s="33" t="s">
        <v>142</v>
      </c>
      <c r="AC10" s="33"/>
      <c r="AD10" s="34"/>
      <c r="AE10" s="34"/>
      <c r="AF10" s="31" t="s">
        <v>121</v>
      </c>
      <c r="AG10" s="31"/>
      <c r="AJ10" s="31" t="s">
        <v>98</v>
      </c>
      <c r="AK10" s="31"/>
      <c r="AL10" s="34"/>
      <c r="AM10" s="34"/>
      <c r="AN10" s="31" t="s">
        <v>75</v>
      </c>
      <c r="AO10" s="31"/>
      <c r="AP10" s="1"/>
      <c r="AQ10" s="32"/>
      <c r="AR10" s="35"/>
      <c r="AU10" s="6"/>
    </row>
    <row r="11" spans="2:50">
      <c r="B11" s="24"/>
      <c r="D11" s="33" t="s">
        <v>275</v>
      </c>
      <c r="E11" s="33"/>
      <c r="F11" s="34"/>
      <c r="G11" s="34"/>
      <c r="H11" s="33" t="s">
        <v>254</v>
      </c>
      <c r="I11" s="33"/>
      <c r="L11" s="33" t="s">
        <v>231</v>
      </c>
      <c r="M11" s="33"/>
      <c r="N11" s="34"/>
      <c r="O11" s="34"/>
      <c r="P11" s="33" t="s">
        <v>210</v>
      </c>
      <c r="Q11" s="33"/>
      <c r="T11" s="33" t="s">
        <v>187</v>
      </c>
      <c r="U11" s="33"/>
      <c r="V11" s="34"/>
      <c r="W11" s="34"/>
      <c r="X11" s="33" t="s">
        <v>166</v>
      </c>
      <c r="Y11" s="33"/>
      <c r="AB11" s="33" t="s">
        <v>143</v>
      </c>
      <c r="AC11" s="33"/>
      <c r="AD11" s="34"/>
      <c r="AE11" s="34"/>
      <c r="AF11" s="33" t="s">
        <v>122</v>
      </c>
      <c r="AG11" s="33"/>
      <c r="AJ11" s="33" t="s">
        <v>99</v>
      </c>
      <c r="AK11" s="33"/>
      <c r="AL11" s="34"/>
      <c r="AM11" s="34"/>
      <c r="AN11" s="33" t="s">
        <v>77</v>
      </c>
      <c r="AO11" s="33"/>
      <c r="AP11" s="1"/>
      <c r="AQ11" s="32"/>
      <c r="AU11" s="6"/>
    </row>
    <row r="12" spans="2:50">
      <c r="B12" s="24"/>
      <c r="D12" s="33" t="s">
        <v>276</v>
      </c>
      <c r="E12" s="33"/>
      <c r="F12" s="34"/>
      <c r="G12" s="34"/>
      <c r="H12" s="33" t="s">
        <v>255</v>
      </c>
      <c r="I12" s="33"/>
      <c r="L12" s="33" t="s">
        <v>232</v>
      </c>
      <c r="M12" s="33"/>
      <c r="N12" s="34"/>
      <c r="O12" s="34"/>
      <c r="P12" s="33" t="s">
        <v>211</v>
      </c>
      <c r="Q12" s="33"/>
      <c r="T12" s="33" t="s">
        <v>188</v>
      </c>
      <c r="U12" s="33"/>
      <c r="V12" s="34"/>
      <c r="W12" s="34"/>
      <c r="X12" s="33" t="s">
        <v>167</v>
      </c>
      <c r="Y12" s="33"/>
      <c r="AB12" s="33" t="s">
        <v>144</v>
      </c>
      <c r="AC12" s="33"/>
      <c r="AD12" s="34"/>
      <c r="AE12" s="34"/>
      <c r="AF12" s="33" t="s">
        <v>123</v>
      </c>
      <c r="AG12" s="33"/>
      <c r="AJ12" s="33" t="s">
        <v>100</v>
      </c>
      <c r="AK12" s="33"/>
      <c r="AL12" s="34"/>
      <c r="AM12" s="34"/>
      <c r="AN12" s="33" t="s">
        <v>79</v>
      </c>
      <c r="AO12" s="33"/>
      <c r="AP12" s="1"/>
      <c r="AQ12" s="32"/>
      <c r="AU12" s="6"/>
    </row>
    <row r="13" spans="2:50">
      <c r="B13" s="24"/>
      <c r="D13" s="33" t="s">
        <v>277</v>
      </c>
      <c r="E13" s="33"/>
      <c r="F13" s="34"/>
      <c r="G13" s="34"/>
      <c r="H13" s="33" t="s">
        <v>256</v>
      </c>
      <c r="I13" s="33"/>
      <c r="L13" s="33" t="s">
        <v>233</v>
      </c>
      <c r="M13" s="33"/>
      <c r="N13" s="34"/>
      <c r="O13" s="34"/>
      <c r="P13" s="33" t="s">
        <v>212</v>
      </c>
      <c r="Q13" s="33"/>
      <c r="T13" s="33" t="s">
        <v>189</v>
      </c>
      <c r="U13" s="33"/>
      <c r="V13" s="34"/>
      <c r="W13" s="34"/>
      <c r="X13" s="33" t="s">
        <v>168</v>
      </c>
      <c r="Y13" s="33"/>
      <c r="AB13" s="36" t="s">
        <v>145</v>
      </c>
      <c r="AC13" s="37"/>
      <c r="AD13" s="34"/>
      <c r="AE13" s="34"/>
      <c r="AF13" s="33" t="s">
        <v>124</v>
      </c>
      <c r="AG13" s="33"/>
      <c r="AJ13" s="33" t="s">
        <v>101</v>
      </c>
      <c r="AK13" s="33"/>
      <c r="AL13" s="34"/>
      <c r="AM13" s="34"/>
      <c r="AN13" s="33" t="s">
        <v>80</v>
      </c>
      <c r="AO13" s="33"/>
      <c r="AP13" s="1"/>
      <c r="AQ13" s="32"/>
    </row>
    <row r="14" spans="2:50">
      <c r="B14" s="24"/>
      <c r="D14" s="33" t="s">
        <v>278</v>
      </c>
      <c r="E14" s="33"/>
      <c r="F14" s="34"/>
      <c r="G14" s="34"/>
      <c r="H14" s="33" t="s">
        <v>257</v>
      </c>
      <c r="I14" s="33"/>
      <c r="L14" s="33" t="s">
        <v>234</v>
      </c>
      <c r="M14" s="33"/>
      <c r="N14" s="34"/>
      <c r="O14" s="34"/>
      <c r="P14" s="33" t="s">
        <v>213</v>
      </c>
      <c r="Q14" s="33"/>
      <c r="T14" s="33" t="s">
        <v>190</v>
      </c>
      <c r="U14" s="33"/>
      <c r="V14" s="34"/>
      <c r="W14" s="34"/>
      <c r="X14" s="33" t="s">
        <v>169</v>
      </c>
      <c r="Y14" s="33"/>
      <c r="AB14" s="33" t="s">
        <v>146</v>
      </c>
      <c r="AC14" s="33"/>
      <c r="AD14" s="34"/>
      <c r="AE14" s="34"/>
      <c r="AF14" s="33" t="s">
        <v>125</v>
      </c>
      <c r="AG14" s="33"/>
      <c r="AJ14" s="33" t="s">
        <v>102</v>
      </c>
      <c r="AK14" s="33"/>
      <c r="AL14" s="34"/>
      <c r="AM14" s="34"/>
      <c r="AN14" s="33" t="s">
        <v>81</v>
      </c>
      <c r="AO14" s="33"/>
      <c r="AP14" s="1"/>
      <c r="AQ14" s="32"/>
    </row>
    <row r="15" spans="2:50">
      <c r="B15" s="24"/>
      <c r="D15" s="33" t="s">
        <v>279</v>
      </c>
      <c r="E15" s="33"/>
      <c r="F15" s="34"/>
      <c r="G15" s="34"/>
      <c r="H15" s="33" t="s">
        <v>258</v>
      </c>
      <c r="I15" s="33"/>
      <c r="L15" s="33" t="s">
        <v>235</v>
      </c>
      <c r="M15" s="33"/>
      <c r="N15" s="34"/>
      <c r="O15" s="34"/>
      <c r="P15" s="33" t="s">
        <v>214</v>
      </c>
      <c r="Q15" s="33"/>
      <c r="T15" s="33" t="s">
        <v>191</v>
      </c>
      <c r="U15" s="33"/>
      <c r="V15" s="34"/>
      <c r="W15" s="34"/>
      <c r="X15" s="33" t="s">
        <v>170</v>
      </c>
      <c r="Y15" s="33"/>
      <c r="AB15" s="33" t="s">
        <v>147</v>
      </c>
      <c r="AC15" s="33"/>
      <c r="AD15" s="34"/>
      <c r="AE15" s="34"/>
      <c r="AF15" s="33" t="s">
        <v>126</v>
      </c>
      <c r="AG15" s="33"/>
      <c r="AJ15" s="33" t="s">
        <v>103</v>
      </c>
      <c r="AK15" s="33"/>
      <c r="AL15" s="34"/>
      <c r="AM15" s="34"/>
      <c r="AN15" s="33" t="s">
        <v>82</v>
      </c>
      <c r="AO15" s="33"/>
      <c r="AP15" s="1"/>
      <c r="AQ15" s="32"/>
    </row>
    <row r="16" spans="2:50">
      <c r="B16" s="24"/>
      <c r="D16" s="33" t="s">
        <v>280</v>
      </c>
      <c r="E16" s="33"/>
      <c r="F16" s="34"/>
      <c r="G16" s="34"/>
      <c r="H16" s="33" t="s">
        <v>259</v>
      </c>
      <c r="I16" s="33"/>
      <c r="L16" s="33" t="s">
        <v>236</v>
      </c>
      <c r="M16" s="33"/>
      <c r="N16" s="34"/>
      <c r="O16" s="34"/>
      <c r="P16" s="33" t="s">
        <v>215</v>
      </c>
      <c r="Q16" s="33"/>
      <c r="T16" s="33" t="s">
        <v>192</v>
      </c>
      <c r="U16" s="33"/>
      <c r="V16" s="34"/>
      <c r="W16" s="34"/>
      <c r="X16" s="33" t="s">
        <v>171</v>
      </c>
      <c r="Y16" s="33"/>
      <c r="AB16" s="33" t="s">
        <v>148</v>
      </c>
      <c r="AC16" s="33"/>
      <c r="AD16" s="34"/>
      <c r="AE16" s="34"/>
      <c r="AF16" s="33" t="s">
        <v>127</v>
      </c>
      <c r="AG16" s="33"/>
      <c r="AJ16" s="33" t="s">
        <v>104</v>
      </c>
      <c r="AK16" s="33"/>
      <c r="AL16" s="34"/>
      <c r="AM16" s="34"/>
      <c r="AN16" s="33" t="s">
        <v>83</v>
      </c>
      <c r="AO16" s="33"/>
      <c r="AP16" s="1"/>
      <c r="AQ16" s="32"/>
    </row>
    <row r="17" spans="2:43">
      <c r="B17" s="24"/>
      <c r="D17" s="33" t="s">
        <v>281</v>
      </c>
      <c r="E17" s="33"/>
      <c r="F17" s="34"/>
      <c r="G17" s="34"/>
      <c r="H17" s="33" t="s">
        <v>260</v>
      </c>
      <c r="I17" s="33"/>
      <c r="L17" s="33" t="s">
        <v>237</v>
      </c>
      <c r="M17" s="33"/>
      <c r="N17" s="34"/>
      <c r="O17" s="34"/>
      <c r="P17" s="33" t="s">
        <v>216</v>
      </c>
      <c r="Q17" s="33"/>
      <c r="T17" s="33" t="s">
        <v>193</v>
      </c>
      <c r="U17" s="33"/>
      <c r="V17" s="34"/>
      <c r="W17" s="34"/>
      <c r="X17" s="33" t="s">
        <v>172</v>
      </c>
      <c r="Y17" s="33"/>
      <c r="AB17" s="33" t="s">
        <v>149</v>
      </c>
      <c r="AC17" s="33"/>
      <c r="AD17" s="34"/>
      <c r="AE17" s="34"/>
      <c r="AF17" s="33" t="s">
        <v>128</v>
      </c>
      <c r="AG17" s="33"/>
      <c r="AJ17" s="33" t="s">
        <v>105</v>
      </c>
      <c r="AK17" s="33"/>
      <c r="AL17" s="34"/>
      <c r="AM17" s="34"/>
      <c r="AN17" s="33" t="s">
        <v>84</v>
      </c>
      <c r="AO17" s="33"/>
      <c r="AP17" s="1"/>
      <c r="AQ17" s="32"/>
    </row>
    <row r="18" spans="2:43">
      <c r="B18" s="24"/>
      <c r="D18" s="33" t="s">
        <v>282</v>
      </c>
      <c r="E18" s="33"/>
      <c r="F18" s="34"/>
      <c r="G18" s="34"/>
      <c r="H18" s="33" t="s">
        <v>261</v>
      </c>
      <c r="I18" s="33"/>
      <c r="L18" s="33" t="s">
        <v>238</v>
      </c>
      <c r="M18" s="33"/>
      <c r="N18" s="34"/>
      <c r="O18" s="34"/>
      <c r="P18" s="33" t="s">
        <v>217</v>
      </c>
      <c r="Q18" s="33"/>
      <c r="T18" s="33" t="s">
        <v>194</v>
      </c>
      <c r="U18" s="33"/>
      <c r="V18" s="34"/>
      <c r="W18" s="34"/>
      <c r="X18" s="33" t="s">
        <v>173</v>
      </c>
      <c r="Y18" s="33"/>
      <c r="AB18" s="33" t="s">
        <v>150</v>
      </c>
      <c r="AC18" s="33"/>
      <c r="AD18" s="34"/>
      <c r="AE18" s="34"/>
      <c r="AF18" s="33" t="s">
        <v>129</v>
      </c>
      <c r="AG18" s="33"/>
      <c r="AJ18" s="33" t="s">
        <v>106</v>
      </c>
      <c r="AK18" s="33"/>
      <c r="AL18" s="34"/>
      <c r="AM18" s="34"/>
      <c r="AN18" s="33" t="s">
        <v>85</v>
      </c>
      <c r="AO18" s="33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3" t="s">
        <v>239</v>
      </c>
      <c r="M19" s="33"/>
      <c r="N19" s="34"/>
      <c r="O19" s="34"/>
      <c r="P19" s="38"/>
      <c r="Q19" s="38"/>
      <c r="T19" s="33" t="s">
        <v>195</v>
      </c>
      <c r="U19" s="33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3" t="s">
        <v>107</v>
      </c>
      <c r="AK19" s="33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3" t="s">
        <v>108</v>
      </c>
      <c r="AK20" s="33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3" t="s">
        <v>130</v>
      </c>
      <c r="AG21" s="33"/>
      <c r="AJ21" s="33" t="s">
        <v>109</v>
      </c>
      <c r="AK21" s="33"/>
      <c r="AL21" s="34"/>
      <c r="AM21" s="34"/>
      <c r="AN21" s="33" t="s">
        <v>86</v>
      </c>
      <c r="AO21" s="33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3" t="s">
        <v>154</v>
      </c>
      <c r="AC22" s="33"/>
      <c r="AD22" s="34"/>
      <c r="AE22" s="34"/>
      <c r="AF22" s="33" t="s">
        <v>131</v>
      </c>
      <c r="AG22" s="33"/>
      <c r="AH22" s="19"/>
      <c r="AI22" s="19"/>
      <c r="AJ22" s="33" t="s">
        <v>110</v>
      </c>
      <c r="AK22" s="33"/>
      <c r="AL22" s="34"/>
      <c r="AM22" s="34"/>
      <c r="AN22" s="33" t="s">
        <v>87</v>
      </c>
      <c r="AO22" s="33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3" t="s">
        <v>155</v>
      </c>
      <c r="AC23" s="33"/>
      <c r="AD23" s="52"/>
      <c r="AE23" s="52"/>
      <c r="AF23" s="33" t="s">
        <v>132</v>
      </c>
      <c r="AG23" s="33"/>
      <c r="AH23" s="52"/>
      <c r="AI23" s="52"/>
      <c r="AJ23" s="31" t="s">
        <v>111</v>
      </c>
      <c r="AK23" s="31"/>
      <c r="AL23" s="52"/>
      <c r="AM23" s="52"/>
      <c r="AN23" s="33" t="s">
        <v>88</v>
      </c>
      <c r="AO23" s="33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3" t="s">
        <v>156</v>
      </c>
      <c r="AC24" s="33"/>
      <c r="AD24" s="52"/>
      <c r="AE24" s="52"/>
      <c r="AF24" s="33" t="s">
        <v>133</v>
      </c>
      <c r="AG24" s="33"/>
      <c r="AH24" s="52"/>
      <c r="AI24" s="52"/>
      <c r="AJ24" s="31" t="s">
        <v>112</v>
      </c>
      <c r="AK24" s="31"/>
      <c r="AL24" s="52"/>
      <c r="AM24" s="52"/>
      <c r="AN24" s="31" t="s">
        <v>89</v>
      </c>
      <c r="AO24" s="31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3" t="s">
        <v>157</v>
      </c>
      <c r="AC25" s="33"/>
      <c r="AD25" s="52"/>
      <c r="AE25" s="52"/>
      <c r="AF25" s="33" t="s">
        <v>134</v>
      </c>
      <c r="AG25" s="33"/>
      <c r="AH25" s="52"/>
      <c r="AI25" s="52"/>
      <c r="AJ25" s="31" t="s">
        <v>113</v>
      </c>
      <c r="AK25" s="31"/>
      <c r="AL25" s="52"/>
      <c r="AM25" s="52"/>
      <c r="AN25" s="31" t="s">
        <v>90</v>
      </c>
      <c r="AO25" s="31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"/>
      <c r="AC26" s="3"/>
      <c r="AD26" s="52"/>
      <c r="AE26" s="52"/>
      <c r="AF26" s="3"/>
      <c r="AG26" s="3"/>
      <c r="AH26" s="52"/>
      <c r="AI26" s="52"/>
      <c r="AJ26" s="3"/>
      <c r="AK26" s="3"/>
      <c r="AL26" s="52"/>
      <c r="AM26" s="52"/>
      <c r="AN26" s="3"/>
      <c r="AO26" s="3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1"/>
      <c r="AC27" s="1"/>
      <c r="AF27" s="1"/>
      <c r="AG27" s="1"/>
      <c r="AJ27" s="1"/>
      <c r="AK27" s="1"/>
      <c r="AN27" s="1"/>
      <c r="AO27" s="1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1"/>
      <c r="AC28" s="1"/>
      <c r="AF28" s="1"/>
      <c r="AG28" s="1"/>
      <c r="AJ28" s="1"/>
      <c r="AK28" s="1"/>
      <c r="AN28" s="1"/>
      <c r="AO28" s="1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1"/>
      <c r="AC29" s="1"/>
      <c r="AF29" s="1"/>
      <c r="AG29" s="1"/>
      <c r="AJ29" s="1"/>
      <c r="AK29" s="1"/>
      <c r="AN29" s="1"/>
      <c r="AO29" s="1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1"/>
      <c r="AC30" s="1"/>
      <c r="AF30" s="1"/>
      <c r="AG30" s="1"/>
      <c r="AJ30" s="1"/>
      <c r="AK30" s="1"/>
      <c r="AN30" s="1"/>
      <c r="AO30" s="1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4" customHeight="1" spans="2:43">
      <c r="B34" s="11" t="s">
        <v>396</v>
      </c>
      <c r="C34" s="12"/>
      <c r="D34" s="1"/>
      <c r="E34" s="1"/>
      <c r="F34" s="1"/>
      <c r="G34" s="1"/>
      <c r="H34" s="1"/>
      <c r="I34" s="11" t="s">
        <v>397</v>
      </c>
      <c r="J34" s="12"/>
      <c r="K34" s="11" t="s">
        <v>398</v>
      </c>
      <c r="L34" s="12"/>
      <c r="M34" s="1"/>
      <c r="N34" s="1"/>
      <c r="O34" s="1"/>
      <c r="P34" s="11" t="s">
        <v>399</v>
      </c>
      <c r="Q34" s="12"/>
      <c r="R34" s="11" t="s">
        <v>400</v>
      </c>
      <c r="S34" s="12"/>
      <c r="V34" s="1"/>
      <c r="W34" s="1"/>
      <c r="X34" s="1"/>
      <c r="Y34" s="11" t="s">
        <v>401</v>
      </c>
      <c r="Z34" s="12"/>
      <c r="AA34" s="11" t="s">
        <v>402</v>
      </c>
      <c r="AB34" s="12"/>
      <c r="AC34" s="1"/>
      <c r="AD34" s="1"/>
      <c r="AE34" s="1"/>
      <c r="AF34" s="1"/>
      <c r="AG34" s="11" t="s">
        <v>403</v>
      </c>
      <c r="AH34" s="12"/>
      <c r="AI34" s="11" t="s">
        <v>404</v>
      </c>
      <c r="AJ34" s="12"/>
      <c r="AM34" s="1"/>
      <c r="AN34" s="1"/>
      <c r="AO34" s="1"/>
      <c r="AP34" s="11" t="s">
        <v>405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406</v>
      </c>
      <c r="C37" s="40"/>
      <c r="D37" s="40"/>
      <c r="E37" s="40"/>
      <c r="F37" s="40"/>
      <c r="G37" s="41"/>
      <c r="H37" s="53">
        <f>getcolorcount($D$9:$AO$26,G37)</f>
        <v>308</v>
      </c>
    </row>
    <row r="38" spans="2:43">
      <c r="B38" s="40"/>
      <c r="C38" s="40"/>
      <c r="D38" s="40"/>
      <c r="E38" s="40"/>
      <c r="F38" s="40"/>
      <c r="G38" s="43"/>
      <c r="H38" s="53">
        <f>getcolorcount($D$9:$AO$26,G38)</f>
        <v>24</v>
      </c>
    </row>
    <row r="39" spans="2:43">
      <c r="B39" s="40"/>
      <c r="C39" s="40"/>
      <c r="D39" s="40"/>
      <c r="E39" s="40"/>
      <c r="F39" s="40"/>
      <c r="G39" s="44"/>
      <c r="H39" s="53">
        <f>getcolorcount($D$9:$AO$26,G39)</f>
        <v>308</v>
      </c>
    </row>
    <row r="40" spans="2:43">
      <c r="B40" s="40"/>
      <c r="C40" s="40"/>
      <c r="D40" s="40"/>
      <c r="E40" s="40"/>
      <c r="F40" s="40"/>
      <c r="G40" s="45"/>
      <c r="H40" s="53">
        <f>getcolorcount($D$9:$AO$26,G40)</f>
        <v>24</v>
      </c>
      <c r="I40" s="1"/>
      <c r="J40" s="2"/>
      <c r="K40" s="46"/>
    </row>
    <row r="41" spans="2:43">
      <c r="B41" s="47"/>
      <c r="C41" s="47"/>
      <c r="D41" s="47"/>
      <c r="E41" s="47"/>
      <c r="F41" s="47"/>
      <c r="G41" s="48"/>
      <c r="H41" s="1"/>
      <c r="I41" s="1"/>
      <c r="J41" s="35"/>
      <c r="K41" s="46"/>
    </row>
    <row r="42" spans="2:43">
      <c r="B42" s="49" t="s">
        <v>340</v>
      </c>
      <c r="C42" s="49"/>
      <c r="D42" s="49"/>
      <c r="E42" s="49"/>
      <c r="F42" s="51">
        <v>196</v>
      </c>
      <c r="G42" s="1"/>
      <c r="H42" s="1"/>
      <c r="I42" s="1"/>
    </row>
    <row r="43" spans="2:43">
      <c r="B43" s="49" t="s">
        <v>341</v>
      </c>
      <c r="C43" s="49"/>
      <c r="D43" s="49"/>
      <c r="E43" s="49"/>
      <c r="F43" s="51">
        <f>H40/2</f>
        <v>12</v>
      </c>
      <c r="G43" s="50"/>
      <c r="H43" s="1"/>
      <c r="I43" s="1"/>
    </row>
    <row r="44" spans="2:43">
      <c r="B44" s="49" t="s">
        <v>342</v>
      </c>
      <c r="C44" s="49"/>
      <c r="D44" s="49"/>
      <c r="E44" s="49"/>
      <c r="F44" s="51">
        <f>F42-F43</f>
        <v>184</v>
      </c>
      <c r="G44" s="44"/>
      <c r="H44" s="1"/>
      <c r="I44" s="1"/>
    </row>
  </sheetData>
  <mergeCells count="26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D28:E28"/>
    <mergeCell ref="H28:I28"/>
    <mergeCell ref="L28:M28"/>
    <mergeCell ref="P28:Q28"/>
    <mergeCell ref="T28:U28"/>
    <mergeCell ref="X28:Y28"/>
    <mergeCell ref="D29:E29"/>
    <mergeCell ref="H29:I29"/>
    <mergeCell ref="L29:M29"/>
    <mergeCell ref="P29:Q29"/>
    <mergeCell ref="T29:U29"/>
    <mergeCell ref="X29:Y29"/>
    <mergeCell ref="D30:E30"/>
    <mergeCell ref="H30:I30"/>
    <mergeCell ref="L30:M30"/>
    <mergeCell ref="P30:Q30"/>
    <mergeCell ref="T30:U30"/>
    <mergeCell ref="X30:Y30"/>
    <mergeCell ref="D31:E31"/>
    <mergeCell ref="H31:I31"/>
    <mergeCell ref="L31:M31"/>
    <mergeCell ref="P31:Q31"/>
    <mergeCell ref="T31:U31"/>
    <mergeCell ref="X31:Y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B1:AX44"/>
  <sheetViews>
    <sheetView showGridLines="0" zoomScale="55" zoomScaleNormal="55" topLeftCell="A3" workbookViewId="0">
      <selection activeCell="L9" sqref="L9:M9"/>
    </sheetView>
  </sheetViews>
  <sheetFormatPr defaultColWidth="9" defaultRowHeight="14"/>
  <cols>
    <col min="1" max="3" width="3.63636363636364" customWidth="1"/>
    <col min="4" max="5" width="5.45454545454545" customWidth="1"/>
    <col min="6" max="6" width="7.45454545454545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4.45454545454545" customWidth="1"/>
    <col min="21" max="21" width="5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0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X2" s="1"/>
    </row>
    <row r="3" ht="25" customHeight="1" spans="2:50">
      <c r="B3" s="11" t="s">
        <v>407</v>
      </c>
      <c r="C3" s="12"/>
      <c r="D3" s="1"/>
      <c r="E3" s="1"/>
      <c r="F3" s="1"/>
      <c r="G3" s="1"/>
      <c r="H3" s="1"/>
      <c r="I3" s="11" t="s">
        <v>408</v>
      </c>
      <c r="J3" s="12"/>
      <c r="K3" s="11" t="s">
        <v>409</v>
      </c>
      <c r="L3" s="12"/>
      <c r="M3" s="1"/>
      <c r="N3" s="1"/>
      <c r="O3" s="1"/>
      <c r="P3" s="11" t="s">
        <v>410</v>
      </c>
      <c r="Q3" s="12"/>
      <c r="R3" s="1"/>
      <c r="S3" s="1"/>
      <c r="T3" s="11" t="s">
        <v>411</v>
      </c>
      <c r="U3" s="12"/>
      <c r="V3" s="1"/>
      <c r="W3" s="1"/>
      <c r="X3" s="1"/>
      <c r="Y3" s="11" t="s">
        <v>412</v>
      </c>
      <c r="Z3" s="12"/>
      <c r="AA3" s="11" t="s">
        <v>413</v>
      </c>
      <c r="AB3" s="12"/>
      <c r="AC3" s="1"/>
      <c r="AD3" s="1"/>
      <c r="AE3" s="1"/>
      <c r="AF3" s="1"/>
      <c r="AG3" s="11" t="s">
        <v>414</v>
      </c>
      <c r="AH3" s="12"/>
      <c r="AI3" s="1"/>
      <c r="AJ3" s="1"/>
      <c r="AK3" s="11" t="s">
        <v>415</v>
      </c>
      <c r="AL3" s="12"/>
      <c r="AM3" s="1"/>
      <c r="AN3" s="1"/>
      <c r="AO3" s="1"/>
      <c r="AP3" s="11" t="s">
        <v>416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23"/>
      <c r="AX4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1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417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327</v>
      </c>
      <c r="E7" s="28"/>
      <c r="F7" s="27"/>
      <c r="G7" s="27"/>
      <c r="H7" s="28" t="s">
        <v>326</v>
      </c>
      <c r="I7" s="28"/>
      <c r="J7" s="27"/>
      <c r="K7" s="27"/>
      <c r="L7" s="28" t="s">
        <v>325</v>
      </c>
      <c r="M7" s="28"/>
      <c r="N7" s="27"/>
      <c r="O7" s="27"/>
      <c r="P7" s="28" t="s">
        <v>324</v>
      </c>
      <c r="Q7" s="28"/>
      <c r="R7" s="27"/>
      <c r="S7" s="27"/>
      <c r="T7" s="28" t="s">
        <v>323</v>
      </c>
      <c r="U7" s="28"/>
      <c r="V7" s="27"/>
      <c r="W7" s="27"/>
      <c r="X7" s="28" t="s">
        <v>322</v>
      </c>
      <c r="Y7" s="28"/>
      <c r="Z7" s="27"/>
      <c r="AA7" s="27"/>
      <c r="AB7" s="28" t="s">
        <v>321</v>
      </c>
      <c r="AC7" s="28"/>
      <c r="AD7" s="27"/>
      <c r="AE7" s="27"/>
      <c r="AF7" s="28" t="s">
        <v>320</v>
      </c>
      <c r="AG7" s="28"/>
      <c r="AH7" s="27"/>
      <c r="AI7" s="27"/>
      <c r="AJ7" s="28" t="s">
        <v>319</v>
      </c>
      <c r="AK7" s="28"/>
      <c r="AL7" s="27"/>
      <c r="AM7" s="27"/>
      <c r="AN7" s="28" t="s">
        <v>318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273</v>
      </c>
      <c r="E9" s="33"/>
      <c r="F9" s="34"/>
      <c r="G9" s="34"/>
      <c r="H9" s="33" t="s">
        <v>252</v>
      </c>
      <c r="I9" s="33"/>
      <c r="L9" s="31" t="s">
        <v>229</v>
      </c>
      <c r="M9" s="31"/>
      <c r="N9" s="34"/>
      <c r="O9" s="34"/>
      <c r="P9" s="33" t="s">
        <v>208</v>
      </c>
      <c r="Q9" s="33"/>
      <c r="T9" s="31" t="s">
        <v>185</v>
      </c>
      <c r="U9" s="31"/>
      <c r="V9" s="34"/>
      <c r="W9" s="34"/>
      <c r="X9" s="33" t="s">
        <v>164</v>
      </c>
      <c r="Y9" s="33"/>
      <c r="AB9" s="31" t="s">
        <v>141</v>
      </c>
      <c r="AC9" s="31"/>
      <c r="AD9" s="34"/>
      <c r="AE9" s="34"/>
      <c r="AF9" s="33" t="s">
        <v>120</v>
      </c>
      <c r="AG9" s="33"/>
      <c r="AJ9" s="31" t="s">
        <v>97</v>
      </c>
      <c r="AK9" s="31"/>
      <c r="AL9" s="34"/>
      <c r="AM9" s="34"/>
      <c r="AN9" s="33" t="s">
        <v>69</v>
      </c>
      <c r="AO9" s="33"/>
      <c r="AP9" s="1"/>
      <c r="AQ9" s="32"/>
      <c r="AU9" s="6"/>
    </row>
    <row r="10" spans="2:50">
      <c r="B10" s="24"/>
      <c r="D10" s="33" t="s">
        <v>274</v>
      </c>
      <c r="E10" s="33"/>
      <c r="F10" s="34"/>
      <c r="G10" s="34"/>
      <c r="H10" s="33" t="s">
        <v>253</v>
      </c>
      <c r="I10" s="33"/>
      <c r="L10" s="33" t="s">
        <v>230</v>
      </c>
      <c r="M10" s="33"/>
      <c r="N10" s="34"/>
      <c r="O10" s="34"/>
      <c r="P10" s="33" t="s">
        <v>209</v>
      </c>
      <c r="Q10" s="33"/>
      <c r="T10" s="33" t="s">
        <v>186</v>
      </c>
      <c r="U10" s="33"/>
      <c r="V10" s="34"/>
      <c r="W10" s="34"/>
      <c r="X10" s="33" t="s">
        <v>165</v>
      </c>
      <c r="Y10" s="33"/>
      <c r="AB10" s="33" t="s">
        <v>142</v>
      </c>
      <c r="AC10" s="33"/>
      <c r="AD10" s="34"/>
      <c r="AE10" s="34"/>
      <c r="AF10" s="33" t="s">
        <v>121</v>
      </c>
      <c r="AG10" s="33"/>
      <c r="AJ10" s="33" t="s">
        <v>98</v>
      </c>
      <c r="AK10" s="33"/>
      <c r="AL10" s="34"/>
      <c r="AM10" s="34"/>
      <c r="AN10" s="33" t="s">
        <v>75</v>
      </c>
      <c r="AO10" s="33"/>
      <c r="AP10" s="1"/>
      <c r="AQ10" s="32"/>
      <c r="AR10" s="35"/>
      <c r="AU10" s="6"/>
    </row>
    <row r="11" spans="2:50">
      <c r="B11" s="24"/>
      <c r="D11" s="33" t="s">
        <v>275</v>
      </c>
      <c r="E11" s="33"/>
      <c r="F11" s="34"/>
      <c r="G11" s="34"/>
      <c r="H11" s="33" t="s">
        <v>254</v>
      </c>
      <c r="I11" s="33"/>
      <c r="L11" s="33" t="s">
        <v>231</v>
      </c>
      <c r="M11" s="33"/>
      <c r="N11" s="34"/>
      <c r="O11" s="34"/>
      <c r="P11" s="33" t="s">
        <v>210</v>
      </c>
      <c r="Q11" s="33"/>
      <c r="T11" s="33" t="s">
        <v>187</v>
      </c>
      <c r="U11" s="33"/>
      <c r="V11" s="34"/>
      <c r="W11" s="34"/>
      <c r="X11" s="33" t="s">
        <v>166</v>
      </c>
      <c r="Y11" s="33"/>
      <c r="AB11" s="33" t="s">
        <v>143</v>
      </c>
      <c r="AC11" s="33"/>
      <c r="AD11" s="34"/>
      <c r="AE11" s="34"/>
      <c r="AF11" s="33" t="s">
        <v>122</v>
      </c>
      <c r="AG11" s="33"/>
      <c r="AJ11" s="33" t="s">
        <v>99</v>
      </c>
      <c r="AK11" s="33"/>
      <c r="AL11" s="34"/>
      <c r="AM11" s="34"/>
      <c r="AN11" s="33" t="s">
        <v>77</v>
      </c>
      <c r="AO11" s="33"/>
      <c r="AP11" s="1"/>
      <c r="AQ11" s="32"/>
      <c r="AU11" s="6"/>
    </row>
    <row r="12" spans="2:50">
      <c r="B12" s="24"/>
      <c r="D12" s="33" t="s">
        <v>276</v>
      </c>
      <c r="E12" s="33"/>
      <c r="F12" s="34"/>
      <c r="G12" s="34"/>
      <c r="H12" s="33" t="s">
        <v>255</v>
      </c>
      <c r="I12" s="33"/>
      <c r="L12" s="33" t="s">
        <v>232</v>
      </c>
      <c r="M12" s="33"/>
      <c r="N12" s="34"/>
      <c r="O12" s="34"/>
      <c r="P12" s="33" t="s">
        <v>211</v>
      </c>
      <c r="Q12" s="33"/>
      <c r="T12" s="33" t="s">
        <v>188</v>
      </c>
      <c r="U12" s="33"/>
      <c r="V12" s="34"/>
      <c r="W12" s="34"/>
      <c r="X12" s="33" t="s">
        <v>167</v>
      </c>
      <c r="Y12" s="33"/>
      <c r="AB12" s="33" t="s">
        <v>144</v>
      </c>
      <c r="AC12" s="33"/>
      <c r="AD12" s="34"/>
      <c r="AE12" s="34"/>
      <c r="AF12" s="33" t="s">
        <v>123</v>
      </c>
      <c r="AG12" s="33"/>
      <c r="AJ12" s="33" t="s">
        <v>100</v>
      </c>
      <c r="AK12" s="33"/>
      <c r="AL12" s="34"/>
      <c r="AM12" s="34"/>
      <c r="AN12" s="33" t="s">
        <v>79</v>
      </c>
      <c r="AO12" s="33"/>
      <c r="AP12" s="1"/>
      <c r="AQ12" s="32"/>
      <c r="AU12" s="6"/>
    </row>
    <row r="13" spans="2:50">
      <c r="B13" s="24"/>
      <c r="D13" s="33" t="s">
        <v>277</v>
      </c>
      <c r="E13" s="33"/>
      <c r="F13" s="34"/>
      <c r="G13" s="34"/>
      <c r="H13" s="33" t="s">
        <v>256</v>
      </c>
      <c r="I13" s="33"/>
      <c r="L13" s="33" t="s">
        <v>233</v>
      </c>
      <c r="M13" s="33"/>
      <c r="N13" s="34"/>
      <c r="O13" s="34"/>
      <c r="P13" s="33" t="s">
        <v>212</v>
      </c>
      <c r="Q13" s="33"/>
      <c r="T13" s="33" t="s">
        <v>189</v>
      </c>
      <c r="U13" s="33"/>
      <c r="V13" s="34"/>
      <c r="W13" s="34"/>
      <c r="X13" s="33" t="s">
        <v>168</v>
      </c>
      <c r="Y13" s="33"/>
      <c r="AB13" s="33" t="s">
        <v>145</v>
      </c>
      <c r="AC13" s="33"/>
      <c r="AD13" s="34"/>
      <c r="AE13" s="34"/>
      <c r="AF13" s="33" t="s">
        <v>124</v>
      </c>
      <c r="AG13" s="33"/>
      <c r="AJ13" s="33" t="s">
        <v>101</v>
      </c>
      <c r="AK13" s="33"/>
      <c r="AL13" s="34"/>
      <c r="AM13" s="34"/>
      <c r="AN13" s="33" t="s">
        <v>80</v>
      </c>
      <c r="AO13" s="33"/>
      <c r="AP13" s="1"/>
      <c r="AQ13" s="32"/>
    </row>
    <row r="14" spans="2:50">
      <c r="B14" s="24"/>
      <c r="D14" s="33" t="s">
        <v>278</v>
      </c>
      <c r="E14" s="33"/>
      <c r="F14" s="34"/>
      <c r="G14" s="34"/>
      <c r="H14" s="33" t="s">
        <v>257</v>
      </c>
      <c r="I14" s="33"/>
      <c r="L14" s="33" t="s">
        <v>234</v>
      </c>
      <c r="M14" s="33"/>
      <c r="N14" s="34"/>
      <c r="O14" s="34"/>
      <c r="P14" s="33" t="s">
        <v>213</v>
      </c>
      <c r="Q14" s="33"/>
      <c r="T14" s="33" t="s">
        <v>190</v>
      </c>
      <c r="U14" s="33"/>
      <c r="V14" s="34"/>
      <c r="W14" s="34"/>
      <c r="X14" s="33" t="s">
        <v>169</v>
      </c>
      <c r="Y14" s="33"/>
      <c r="AB14" s="33" t="s">
        <v>146</v>
      </c>
      <c r="AC14" s="33"/>
      <c r="AD14" s="34"/>
      <c r="AE14" s="34"/>
      <c r="AF14" s="33" t="s">
        <v>125</v>
      </c>
      <c r="AG14" s="33"/>
      <c r="AJ14" s="33" t="s">
        <v>102</v>
      </c>
      <c r="AK14" s="33"/>
      <c r="AL14" s="34"/>
      <c r="AM14" s="34"/>
      <c r="AN14" s="33" t="s">
        <v>81</v>
      </c>
      <c r="AO14" s="33"/>
      <c r="AP14" s="1"/>
      <c r="AQ14" s="32"/>
    </row>
    <row r="15" spans="2:50">
      <c r="B15" s="24"/>
      <c r="D15" s="33" t="s">
        <v>279</v>
      </c>
      <c r="E15" s="33"/>
      <c r="F15" s="34"/>
      <c r="G15" s="34"/>
      <c r="H15" s="33" t="s">
        <v>258</v>
      </c>
      <c r="I15" s="33"/>
      <c r="L15" s="33" t="s">
        <v>235</v>
      </c>
      <c r="M15" s="33"/>
      <c r="N15" s="34"/>
      <c r="O15" s="34"/>
      <c r="P15" s="33" t="s">
        <v>214</v>
      </c>
      <c r="Q15" s="33"/>
      <c r="T15" s="33" t="s">
        <v>191</v>
      </c>
      <c r="U15" s="33"/>
      <c r="V15" s="34"/>
      <c r="W15" s="34"/>
      <c r="X15" s="33" t="s">
        <v>170</v>
      </c>
      <c r="Y15" s="33"/>
      <c r="AB15" s="33" t="s">
        <v>147</v>
      </c>
      <c r="AC15" s="33"/>
      <c r="AD15" s="34"/>
      <c r="AE15" s="34"/>
      <c r="AF15" s="33" t="s">
        <v>126</v>
      </c>
      <c r="AG15" s="33"/>
      <c r="AJ15" s="33" t="s">
        <v>103</v>
      </c>
      <c r="AK15" s="33"/>
      <c r="AL15" s="34"/>
      <c r="AM15" s="34"/>
      <c r="AN15" s="33" t="s">
        <v>82</v>
      </c>
      <c r="AO15" s="33"/>
      <c r="AP15" s="1"/>
      <c r="AQ15" s="32"/>
    </row>
    <row r="16" spans="2:50">
      <c r="B16" s="24"/>
      <c r="D16" s="33" t="s">
        <v>280</v>
      </c>
      <c r="E16" s="33"/>
      <c r="F16" s="34"/>
      <c r="G16" s="34"/>
      <c r="H16" s="33" t="s">
        <v>259</v>
      </c>
      <c r="I16" s="33"/>
      <c r="L16" s="33" t="s">
        <v>236</v>
      </c>
      <c r="M16" s="33"/>
      <c r="N16" s="34"/>
      <c r="O16" s="34"/>
      <c r="P16" s="33" t="s">
        <v>215</v>
      </c>
      <c r="Q16" s="33"/>
      <c r="T16" s="33" t="s">
        <v>192</v>
      </c>
      <c r="U16" s="33"/>
      <c r="V16" s="34"/>
      <c r="W16" s="34"/>
      <c r="X16" s="33" t="s">
        <v>171</v>
      </c>
      <c r="Y16" s="33"/>
      <c r="AB16" s="33" t="s">
        <v>148</v>
      </c>
      <c r="AC16" s="33"/>
      <c r="AD16" s="34"/>
      <c r="AE16" s="34"/>
      <c r="AF16" s="33" t="s">
        <v>127</v>
      </c>
      <c r="AG16" s="33"/>
      <c r="AJ16" s="33" t="s">
        <v>104</v>
      </c>
      <c r="AK16" s="33"/>
      <c r="AL16" s="34"/>
      <c r="AM16" s="34"/>
      <c r="AN16" s="33" t="s">
        <v>83</v>
      </c>
      <c r="AO16" s="33"/>
      <c r="AP16" s="1"/>
      <c r="AQ16" s="32"/>
    </row>
    <row r="17" spans="2:43">
      <c r="B17" s="24"/>
      <c r="D17" s="33" t="s">
        <v>281</v>
      </c>
      <c r="E17" s="33"/>
      <c r="F17" s="34"/>
      <c r="G17" s="34"/>
      <c r="H17" s="33" t="s">
        <v>260</v>
      </c>
      <c r="I17" s="33"/>
      <c r="L17" s="33" t="s">
        <v>237</v>
      </c>
      <c r="M17" s="33"/>
      <c r="N17" s="34"/>
      <c r="O17" s="34"/>
      <c r="P17" s="33" t="s">
        <v>216</v>
      </c>
      <c r="Q17" s="33"/>
      <c r="T17" s="33" t="s">
        <v>193</v>
      </c>
      <c r="U17" s="33"/>
      <c r="V17" s="34"/>
      <c r="W17" s="34"/>
      <c r="X17" s="33" t="s">
        <v>172</v>
      </c>
      <c r="Y17" s="33"/>
      <c r="AB17" s="33" t="s">
        <v>149</v>
      </c>
      <c r="AC17" s="33"/>
      <c r="AD17" s="34"/>
      <c r="AE17" s="34"/>
      <c r="AF17" s="33" t="s">
        <v>128</v>
      </c>
      <c r="AG17" s="33"/>
      <c r="AJ17" s="33" t="s">
        <v>105</v>
      </c>
      <c r="AK17" s="33"/>
      <c r="AL17" s="34"/>
      <c r="AM17" s="34"/>
      <c r="AN17" s="33" t="s">
        <v>84</v>
      </c>
      <c r="AO17" s="33"/>
      <c r="AP17" s="1"/>
      <c r="AQ17" s="32"/>
    </row>
    <row r="18" spans="2:43">
      <c r="B18" s="24"/>
      <c r="D18" s="33" t="s">
        <v>282</v>
      </c>
      <c r="E18" s="33"/>
      <c r="F18" s="34"/>
      <c r="G18" s="34"/>
      <c r="H18" s="33" t="s">
        <v>261</v>
      </c>
      <c r="I18" s="33"/>
      <c r="L18" s="33" t="s">
        <v>238</v>
      </c>
      <c r="M18" s="33"/>
      <c r="N18" s="34"/>
      <c r="O18" s="34"/>
      <c r="P18" s="33" t="s">
        <v>217</v>
      </c>
      <c r="Q18" s="33"/>
      <c r="T18" s="33" t="s">
        <v>194</v>
      </c>
      <c r="U18" s="33"/>
      <c r="V18" s="34"/>
      <c r="W18" s="34"/>
      <c r="X18" s="33" t="s">
        <v>173</v>
      </c>
      <c r="Y18" s="33"/>
      <c r="AB18" s="33" t="s">
        <v>150</v>
      </c>
      <c r="AC18" s="33"/>
      <c r="AD18" s="34"/>
      <c r="AE18" s="34"/>
      <c r="AF18" s="33" t="s">
        <v>129</v>
      </c>
      <c r="AG18" s="33"/>
      <c r="AJ18" s="33" t="s">
        <v>106</v>
      </c>
      <c r="AK18" s="33"/>
      <c r="AL18" s="34"/>
      <c r="AM18" s="34"/>
      <c r="AN18" s="33" t="s">
        <v>85</v>
      </c>
      <c r="AO18" s="33"/>
      <c r="AP18" s="1"/>
      <c r="AQ18" s="32"/>
    </row>
    <row r="19" spans="2:43">
      <c r="B19" s="24"/>
      <c r="D19" s="33" t="s">
        <v>283</v>
      </c>
      <c r="E19" s="33"/>
      <c r="F19" s="34"/>
      <c r="G19" s="34"/>
      <c r="H19" s="38"/>
      <c r="I19" s="38"/>
      <c r="L19" s="33" t="s">
        <v>239</v>
      </c>
      <c r="M19" s="33"/>
      <c r="N19" s="34"/>
      <c r="O19" s="34"/>
      <c r="P19" s="38"/>
      <c r="Q19" s="38"/>
      <c r="T19" s="33" t="s">
        <v>195</v>
      </c>
      <c r="U19" s="33"/>
      <c r="V19" s="34"/>
      <c r="W19" s="34"/>
      <c r="X19" s="38"/>
      <c r="Y19" s="38"/>
      <c r="AB19" s="33" t="s">
        <v>151</v>
      </c>
      <c r="AC19" s="33"/>
      <c r="AD19" s="34"/>
      <c r="AE19" s="34"/>
      <c r="AF19" s="38"/>
      <c r="AG19" s="38"/>
      <c r="AJ19" s="33" t="s">
        <v>107</v>
      </c>
      <c r="AK19" s="33"/>
      <c r="AL19" s="34"/>
      <c r="AM19" s="34"/>
      <c r="AN19" s="38"/>
      <c r="AO19" s="38"/>
      <c r="AP19" s="1"/>
      <c r="AQ19" s="32"/>
    </row>
    <row r="20" spans="2:43">
      <c r="B20" s="24"/>
      <c r="D20" s="33" t="s">
        <v>284</v>
      </c>
      <c r="E20" s="33"/>
      <c r="F20" s="34"/>
      <c r="G20" s="34"/>
      <c r="H20" s="38"/>
      <c r="I20" s="38"/>
      <c r="L20" s="33" t="s">
        <v>240</v>
      </c>
      <c r="M20" s="33"/>
      <c r="N20" s="34"/>
      <c r="O20" s="34"/>
      <c r="P20" s="38"/>
      <c r="Q20" s="38"/>
      <c r="T20" s="33" t="s">
        <v>196</v>
      </c>
      <c r="U20" s="33"/>
      <c r="V20" s="34"/>
      <c r="W20" s="34"/>
      <c r="X20" s="38"/>
      <c r="Y20" s="38"/>
      <c r="AB20" s="33" t="s">
        <v>152</v>
      </c>
      <c r="AC20" s="33"/>
      <c r="AD20" s="34"/>
      <c r="AE20" s="34"/>
      <c r="AF20" s="38"/>
      <c r="AG20" s="38"/>
      <c r="AJ20" s="33" t="s">
        <v>108</v>
      </c>
      <c r="AK20" s="33"/>
      <c r="AL20" s="34"/>
      <c r="AM20" s="34"/>
      <c r="AN20" s="38"/>
      <c r="AO20" s="38"/>
      <c r="AP20" s="39"/>
      <c r="AQ20" s="32"/>
    </row>
    <row r="21" spans="2:43">
      <c r="B21" s="24"/>
      <c r="D21" s="33" t="s">
        <v>285</v>
      </c>
      <c r="E21" s="33"/>
      <c r="F21" s="34"/>
      <c r="G21" s="34"/>
      <c r="H21" s="33" t="s">
        <v>262</v>
      </c>
      <c r="I21" s="33"/>
      <c r="L21" s="33" t="s">
        <v>241</v>
      </c>
      <c r="M21" s="33"/>
      <c r="N21" s="34"/>
      <c r="O21" s="34"/>
      <c r="P21" s="33" t="s">
        <v>218</v>
      </c>
      <c r="Q21" s="33"/>
      <c r="T21" s="33" t="s">
        <v>197</v>
      </c>
      <c r="U21" s="33"/>
      <c r="V21" s="34"/>
      <c r="W21" s="34"/>
      <c r="X21" s="33" t="s">
        <v>174</v>
      </c>
      <c r="Y21" s="33"/>
      <c r="AB21" s="33" t="s">
        <v>153</v>
      </c>
      <c r="AC21" s="33"/>
      <c r="AD21" s="34"/>
      <c r="AE21" s="34"/>
      <c r="AF21" s="33" t="s">
        <v>130</v>
      </c>
      <c r="AG21" s="33"/>
      <c r="AJ21" s="33" t="s">
        <v>109</v>
      </c>
      <c r="AK21" s="33"/>
      <c r="AL21" s="34"/>
      <c r="AM21" s="34"/>
      <c r="AN21" s="33" t="s">
        <v>86</v>
      </c>
      <c r="AO21" s="33"/>
      <c r="AP21" s="1"/>
      <c r="AQ21" s="32"/>
    </row>
    <row r="22" spans="2:43">
      <c r="B22" s="24"/>
      <c r="D22" s="33" t="s">
        <v>286</v>
      </c>
      <c r="E22" s="33"/>
      <c r="F22" s="34"/>
      <c r="G22" s="34"/>
      <c r="H22" s="33" t="s">
        <v>263</v>
      </c>
      <c r="I22" s="33"/>
      <c r="L22" s="33" t="s">
        <v>242</v>
      </c>
      <c r="M22" s="33"/>
      <c r="N22" s="34"/>
      <c r="O22" s="34"/>
      <c r="P22" s="33" t="s">
        <v>219</v>
      </c>
      <c r="Q22" s="33"/>
      <c r="T22" s="33" t="s">
        <v>198</v>
      </c>
      <c r="U22" s="33"/>
      <c r="V22" s="34"/>
      <c r="W22" s="34"/>
      <c r="X22" s="33" t="s">
        <v>175</v>
      </c>
      <c r="Y22" s="33"/>
      <c r="AB22" s="33" t="s">
        <v>154</v>
      </c>
      <c r="AC22" s="33"/>
      <c r="AD22" s="34"/>
      <c r="AE22" s="34"/>
      <c r="AF22" s="33" t="s">
        <v>131</v>
      </c>
      <c r="AG22" s="33"/>
      <c r="AJ22" s="33" t="s">
        <v>110</v>
      </c>
      <c r="AK22" s="33"/>
      <c r="AL22" s="34"/>
      <c r="AM22" s="34"/>
      <c r="AN22" s="33" t="s">
        <v>87</v>
      </c>
      <c r="AO22" s="33"/>
      <c r="AP22" s="1"/>
      <c r="AQ22" s="32"/>
    </row>
    <row r="23" spans="2:43">
      <c r="B23" s="24"/>
      <c r="D23" s="33" t="s">
        <v>287</v>
      </c>
      <c r="E23" s="33"/>
      <c r="F23" s="34"/>
      <c r="G23" s="34"/>
      <c r="H23" s="33" t="s">
        <v>264</v>
      </c>
      <c r="I23" s="33"/>
      <c r="L23" s="33" t="s">
        <v>243</v>
      </c>
      <c r="M23" s="33"/>
      <c r="N23" s="34"/>
      <c r="O23" s="34"/>
      <c r="P23" s="33" t="s">
        <v>220</v>
      </c>
      <c r="Q23" s="33"/>
      <c r="T23" s="33" t="s">
        <v>199</v>
      </c>
      <c r="U23" s="33"/>
      <c r="V23" s="34"/>
      <c r="W23" s="34"/>
      <c r="X23" s="33" t="s">
        <v>176</v>
      </c>
      <c r="Y23" s="33"/>
      <c r="AB23" s="33" t="s">
        <v>155</v>
      </c>
      <c r="AC23" s="33"/>
      <c r="AD23" s="34"/>
      <c r="AE23" s="34"/>
      <c r="AF23" s="33" t="s">
        <v>132</v>
      </c>
      <c r="AG23" s="33"/>
      <c r="AJ23" s="33" t="s">
        <v>111</v>
      </c>
      <c r="AK23" s="33"/>
      <c r="AL23" s="34"/>
      <c r="AM23" s="34"/>
      <c r="AN23" s="33" t="s">
        <v>88</v>
      </c>
      <c r="AO23" s="33"/>
      <c r="AP23" s="1"/>
      <c r="AQ23" s="32"/>
    </row>
    <row r="24" spans="2:43">
      <c r="B24" s="24"/>
      <c r="D24" s="33" t="s">
        <v>288</v>
      </c>
      <c r="E24" s="33"/>
      <c r="F24" s="34"/>
      <c r="G24" s="34"/>
      <c r="H24" s="33" t="s">
        <v>265</v>
      </c>
      <c r="I24" s="33"/>
      <c r="L24" s="33" t="s">
        <v>244</v>
      </c>
      <c r="M24" s="33"/>
      <c r="N24" s="34"/>
      <c r="O24" s="34"/>
      <c r="P24" s="33" t="s">
        <v>221</v>
      </c>
      <c r="Q24" s="33"/>
      <c r="T24" s="33" t="s">
        <v>200</v>
      </c>
      <c r="U24" s="33"/>
      <c r="V24" s="34"/>
      <c r="W24" s="34"/>
      <c r="X24" s="33" t="s">
        <v>177</v>
      </c>
      <c r="Y24" s="33"/>
      <c r="AB24" s="33" t="s">
        <v>156</v>
      </c>
      <c r="AC24" s="33"/>
      <c r="AD24" s="34"/>
      <c r="AE24" s="34"/>
      <c r="AF24" s="33" t="s">
        <v>133</v>
      </c>
      <c r="AG24" s="33"/>
      <c r="AJ24" s="33" t="s">
        <v>112</v>
      </c>
      <c r="AK24" s="33"/>
      <c r="AL24" s="34"/>
      <c r="AM24" s="34"/>
      <c r="AN24" s="33" t="s">
        <v>89</v>
      </c>
      <c r="AO24" s="33"/>
      <c r="AP24" s="1"/>
      <c r="AQ24" s="32"/>
    </row>
    <row r="25" spans="2:43">
      <c r="B25" s="24"/>
      <c r="D25" s="33" t="s">
        <v>289</v>
      </c>
      <c r="E25" s="33"/>
      <c r="F25" s="34"/>
      <c r="G25" s="34"/>
      <c r="H25" s="33" t="s">
        <v>266</v>
      </c>
      <c r="I25" s="33"/>
      <c r="L25" s="33" t="s">
        <v>245</v>
      </c>
      <c r="M25" s="33"/>
      <c r="N25" s="34"/>
      <c r="O25" s="34"/>
      <c r="P25" s="33" t="s">
        <v>222</v>
      </c>
      <c r="Q25" s="33"/>
      <c r="T25" s="33" t="s">
        <v>201</v>
      </c>
      <c r="U25" s="33"/>
      <c r="V25" s="34"/>
      <c r="W25" s="34"/>
      <c r="X25" s="33" t="s">
        <v>178</v>
      </c>
      <c r="Y25" s="33"/>
      <c r="AB25" s="33" t="s">
        <v>157</v>
      </c>
      <c r="AC25" s="33"/>
      <c r="AD25" s="34"/>
      <c r="AE25" s="34"/>
      <c r="AF25" s="33" t="s">
        <v>134</v>
      </c>
      <c r="AG25" s="33"/>
      <c r="AJ25" s="33" t="s">
        <v>113</v>
      </c>
      <c r="AK25" s="33"/>
      <c r="AL25" s="34"/>
      <c r="AM25" s="34"/>
      <c r="AN25" s="33" t="s">
        <v>90</v>
      </c>
      <c r="AO25" s="33"/>
      <c r="AP25" s="1"/>
      <c r="AQ25" s="32"/>
    </row>
    <row r="26" spans="2:43">
      <c r="B26" s="24"/>
      <c r="D26" s="33" t="s">
        <v>290</v>
      </c>
      <c r="E26" s="33"/>
      <c r="F26" s="34"/>
      <c r="G26" s="34"/>
      <c r="H26" s="33" t="s">
        <v>267</v>
      </c>
      <c r="I26" s="33"/>
      <c r="L26" s="33" t="s">
        <v>246</v>
      </c>
      <c r="M26" s="33"/>
      <c r="N26" s="34"/>
      <c r="O26" s="34"/>
      <c r="P26" s="33" t="s">
        <v>223</v>
      </c>
      <c r="Q26" s="33"/>
      <c r="T26" s="33" t="s">
        <v>202</v>
      </c>
      <c r="U26" s="33"/>
      <c r="V26" s="34"/>
      <c r="W26" s="34"/>
      <c r="X26" s="33" t="s">
        <v>179</v>
      </c>
      <c r="Y26" s="33"/>
      <c r="AB26" s="33" t="s">
        <v>158</v>
      </c>
      <c r="AC26" s="33"/>
      <c r="AD26" s="34"/>
      <c r="AE26" s="34"/>
      <c r="AF26" s="33" t="s">
        <v>135</v>
      </c>
      <c r="AG26" s="33"/>
      <c r="AJ26" s="33" t="s">
        <v>114</v>
      </c>
      <c r="AK26" s="33"/>
      <c r="AL26" s="34"/>
      <c r="AM26" s="34"/>
      <c r="AN26" s="33" t="s">
        <v>91</v>
      </c>
      <c r="AO26" s="33"/>
      <c r="AP26" s="1"/>
      <c r="AQ26" s="32"/>
    </row>
    <row r="27" spans="2:43">
      <c r="B27" s="24"/>
      <c r="D27" s="33" t="s">
        <v>291</v>
      </c>
      <c r="E27" s="33"/>
      <c r="H27" s="33" t="s">
        <v>268</v>
      </c>
      <c r="I27" s="33"/>
      <c r="L27" s="33" t="s">
        <v>247</v>
      </c>
      <c r="M27" s="33"/>
      <c r="P27" s="33" t="s">
        <v>224</v>
      </c>
      <c r="Q27" s="33"/>
      <c r="T27" s="33" t="s">
        <v>203</v>
      </c>
      <c r="U27" s="33"/>
      <c r="X27" s="33" t="s">
        <v>180</v>
      </c>
      <c r="Y27" s="33"/>
      <c r="AB27" s="33" t="s">
        <v>159</v>
      </c>
      <c r="AC27" s="33"/>
      <c r="AF27" s="33" t="s">
        <v>136</v>
      </c>
      <c r="AG27" s="33"/>
      <c r="AJ27" s="33" t="s">
        <v>115</v>
      </c>
      <c r="AK27" s="33"/>
      <c r="AN27" s="33" t="s">
        <v>92</v>
      </c>
      <c r="AO27" s="33"/>
      <c r="AP27" s="1"/>
      <c r="AQ27" s="32"/>
    </row>
    <row r="28" spans="2:43">
      <c r="B28" s="24"/>
      <c r="D28" s="33" t="s">
        <v>292</v>
      </c>
      <c r="E28" s="33"/>
      <c r="H28" s="33" t="s">
        <v>269</v>
      </c>
      <c r="I28" s="33"/>
      <c r="L28" s="33" t="s">
        <v>248</v>
      </c>
      <c r="M28" s="33"/>
      <c r="P28" s="33" t="s">
        <v>225</v>
      </c>
      <c r="Q28" s="33"/>
      <c r="T28" s="33" t="s">
        <v>204</v>
      </c>
      <c r="U28" s="33"/>
      <c r="X28" s="33" t="s">
        <v>181</v>
      </c>
      <c r="Y28" s="33"/>
      <c r="AB28" s="33" t="s">
        <v>160</v>
      </c>
      <c r="AC28" s="33"/>
      <c r="AF28" s="33" t="s">
        <v>137</v>
      </c>
      <c r="AG28" s="33"/>
      <c r="AJ28" s="33" t="s">
        <v>116</v>
      </c>
      <c r="AK28" s="33"/>
      <c r="AN28" s="33" t="s">
        <v>93</v>
      </c>
      <c r="AO28" s="33"/>
      <c r="AP28" s="1"/>
      <c r="AQ28" s="32"/>
    </row>
    <row r="29" spans="2:43">
      <c r="B29" s="24"/>
      <c r="D29" s="33" t="s">
        <v>293</v>
      </c>
      <c r="E29" s="33"/>
      <c r="H29" s="33" t="s">
        <v>270</v>
      </c>
      <c r="I29" s="33"/>
      <c r="L29" s="33" t="s">
        <v>249</v>
      </c>
      <c r="M29" s="33"/>
      <c r="P29" s="33" t="s">
        <v>226</v>
      </c>
      <c r="Q29" s="33"/>
      <c r="T29" s="33" t="s">
        <v>205</v>
      </c>
      <c r="U29" s="33"/>
      <c r="X29" s="33" t="s">
        <v>182</v>
      </c>
      <c r="Y29" s="33"/>
      <c r="AB29" s="33" t="s">
        <v>161</v>
      </c>
      <c r="AC29" s="33"/>
      <c r="AF29" s="33" t="s">
        <v>138</v>
      </c>
      <c r="AG29" s="33"/>
      <c r="AJ29" s="33" t="s">
        <v>117</v>
      </c>
      <c r="AK29" s="33"/>
      <c r="AN29" s="33" t="s">
        <v>94</v>
      </c>
      <c r="AO29" s="33"/>
      <c r="AP29" s="1"/>
      <c r="AQ29" s="32"/>
    </row>
    <row r="30" spans="2:43">
      <c r="B30" s="24"/>
      <c r="D30" s="33" t="s">
        <v>294</v>
      </c>
      <c r="E30" s="33"/>
      <c r="H30" s="33" t="s">
        <v>271</v>
      </c>
      <c r="I30" s="33"/>
      <c r="L30" s="33" t="s">
        <v>250</v>
      </c>
      <c r="M30" s="33"/>
      <c r="P30" s="33" t="s">
        <v>227</v>
      </c>
      <c r="Q30" s="33"/>
      <c r="T30" s="33" t="s">
        <v>206</v>
      </c>
      <c r="U30" s="33"/>
      <c r="X30" s="33" t="s">
        <v>183</v>
      </c>
      <c r="Y30" s="33"/>
      <c r="AB30" s="33" t="s">
        <v>162</v>
      </c>
      <c r="AC30" s="33"/>
      <c r="AF30" s="33" t="s">
        <v>139</v>
      </c>
      <c r="AG30" s="33"/>
      <c r="AJ30" s="33" t="s">
        <v>118</v>
      </c>
      <c r="AK30" s="33"/>
      <c r="AN30" s="33" t="s">
        <v>95</v>
      </c>
      <c r="AO30" s="33"/>
      <c r="AP30" s="1"/>
      <c r="AQ30" s="32"/>
    </row>
    <row r="31" spans="2:43">
      <c r="B31" s="18"/>
      <c r="C31" s="19"/>
      <c r="D31" s="33" t="s">
        <v>295</v>
      </c>
      <c r="E31" s="33"/>
      <c r="F31" s="19"/>
      <c r="G31" s="19"/>
      <c r="H31" s="33" t="s">
        <v>272</v>
      </c>
      <c r="I31" s="33"/>
      <c r="J31" s="19"/>
      <c r="K31" s="19"/>
      <c r="L31" s="33" t="s">
        <v>251</v>
      </c>
      <c r="M31" s="33"/>
      <c r="N31" s="19"/>
      <c r="O31" s="19"/>
      <c r="P31" s="33" t="s">
        <v>228</v>
      </c>
      <c r="Q31" s="33"/>
      <c r="R31" s="19"/>
      <c r="S31" s="19"/>
      <c r="T31" s="33" t="s">
        <v>207</v>
      </c>
      <c r="U31" s="33"/>
      <c r="V31" s="19"/>
      <c r="W31" s="19"/>
      <c r="X31" s="33" t="s">
        <v>184</v>
      </c>
      <c r="Y31" s="33"/>
      <c r="Z31" s="19"/>
      <c r="AA31" s="19"/>
      <c r="AB31" s="33" t="s">
        <v>163</v>
      </c>
      <c r="AC31" s="33"/>
      <c r="AD31" s="19"/>
      <c r="AE31" s="19"/>
      <c r="AF31" s="33" t="s">
        <v>140</v>
      </c>
      <c r="AG31" s="33"/>
      <c r="AH31" s="19"/>
      <c r="AI31" s="19"/>
      <c r="AJ31" s="33" t="s">
        <v>119</v>
      </c>
      <c r="AK31" s="33"/>
      <c r="AL31" s="19"/>
      <c r="AM31" s="19"/>
      <c r="AN31" s="33" t="s">
        <v>96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8.75" customHeight="1" spans="2:43">
      <c r="B34" s="11" t="s">
        <v>418</v>
      </c>
      <c r="C34" s="12"/>
      <c r="D34" s="1"/>
      <c r="E34" s="1"/>
      <c r="F34" s="1"/>
      <c r="G34" s="1"/>
      <c r="H34" s="1"/>
      <c r="I34" s="11" t="s">
        <v>419</v>
      </c>
      <c r="J34" s="12"/>
      <c r="K34" s="11" t="s">
        <v>420</v>
      </c>
      <c r="L34" s="12"/>
      <c r="M34" s="1"/>
      <c r="N34" s="1"/>
      <c r="O34" s="1"/>
      <c r="P34" s="11" t="s">
        <v>421</v>
      </c>
      <c r="Q34" s="12"/>
      <c r="R34" s="11" t="s">
        <v>422</v>
      </c>
      <c r="S34" s="12"/>
      <c r="V34" s="1"/>
      <c r="W34" s="1"/>
      <c r="X34" s="1"/>
      <c r="Y34" s="11" t="s">
        <v>423</v>
      </c>
      <c r="Z34" s="12"/>
      <c r="AA34" s="11" t="s">
        <v>424</v>
      </c>
      <c r="AB34" s="12"/>
      <c r="AC34" s="1"/>
      <c r="AD34" s="1"/>
      <c r="AE34" s="1"/>
      <c r="AF34" s="1"/>
      <c r="AG34" s="11" t="s">
        <v>425</v>
      </c>
      <c r="AH34" s="12"/>
      <c r="AI34" s="11" t="s">
        <v>426</v>
      </c>
      <c r="AJ34" s="12"/>
      <c r="AM34" s="1"/>
      <c r="AN34" s="1"/>
      <c r="AO34" s="1"/>
      <c r="AP34" s="11" t="s">
        <v>427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406</v>
      </c>
      <c r="C37" s="40"/>
      <c r="D37" s="40"/>
      <c r="E37" s="40"/>
      <c r="F37" s="40"/>
      <c r="G37" s="41"/>
      <c r="H37" s="51">
        <f>getcolorcount($D$9:$AO$31,G37)</f>
        <v>432</v>
      </c>
    </row>
    <row r="38" spans="2:43">
      <c r="B38" s="40"/>
      <c r="C38" s="40"/>
      <c r="D38" s="40"/>
      <c r="E38" s="40"/>
      <c r="F38" s="40"/>
      <c r="G38" s="43"/>
      <c r="H38" s="51">
        <f>getcolorcount($D$9:$AO$31,G38)</f>
        <v>8</v>
      </c>
    </row>
    <row r="39" spans="2:43">
      <c r="B39" s="40"/>
      <c r="C39" s="40"/>
      <c r="D39" s="40"/>
      <c r="E39" s="40"/>
      <c r="F39" s="40"/>
      <c r="G39" s="44"/>
      <c r="H39" s="51">
        <f>getcolorcount($D$9:$AO$31,G39)</f>
        <v>432</v>
      </c>
    </row>
    <row r="40" spans="2:43">
      <c r="B40" s="40"/>
      <c r="C40" s="40"/>
      <c r="D40" s="40"/>
      <c r="E40" s="40"/>
      <c r="F40" s="40"/>
      <c r="G40" s="45"/>
      <c r="H40" s="51">
        <f>getcolorcount($D$9:$AO$31,G40)</f>
        <v>8</v>
      </c>
      <c r="I40" s="1"/>
      <c r="J40" s="2"/>
      <c r="K40" s="46"/>
    </row>
    <row r="41" spans="2:43">
      <c r="B41" s="47"/>
      <c r="C41" s="47"/>
      <c r="D41" s="47"/>
      <c r="E41" s="47"/>
      <c r="F41" s="47"/>
      <c r="G41" s="48"/>
      <c r="H41" s="1"/>
      <c r="I41" s="1"/>
      <c r="J41" s="35"/>
      <c r="K41" s="46"/>
    </row>
    <row r="42" spans="2:43">
      <c r="B42" s="49" t="s">
        <v>340</v>
      </c>
      <c r="C42" s="49"/>
      <c r="D42" s="49"/>
      <c r="E42" s="49"/>
      <c r="F42" s="51">
        <v>220</v>
      </c>
      <c r="G42" s="1"/>
      <c r="H42" s="1"/>
      <c r="I42" s="1"/>
    </row>
    <row r="43" spans="2:43">
      <c r="B43" s="49" t="s">
        <v>341</v>
      </c>
      <c r="C43" s="49"/>
      <c r="D43" s="49"/>
      <c r="E43" s="49"/>
      <c r="F43" s="51">
        <f>H40/2</f>
        <v>4</v>
      </c>
      <c r="G43" s="50"/>
      <c r="H43" s="1"/>
      <c r="I43" s="1"/>
    </row>
    <row r="44" spans="2:43">
      <c r="B44" s="49" t="s">
        <v>342</v>
      </c>
      <c r="C44" s="49"/>
      <c r="D44" s="49"/>
      <c r="E44" s="49"/>
      <c r="F44" s="51">
        <f>F42-F43</f>
        <v>216</v>
      </c>
      <c r="G44" s="44"/>
      <c r="H44" s="1"/>
      <c r="I44" s="1"/>
    </row>
  </sheetData>
  <mergeCells count="28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R34:S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B1:AX44"/>
  <sheetViews>
    <sheetView showGridLines="0" zoomScale="85" zoomScaleNormal="85" topLeftCell="A22" workbookViewId="0">
      <selection activeCell="F43" sqref="F43"/>
    </sheetView>
  </sheetViews>
  <sheetFormatPr defaultColWidth="9" defaultRowHeight="14"/>
  <cols>
    <col min="1" max="3" width="3.63636363636364" customWidth="1"/>
    <col min="4" max="5" width="5.45454545454545" customWidth="1"/>
    <col min="6" max="6" width="6.81818181818182" customWidth="1"/>
    <col min="7" max="7" width="3.63636363636364" customWidth="1"/>
    <col min="8" max="8" width="7.45454545454545" customWidth="1"/>
    <col min="9" max="9" width="5.45454545454545" customWidth="1"/>
    <col min="10" max="11" width="3.63636363636364" customWidth="1"/>
    <col min="12" max="13" width="5.45454545454545" customWidth="1"/>
    <col min="14" max="15" width="3.63636363636364" customWidth="1"/>
    <col min="16" max="17" width="5.45454545454545" customWidth="1"/>
    <col min="18" max="19" width="3.63636363636364" customWidth="1"/>
    <col min="20" max="20" width="5.45454545454545" customWidth="1"/>
    <col min="21" max="21" width="5.09090909090909" customWidth="1"/>
    <col min="22" max="23" width="3.63636363636364" customWidth="1"/>
    <col min="24" max="25" width="5.45454545454545" customWidth="1"/>
    <col min="26" max="27" width="3.63636363636364" customWidth="1"/>
    <col min="28" max="29" width="5.45454545454545" customWidth="1"/>
    <col min="30" max="31" width="3.63636363636364" customWidth="1"/>
    <col min="32" max="33" width="5.45454545454545" customWidth="1"/>
    <col min="34" max="35" width="3.63636363636364" customWidth="1"/>
    <col min="36" max="37" width="5.45454545454545" customWidth="1"/>
    <col min="38" max="39" width="3.63636363636364" customWidth="1"/>
    <col min="40" max="41" width="5.45454545454545" customWidth="1"/>
    <col min="42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  <c r="AS2" s="5"/>
      <c r="AU2" s="6"/>
      <c r="AV2" s="6"/>
      <c r="AW2" s="10"/>
      <c r="AX2" s="1"/>
    </row>
    <row r="3" ht="25" customHeight="1" spans="2:50">
      <c r="B3" s="11" t="s">
        <v>428</v>
      </c>
      <c r="C3" s="12"/>
      <c r="D3" s="1"/>
      <c r="E3" s="1"/>
      <c r="F3" s="1"/>
      <c r="G3" s="1"/>
      <c r="H3" s="1"/>
      <c r="I3" s="11" t="s">
        <v>429</v>
      </c>
      <c r="J3" s="12"/>
      <c r="K3" s="11" t="s">
        <v>430</v>
      </c>
      <c r="L3" s="12"/>
      <c r="M3" s="1"/>
      <c r="N3" s="1"/>
      <c r="O3" s="1"/>
      <c r="R3" s="11" t="s">
        <v>431</v>
      </c>
      <c r="S3" s="12"/>
      <c r="T3" s="11" t="s">
        <v>432</v>
      </c>
      <c r="U3" s="12"/>
      <c r="V3" s="1"/>
      <c r="W3" s="1"/>
      <c r="X3" s="1"/>
      <c r="Y3" s="11" t="s">
        <v>433</v>
      </c>
      <c r="Z3" s="12"/>
      <c r="AA3" s="11" t="s">
        <v>434</v>
      </c>
      <c r="AB3" s="12"/>
      <c r="AC3" s="1"/>
      <c r="AD3" s="1"/>
      <c r="AE3" s="1"/>
      <c r="AF3" s="1"/>
      <c r="AG3" s="11" t="s">
        <v>435</v>
      </c>
      <c r="AH3" s="12"/>
      <c r="AI3" s="11" t="s">
        <v>436</v>
      </c>
      <c r="AJ3" s="12"/>
      <c r="AM3" s="1"/>
      <c r="AN3" s="1"/>
      <c r="AO3" s="1"/>
      <c r="AP3" s="11" t="s">
        <v>437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8"/>
      <c r="C5" s="19"/>
      <c r="D5" s="1"/>
      <c r="E5" s="1"/>
      <c r="F5" s="19"/>
      <c r="G5" s="19"/>
      <c r="H5" s="20" t="s">
        <v>314</v>
      </c>
      <c r="I5" s="21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20" t="s">
        <v>315</v>
      </c>
      <c r="W5" s="21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0" t="s">
        <v>316</v>
      </c>
      <c r="AN5" s="21"/>
      <c r="AO5" s="19"/>
      <c r="AP5" s="19"/>
      <c r="AQ5" s="22"/>
      <c r="AS5" s="5"/>
      <c r="AU5" s="6"/>
      <c r="AV5" s="6"/>
      <c r="AW5" s="23"/>
    </row>
    <row r="6" spans="2:50">
      <c r="B6" s="24"/>
      <c r="C6" s="1"/>
      <c r="D6" s="8"/>
      <c r="E6" s="8"/>
      <c r="F6" s="1"/>
      <c r="G6" s="1"/>
      <c r="H6" s="8"/>
      <c r="I6" s="8"/>
      <c r="J6" s="1"/>
      <c r="K6" s="1"/>
      <c r="L6" s="8"/>
      <c r="M6" s="8"/>
      <c r="N6" s="1"/>
      <c r="O6" s="1"/>
      <c r="P6" s="8"/>
      <c r="Q6" s="8"/>
      <c r="R6" s="1"/>
      <c r="S6" s="1"/>
      <c r="T6" s="8"/>
      <c r="U6" s="25" t="s">
        <v>438</v>
      </c>
      <c r="V6" s="6"/>
      <c r="W6" s="6"/>
      <c r="X6" s="8"/>
      <c r="Y6" s="8"/>
      <c r="Z6" s="1"/>
      <c r="AA6" s="1"/>
      <c r="AB6" s="8"/>
      <c r="AC6" s="8"/>
      <c r="AD6" s="1"/>
      <c r="AE6" s="1"/>
      <c r="AF6" s="8"/>
      <c r="AG6" s="8"/>
      <c r="AH6" s="1"/>
      <c r="AI6" s="1"/>
      <c r="AJ6" s="8"/>
      <c r="AK6" s="8"/>
      <c r="AL6" s="1"/>
      <c r="AM6" s="6"/>
      <c r="AN6" s="8"/>
      <c r="AO6" s="8"/>
      <c r="AP6" s="8"/>
      <c r="AQ6" s="9"/>
      <c r="AU6" s="6"/>
      <c r="AV6" s="6"/>
      <c r="AW6" s="1"/>
    </row>
    <row r="7" spans="2:50">
      <c r="B7" s="26"/>
      <c r="C7" s="27"/>
      <c r="D7" s="28" t="s">
        <v>318</v>
      </c>
      <c r="E7" s="28"/>
      <c r="F7" s="27"/>
      <c r="G7" s="27"/>
      <c r="H7" s="28" t="s">
        <v>319</v>
      </c>
      <c r="I7" s="28"/>
      <c r="J7" s="27"/>
      <c r="K7" s="27"/>
      <c r="L7" s="28" t="s">
        <v>320</v>
      </c>
      <c r="M7" s="28"/>
      <c r="N7" s="27"/>
      <c r="O7" s="27"/>
      <c r="P7" s="28" t="s">
        <v>321</v>
      </c>
      <c r="Q7" s="28"/>
      <c r="R7" s="27"/>
      <c r="S7" s="27"/>
      <c r="T7" s="28" t="s">
        <v>322</v>
      </c>
      <c r="U7" s="28"/>
      <c r="V7" s="27"/>
      <c r="W7" s="27"/>
      <c r="X7" s="28" t="s">
        <v>323</v>
      </c>
      <c r="Y7" s="28"/>
      <c r="Z7" s="27"/>
      <c r="AA7" s="27"/>
      <c r="AB7" s="28" t="s">
        <v>324</v>
      </c>
      <c r="AC7" s="28"/>
      <c r="AD7" s="27"/>
      <c r="AE7" s="27"/>
      <c r="AF7" s="28" t="s">
        <v>325</v>
      </c>
      <c r="AG7" s="28"/>
      <c r="AH7" s="27"/>
      <c r="AI7" s="27"/>
      <c r="AJ7" s="28" t="s">
        <v>326</v>
      </c>
      <c r="AK7" s="28"/>
      <c r="AL7" s="27"/>
      <c r="AM7" s="27"/>
      <c r="AN7" s="28" t="s">
        <v>327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328</v>
      </c>
      <c r="E8" s="31" t="s">
        <v>328</v>
      </c>
      <c r="F8" s="4"/>
      <c r="G8" s="4"/>
      <c r="H8" s="31" t="s">
        <v>328</v>
      </c>
      <c r="I8" s="31" t="s">
        <v>328</v>
      </c>
      <c r="J8" s="4"/>
      <c r="K8" s="4"/>
      <c r="L8" s="31" t="s">
        <v>328</v>
      </c>
      <c r="M8" s="31" t="s">
        <v>328</v>
      </c>
      <c r="N8" s="4"/>
      <c r="O8" s="4"/>
      <c r="P8" s="31" t="s">
        <v>328</v>
      </c>
      <c r="Q8" s="31" t="s">
        <v>328</v>
      </c>
      <c r="R8" s="4"/>
      <c r="S8" s="4"/>
      <c r="T8" s="31" t="s">
        <v>328</v>
      </c>
      <c r="U8" s="31" t="s">
        <v>328</v>
      </c>
      <c r="V8" s="4"/>
      <c r="W8" s="4"/>
      <c r="X8" s="31" t="s">
        <v>328</v>
      </c>
      <c r="Y8" s="31" t="s">
        <v>328</v>
      </c>
      <c r="Z8" s="4"/>
      <c r="AA8" s="4"/>
      <c r="AB8" s="31" t="s">
        <v>328</v>
      </c>
      <c r="AC8" s="31" t="s">
        <v>328</v>
      </c>
      <c r="AD8" s="4"/>
      <c r="AE8" s="4"/>
      <c r="AF8" s="31" t="s">
        <v>328</v>
      </c>
      <c r="AG8" s="31" t="s">
        <v>328</v>
      </c>
      <c r="AH8" s="4"/>
      <c r="AI8" s="4"/>
      <c r="AJ8" s="31" t="s">
        <v>328</v>
      </c>
      <c r="AK8" s="31" t="s">
        <v>328</v>
      </c>
      <c r="AL8" s="4"/>
      <c r="AM8" s="4"/>
      <c r="AN8" s="31" t="s">
        <v>328</v>
      </c>
      <c r="AO8" s="31" t="s">
        <v>328</v>
      </c>
      <c r="AP8" s="1"/>
      <c r="AQ8" s="32"/>
      <c r="AU8" s="6"/>
      <c r="AV8" s="6"/>
      <c r="AW8" s="1"/>
    </row>
    <row r="9" spans="2:50">
      <c r="B9" s="24"/>
      <c r="D9" s="33" t="s">
        <v>69</v>
      </c>
      <c r="E9" s="33"/>
      <c r="F9" s="34"/>
      <c r="G9" s="34"/>
      <c r="H9" s="33" t="s">
        <v>97</v>
      </c>
      <c r="I9" s="33"/>
      <c r="L9" s="33" t="s">
        <v>120</v>
      </c>
      <c r="M9" s="33"/>
      <c r="N9" s="34"/>
      <c r="O9" s="34"/>
      <c r="P9" s="33" t="s">
        <v>141</v>
      </c>
      <c r="Q9" s="33"/>
      <c r="T9" s="33" t="s">
        <v>164</v>
      </c>
      <c r="U9" s="33"/>
      <c r="V9" s="34"/>
      <c r="W9" s="34"/>
      <c r="X9" s="33" t="s">
        <v>185</v>
      </c>
      <c r="Y9" s="33"/>
      <c r="AB9" s="33" t="s">
        <v>208</v>
      </c>
      <c r="AC9" s="33"/>
      <c r="AD9" s="34"/>
      <c r="AE9" s="34"/>
      <c r="AF9" s="33" t="s">
        <v>229</v>
      </c>
      <c r="AG9" s="33"/>
      <c r="AJ9" s="33" t="s">
        <v>252</v>
      </c>
      <c r="AK9" s="33"/>
      <c r="AL9" s="34"/>
      <c r="AM9" s="34"/>
      <c r="AN9" s="33" t="s">
        <v>273</v>
      </c>
      <c r="AO9" s="33"/>
      <c r="AP9" s="1"/>
      <c r="AQ9" s="32"/>
      <c r="AU9" s="6"/>
      <c r="AV9" s="6"/>
      <c r="AW9" s="1"/>
    </row>
    <row r="10" spans="2:50">
      <c r="B10" s="24"/>
      <c r="D10" s="33" t="s">
        <v>75</v>
      </c>
      <c r="E10" s="33"/>
      <c r="F10" s="34"/>
      <c r="G10" s="34"/>
      <c r="H10" s="33" t="s">
        <v>98</v>
      </c>
      <c r="I10" s="33"/>
      <c r="L10" s="33" t="s">
        <v>121</v>
      </c>
      <c r="M10" s="33"/>
      <c r="N10" s="34"/>
      <c r="O10" s="34"/>
      <c r="P10" s="33" t="s">
        <v>142</v>
      </c>
      <c r="Q10" s="33"/>
      <c r="T10" s="33" t="s">
        <v>165</v>
      </c>
      <c r="U10" s="33"/>
      <c r="V10" s="34"/>
      <c r="W10" s="34"/>
      <c r="X10" s="33" t="s">
        <v>186</v>
      </c>
      <c r="Y10" s="33"/>
      <c r="AB10" s="33" t="s">
        <v>209</v>
      </c>
      <c r="AC10" s="33"/>
      <c r="AD10" s="34"/>
      <c r="AE10" s="34"/>
      <c r="AF10" s="33" t="s">
        <v>230</v>
      </c>
      <c r="AG10" s="33"/>
      <c r="AJ10" s="33" t="s">
        <v>253</v>
      </c>
      <c r="AK10" s="33"/>
      <c r="AL10" s="34"/>
      <c r="AM10" s="34"/>
      <c r="AN10" s="33" t="s">
        <v>274</v>
      </c>
      <c r="AO10" s="33"/>
      <c r="AP10" s="1"/>
      <c r="AQ10" s="32"/>
      <c r="AR10" s="35"/>
      <c r="AU10" s="6"/>
    </row>
    <row r="11" spans="2:50">
      <c r="B11" s="24"/>
      <c r="D11" s="33" t="s">
        <v>77</v>
      </c>
      <c r="E11" s="33"/>
      <c r="F11" s="34"/>
      <c r="G11" s="34"/>
      <c r="H11" s="33" t="s">
        <v>99</v>
      </c>
      <c r="I11" s="33"/>
      <c r="L11" s="33" t="s">
        <v>122</v>
      </c>
      <c r="M11" s="33"/>
      <c r="N11" s="34"/>
      <c r="O11" s="34"/>
      <c r="P11" s="33" t="s">
        <v>143</v>
      </c>
      <c r="Q11" s="33"/>
      <c r="T11" s="33" t="s">
        <v>166</v>
      </c>
      <c r="U11" s="33"/>
      <c r="V11" s="34"/>
      <c r="W11" s="34"/>
      <c r="X11" s="33" t="s">
        <v>187</v>
      </c>
      <c r="Y11" s="33"/>
      <c r="AB11" s="33" t="s">
        <v>210</v>
      </c>
      <c r="AC11" s="33"/>
      <c r="AD11" s="34"/>
      <c r="AE11" s="34"/>
      <c r="AF11" s="33" t="s">
        <v>231</v>
      </c>
      <c r="AG11" s="33"/>
      <c r="AJ11" s="33" t="s">
        <v>254</v>
      </c>
      <c r="AK11" s="33"/>
      <c r="AL11" s="34"/>
      <c r="AM11" s="34"/>
      <c r="AN11" s="33" t="s">
        <v>275</v>
      </c>
      <c r="AO11" s="33"/>
      <c r="AP11" s="1"/>
      <c r="AQ11" s="32"/>
      <c r="AU11" s="6"/>
    </row>
    <row r="12" spans="2:50">
      <c r="B12" s="24"/>
      <c r="D12" s="36" t="s">
        <v>79</v>
      </c>
      <c r="E12" s="37"/>
      <c r="F12" s="34"/>
      <c r="G12" s="34"/>
      <c r="H12" s="33" t="s">
        <v>100</v>
      </c>
      <c r="I12" s="33"/>
      <c r="L12" s="33" t="s">
        <v>123</v>
      </c>
      <c r="M12" s="33"/>
      <c r="N12" s="34"/>
      <c r="O12" s="34"/>
      <c r="P12" s="33" t="s">
        <v>144</v>
      </c>
      <c r="Q12" s="33"/>
      <c r="T12" s="33" t="s">
        <v>167</v>
      </c>
      <c r="U12" s="33"/>
      <c r="V12" s="34"/>
      <c r="W12" s="34"/>
      <c r="X12" s="33" t="s">
        <v>188</v>
      </c>
      <c r="Y12" s="33"/>
      <c r="AB12" s="33" t="s">
        <v>211</v>
      </c>
      <c r="AC12" s="33"/>
      <c r="AD12" s="34"/>
      <c r="AE12" s="34"/>
      <c r="AF12" s="33" t="s">
        <v>232</v>
      </c>
      <c r="AG12" s="33"/>
      <c r="AJ12" s="33" t="s">
        <v>255</v>
      </c>
      <c r="AK12" s="33"/>
      <c r="AL12" s="34"/>
      <c r="AM12" s="34"/>
      <c r="AN12" s="33" t="s">
        <v>276</v>
      </c>
      <c r="AO12" s="33"/>
      <c r="AP12" s="1"/>
      <c r="AQ12" s="32"/>
      <c r="AU12" s="6"/>
    </row>
    <row r="13" spans="2:50">
      <c r="B13" s="24"/>
      <c r="D13" s="36" t="s">
        <v>80</v>
      </c>
      <c r="E13" s="37"/>
      <c r="F13" s="34"/>
      <c r="G13" s="34"/>
      <c r="H13" s="33" t="s">
        <v>101</v>
      </c>
      <c r="I13" s="33"/>
      <c r="L13" s="33" t="s">
        <v>124</v>
      </c>
      <c r="M13" s="33"/>
      <c r="N13" s="34"/>
      <c r="O13" s="34"/>
      <c r="P13" s="33" t="s">
        <v>145</v>
      </c>
      <c r="Q13" s="33"/>
      <c r="T13" s="33" t="s">
        <v>168</v>
      </c>
      <c r="U13" s="33"/>
      <c r="V13" s="34"/>
      <c r="W13" s="34"/>
      <c r="X13" s="33" t="s">
        <v>189</v>
      </c>
      <c r="Y13" s="33"/>
      <c r="AB13" s="33" t="s">
        <v>212</v>
      </c>
      <c r="AC13" s="33"/>
      <c r="AD13" s="34"/>
      <c r="AE13" s="34"/>
      <c r="AF13" s="33" t="s">
        <v>233</v>
      </c>
      <c r="AG13" s="33"/>
      <c r="AJ13" s="33" t="s">
        <v>256</v>
      </c>
      <c r="AK13" s="33"/>
      <c r="AL13" s="34"/>
      <c r="AM13" s="34"/>
      <c r="AN13" s="33" t="s">
        <v>277</v>
      </c>
      <c r="AO13" s="33"/>
      <c r="AP13" s="1"/>
      <c r="AQ13" s="32"/>
    </row>
    <row r="14" spans="2:50">
      <c r="B14" s="24"/>
      <c r="D14" s="36" t="s">
        <v>81</v>
      </c>
      <c r="E14" s="37"/>
      <c r="F14" s="34"/>
      <c r="G14" s="34"/>
      <c r="H14" s="33" t="s">
        <v>102</v>
      </c>
      <c r="I14" s="33"/>
      <c r="L14" s="33" t="s">
        <v>125</v>
      </c>
      <c r="M14" s="33"/>
      <c r="N14" s="34"/>
      <c r="O14" s="34"/>
      <c r="P14" s="33" t="s">
        <v>146</v>
      </c>
      <c r="Q14" s="33"/>
      <c r="T14" s="33" t="s">
        <v>169</v>
      </c>
      <c r="U14" s="33"/>
      <c r="V14" s="34"/>
      <c r="W14" s="34"/>
      <c r="X14" s="33" t="s">
        <v>190</v>
      </c>
      <c r="Y14" s="33"/>
      <c r="AB14" s="33" t="s">
        <v>213</v>
      </c>
      <c r="AC14" s="33"/>
      <c r="AD14" s="34"/>
      <c r="AE14" s="34"/>
      <c r="AF14" s="33" t="s">
        <v>234</v>
      </c>
      <c r="AG14" s="33"/>
      <c r="AJ14" s="33" t="s">
        <v>257</v>
      </c>
      <c r="AK14" s="33"/>
      <c r="AL14" s="34"/>
      <c r="AM14" s="34"/>
      <c r="AN14" s="33" t="s">
        <v>278</v>
      </c>
      <c r="AO14" s="33"/>
      <c r="AP14" s="1"/>
      <c r="AQ14" s="32"/>
    </row>
    <row r="15" spans="2:50">
      <c r="B15" s="24"/>
      <c r="D15" s="36" t="s">
        <v>82</v>
      </c>
      <c r="E15" s="37"/>
      <c r="F15" s="34"/>
      <c r="G15" s="34"/>
      <c r="H15" s="33" t="s">
        <v>103</v>
      </c>
      <c r="I15" s="33"/>
      <c r="L15" s="33" t="s">
        <v>126</v>
      </c>
      <c r="M15" s="33"/>
      <c r="N15" s="34"/>
      <c r="O15" s="34"/>
      <c r="P15" s="33" t="s">
        <v>147</v>
      </c>
      <c r="Q15" s="33"/>
      <c r="T15" s="33" t="s">
        <v>170</v>
      </c>
      <c r="U15" s="33"/>
      <c r="V15" s="34"/>
      <c r="W15" s="34"/>
      <c r="X15" s="33" t="s">
        <v>191</v>
      </c>
      <c r="Y15" s="33"/>
      <c r="AB15" s="33" t="s">
        <v>214</v>
      </c>
      <c r="AC15" s="33"/>
      <c r="AD15" s="34"/>
      <c r="AE15" s="34"/>
      <c r="AF15" s="33" t="s">
        <v>235</v>
      </c>
      <c r="AG15" s="33"/>
      <c r="AJ15" s="33" t="s">
        <v>258</v>
      </c>
      <c r="AK15" s="33"/>
      <c r="AL15" s="34"/>
      <c r="AM15" s="34"/>
      <c r="AN15" s="33" t="s">
        <v>279</v>
      </c>
      <c r="AO15" s="33"/>
      <c r="AP15" s="1"/>
      <c r="AQ15" s="32"/>
    </row>
    <row r="16" spans="2:50">
      <c r="B16" s="24"/>
      <c r="D16" s="36" t="s">
        <v>83</v>
      </c>
      <c r="E16" s="37"/>
      <c r="F16" s="34"/>
      <c r="G16" s="34"/>
      <c r="H16" s="33" t="s">
        <v>104</v>
      </c>
      <c r="I16" s="33"/>
      <c r="L16" s="33" t="s">
        <v>127</v>
      </c>
      <c r="M16" s="33"/>
      <c r="N16" s="34"/>
      <c r="O16" s="34"/>
      <c r="P16" s="33" t="s">
        <v>148</v>
      </c>
      <c r="Q16" s="33"/>
      <c r="T16" s="33" t="s">
        <v>171</v>
      </c>
      <c r="U16" s="33"/>
      <c r="V16" s="34"/>
      <c r="W16" s="34"/>
      <c r="X16" s="33" t="s">
        <v>192</v>
      </c>
      <c r="Y16" s="33"/>
      <c r="AB16" s="33" t="s">
        <v>215</v>
      </c>
      <c r="AC16" s="33"/>
      <c r="AD16" s="34"/>
      <c r="AE16" s="34"/>
      <c r="AF16" s="33" t="s">
        <v>236</v>
      </c>
      <c r="AG16" s="33"/>
      <c r="AJ16" s="33" t="s">
        <v>259</v>
      </c>
      <c r="AK16" s="33"/>
      <c r="AL16" s="34"/>
      <c r="AM16" s="34"/>
      <c r="AN16" s="33" t="s">
        <v>280</v>
      </c>
      <c r="AO16" s="33"/>
      <c r="AP16" s="1"/>
      <c r="AQ16" s="32"/>
    </row>
    <row r="17" spans="2:43">
      <c r="B17" s="24"/>
      <c r="D17" s="36" t="s">
        <v>84</v>
      </c>
      <c r="E17" s="37"/>
      <c r="F17" s="34"/>
      <c r="G17" s="34"/>
      <c r="H17" s="33" t="s">
        <v>105</v>
      </c>
      <c r="I17" s="33"/>
      <c r="L17" s="33" t="s">
        <v>128</v>
      </c>
      <c r="M17" s="33"/>
      <c r="N17" s="34"/>
      <c r="O17" s="34"/>
      <c r="P17" s="33" t="s">
        <v>149</v>
      </c>
      <c r="Q17" s="33"/>
      <c r="T17" s="33" t="s">
        <v>172</v>
      </c>
      <c r="U17" s="33"/>
      <c r="V17" s="34"/>
      <c r="W17" s="34"/>
      <c r="X17" s="33" t="s">
        <v>193</v>
      </c>
      <c r="Y17" s="33"/>
      <c r="AB17" s="33" t="s">
        <v>216</v>
      </c>
      <c r="AC17" s="33"/>
      <c r="AD17" s="34"/>
      <c r="AE17" s="34"/>
      <c r="AF17" s="33" t="s">
        <v>237</v>
      </c>
      <c r="AG17" s="33"/>
      <c r="AJ17" s="33" t="s">
        <v>260</v>
      </c>
      <c r="AK17" s="33"/>
      <c r="AL17" s="34"/>
      <c r="AM17" s="34"/>
      <c r="AN17" s="33" t="s">
        <v>281</v>
      </c>
      <c r="AO17" s="33"/>
      <c r="AP17" s="1"/>
      <c r="AQ17" s="32"/>
    </row>
    <row r="18" spans="2:43">
      <c r="B18" s="24"/>
      <c r="D18" s="36" t="s">
        <v>85</v>
      </c>
      <c r="E18" s="37"/>
      <c r="F18" s="34"/>
      <c r="G18" s="34"/>
      <c r="H18" s="33" t="s">
        <v>106</v>
      </c>
      <c r="I18" s="33"/>
      <c r="L18" s="33" t="s">
        <v>129</v>
      </c>
      <c r="M18" s="33"/>
      <c r="N18" s="34"/>
      <c r="O18" s="34"/>
      <c r="P18" s="33" t="s">
        <v>150</v>
      </c>
      <c r="Q18" s="33"/>
      <c r="T18" s="33" t="s">
        <v>173</v>
      </c>
      <c r="U18" s="33"/>
      <c r="V18" s="34"/>
      <c r="W18" s="34"/>
      <c r="X18" s="33" t="s">
        <v>194</v>
      </c>
      <c r="Y18" s="33"/>
      <c r="AB18" s="33" t="s">
        <v>217</v>
      </c>
      <c r="AC18" s="33"/>
      <c r="AD18" s="34"/>
      <c r="AE18" s="34"/>
      <c r="AF18" s="33" t="s">
        <v>238</v>
      </c>
      <c r="AG18" s="33"/>
      <c r="AJ18" s="33" t="s">
        <v>261</v>
      </c>
      <c r="AK18" s="33"/>
      <c r="AL18" s="34"/>
      <c r="AM18" s="34"/>
      <c r="AN18" s="33" t="s">
        <v>282</v>
      </c>
      <c r="AO18" s="33"/>
      <c r="AP18" s="1"/>
      <c r="AQ18" s="32"/>
    </row>
    <row r="19" spans="2:43">
      <c r="B19" s="24"/>
      <c r="D19" s="38"/>
      <c r="E19" s="38"/>
      <c r="F19" s="34"/>
      <c r="G19" s="34"/>
      <c r="H19" s="33" t="s">
        <v>107</v>
      </c>
      <c r="I19" s="33"/>
      <c r="L19" s="38"/>
      <c r="M19" s="38"/>
      <c r="N19" s="34"/>
      <c r="O19" s="34"/>
      <c r="P19" s="33" t="s">
        <v>151</v>
      </c>
      <c r="Q19" s="33"/>
      <c r="T19" s="38"/>
      <c r="U19" s="38"/>
      <c r="V19" s="34"/>
      <c r="W19" s="34"/>
      <c r="X19" s="33" t="s">
        <v>195</v>
      </c>
      <c r="Y19" s="33"/>
      <c r="AB19" s="38"/>
      <c r="AC19" s="38"/>
      <c r="AD19" s="34"/>
      <c r="AE19" s="34"/>
      <c r="AF19" s="33" t="s">
        <v>239</v>
      </c>
      <c r="AG19" s="33"/>
      <c r="AJ19" s="38"/>
      <c r="AK19" s="38"/>
      <c r="AL19" s="34"/>
      <c r="AM19" s="34"/>
      <c r="AN19" s="33" t="s">
        <v>283</v>
      </c>
      <c r="AO19" s="33"/>
      <c r="AP19" s="1"/>
      <c r="AQ19" s="32"/>
    </row>
    <row r="20" spans="2:43">
      <c r="B20" s="24"/>
      <c r="D20" s="38"/>
      <c r="E20" s="38"/>
      <c r="F20" s="34"/>
      <c r="G20" s="34"/>
      <c r="H20" s="33" t="s">
        <v>108</v>
      </c>
      <c r="I20" s="33"/>
      <c r="L20" s="38"/>
      <c r="M20" s="38"/>
      <c r="N20" s="34"/>
      <c r="O20" s="34"/>
      <c r="P20" s="33" t="s">
        <v>152</v>
      </c>
      <c r="Q20" s="33"/>
      <c r="T20" s="38"/>
      <c r="U20" s="38"/>
      <c r="V20" s="34"/>
      <c r="W20" s="34"/>
      <c r="X20" s="33" t="s">
        <v>196</v>
      </c>
      <c r="Y20" s="33"/>
      <c r="AB20" s="38"/>
      <c r="AC20" s="38"/>
      <c r="AD20" s="34"/>
      <c r="AE20" s="34"/>
      <c r="AF20" s="33" t="s">
        <v>240</v>
      </c>
      <c r="AG20" s="33"/>
      <c r="AJ20" s="38"/>
      <c r="AK20" s="38"/>
      <c r="AL20" s="34"/>
      <c r="AM20" s="34"/>
      <c r="AN20" s="33" t="s">
        <v>284</v>
      </c>
      <c r="AO20" s="33"/>
      <c r="AP20" s="39"/>
      <c r="AQ20" s="32"/>
    </row>
    <row r="21" spans="2:43">
      <c r="B21" s="24"/>
      <c r="D21" s="33" t="s">
        <v>86</v>
      </c>
      <c r="E21" s="33"/>
      <c r="F21" s="34"/>
      <c r="G21" s="34"/>
      <c r="H21" s="33" t="s">
        <v>109</v>
      </c>
      <c r="I21" s="33"/>
      <c r="L21" s="33" t="s">
        <v>130</v>
      </c>
      <c r="M21" s="33"/>
      <c r="N21" s="34"/>
      <c r="O21" s="34"/>
      <c r="P21" s="33" t="s">
        <v>153</v>
      </c>
      <c r="Q21" s="33"/>
      <c r="T21" s="33" t="s">
        <v>174</v>
      </c>
      <c r="U21" s="33"/>
      <c r="V21" s="34"/>
      <c r="W21" s="34"/>
      <c r="X21" s="33" t="s">
        <v>197</v>
      </c>
      <c r="Y21" s="33"/>
      <c r="AB21" s="33" t="s">
        <v>218</v>
      </c>
      <c r="AC21" s="33"/>
      <c r="AD21" s="34"/>
      <c r="AE21" s="34"/>
      <c r="AF21" s="33" t="s">
        <v>241</v>
      </c>
      <c r="AG21" s="33"/>
      <c r="AJ21" s="33" t="s">
        <v>262</v>
      </c>
      <c r="AK21" s="33"/>
      <c r="AL21" s="34"/>
      <c r="AM21" s="34"/>
      <c r="AN21" s="33" t="s">
        <v>285</v>
      </c>
      <c r="AO21" s="33"/>
      <c r="AP21" s="1"/>
      <c r="AQ21" s="32"/>
    </row>
    <row r="22" spans="2:43">
      <c r="B22" s="24"/>
      <c r="D22" s="33" t="s">
        <v>87</v>
      </c>
      <c r="E22" s="33"/>
      <c r="F22" s="34"/>
      <c r="G22" s="34"/>
      <c r="H22" s="33" t="s">
        <v>110</v>
      </c>
      <c r="I22" s="33"/>
      <c r="L22" s="33" t="s">
        <v>131</v>
      </c>
      <c r="M22" s="33"/>
      <c r="N22" s="34"/>
      <c r="O22" s="34"/>
      <c r="P22" s="33" t="s">
        <v>154</v>
      </c>
      <c r="Q22" s="33"/>
      <c r="T22" s="33" t="s">
        <v>175</v>
      </c>
      <c r="U22" s="33"/>
      <c r="V22" s="34"/>
      <c r="W22" s="34"/>
      <c r="X22" s="33" t="s">
        <v>198</v>
      </c>
      <c r="Y22" s="33"/>
      <c r="AB22" s="33" t="s">
        <v>219</v>
      </c>
      <c r="AC22" s="33"/>
      <c r="AD22" s="34"/>
      <c r="AE22" s="34"/>
      <c r="AF22" s="33" t="s">
        <v>242</v>
      </c>
      <c r="AG22" s="33"/>
      <c r="AJ22" s="33" t="s">
        <v>263</v>
      </c>
      <c r="AK22" s="33"/>
      <c r="AL22" s="34"/>
      <c r="AM22" s="34"/>
      <c r="AN22" s="33" t="s">
        <v>286</v>
      </c>
      <c r="AO22" s="33"/>
      <c r="AP22" s="1"/>
      <c r="AQ22" s="32"/>
    </row>
    <row r="23" spans="2:43">
      <c r="B23" s="24"/>
      <c r="D23" s="33" t="s">
        <v>88</v>
      </c>
      <c r="E23" s="33"/>
      <c r="F23" s="34"/>
      <c r="G23" s="34"/>
      <c r="H23" s="33" t="s">
        <v>111</v>
      </c>
      <c r="I23" s="33"/>
      <c r="L23" s="33" t="s">
        <v>132</v>
      </c>
      <c r="M23" s="33"/>
      <c r="N23" s="34"/>
      <c r="O23" s="34"/>
      <c r="P23" s="33" t="s">
        <v>155</v>
      </c>
      <c r="Q23" s="33"/>
      <c r="T23" s="33" t="s">
        <v>176</v>
      </c>
      <c r="U23" s="33"/>
      <c r="V23" s="34"/>
      <c r="W23" s="34"/>
      <c r="X23" s="33" t="s">
        <v>199</v>
      </c>
      <c r="Y23" s="33"/>
      <c r="AB23" s="33" t="s">
        <v>220</v>
      </c>
      <c r="AC23" s="33"/>
      <c r="AD23" s="34"/>
      <c r="AE23" s="34"/>
      <c r="AF23" s="33" t="s">
        <v>243</v>
      </c>
      <c r="AG23" s="33"/>
      <c r="AJ23" s="33" t="s">
        <v>264</v>
      </c>
      <c r="AK23" s="33"/>
      <c r="AL23" s="34"/>
      <c r="AM23" s="34"/>
      <c r="AN23" s="33" t="s">
        <v>287</v>
      </c>
      <c r="AO23" s="33"/>
      <c r="AP23" s="1"/>
      <c r="AQ23" s="32"/>
    </row>
    <row r="24" spans="2:43">
      <c r="B24" s="24"/>
      <c r="D24" s="33" t="s">
        <v>89</v>
      </c>
      <c r="E24" s="33"/>
      <c r="F24" s="34"/>
      <c r="G24" s="34"/>
      <c r="H24" s="33" t="s">
        <v>112</v>
      </c>
      <c r="I24" s="33"/>
      <c r="L24" s="33" t="s">
        <v>133</v>
      </c>
      <c r="M24" s="33"/>
      <c r="N24" s="34"/>
      <c r="O24" s="34"/>
      <c r="P24" s="33" t="s">
        <v>156</v>
      </c>
      <c r="Q24" s="33"/>
      <c r="T24" s="33" t="s">
        <v>177</v>
      </c>
      <c r="U24" s="33"/>
      <c r="V24" s="34"/>
      <c r="W24" s="34"/>
      <c r="X24" s="33" t="s">
        <v>200</v>
      </c>
      <c r="Y24" s="33"/>
      <c r="AB24" s="33" t="s">
        <v>221</v>
      </c>
      <c r="AC24" s="33"/>
      <c r="AD24" s="34"/>
      <c r="AE24" s="34"/>
      <c r="AF24" s="33" t="s">
        <v>244</v>
      </c>
      <c r="AG24" s="33"/>
      <c r="AJ24" s="33" t="s">
        <v>265</v>
      </c>
      <c r="AK24" s="33"/>
      <c r="AL24" s="34"/>
      <c r="AM24" s="34"/>
      <c r="AN24" s="33" t="s">
        <v>288</v>
      </c>
      <c r="AO24" s="33"/>
      <c r="AP24" s="1"/>
      <c r="AQ24" s="32"/>
    </row>
    <row r="25" spans="2:43">
      <c r="B25" s="24"/>
      <c r="D25" s="33" t="s">
        <v>90</v>
      </c>
      <c r="E25" s="33"/>
      <c r="F25" s="34"/>
      <c r="G25" s="34"/>
      <c r="H25" s="33" t="s">
        <v>113</v>
      </c>
      <c r="I25" s="33"/>
      <c r="L25" s="33" t="s">
        <v>134</v>
      </c>
      <c r="M25" s="33"/>
      <c r="N25" s="34"/>
      <c r="O25" s="34"/>
      <c r="P25" s="33" t="s">
        <v>157</v>
      </c>
      <c r="Q25" s="33"/>
      <c r="T25" s="33" t="s">
        <v>178</v>
      </c>
      <c r="U25" s="33"/>
      <c r="V25" s="34"/>
      <c r="W25" s="34"/>
      <c r="X25" s="33" t="s">
        <v>201</v>
      </c>
      <c r="Y25" s="33"/>
      <c r="AB25" s="33" t="s">
        <v>222</v>
      </c>
      <c r="AC25" s="33"/>
      <c r="AD25" s="34"/>
      <c r="AE25" s="34"/>
      <c r="AF25" s="33" t="s">
        <v>245</v>
      </c>
      <c r="AG25" s="33"/>
      <c r="AJ25" s="33" t="s">
        <v>266</v>
      </c>
      <c r="AK25" s="33"/>
      <c r="AL25" s="34"/>
      <c r="AM25" s="34"/>
      <c r="AN25" s="33" t="s">
        <v>289</v>
      </c>
      <c r="AO25" s="33"/>
      <c r="AP25" s="1"/>
      <c r="AQ25" s="32"/>
    </row>
    <row r="26" spans="2:43">
      <c r="B26" s="24"/>
      <c r="D26" s="33" t="s">
        <v>91</v>
      </c>
      <c r="E26" s="33"/>
      <c r="F26" s="34"/>
      <c r="G26" s="34"/>
      <c r="H26" s="33" t="s">
        <v>114</v>
      </c>
      <c r="I26" s="33"/>
      <c r="L26" s="33" t="s">
        <v>135</v>
      </c>
      <c r="M26" s="33"/>
      <c r="N26" s="34"/>
      <c r="O26" s="34"/>
      <c r="P26" s="33" t="s">
        <v>158</v>
      </c>
      <c r="Q26" s="33"/>
      <c r="T26" s="33" t="s">
        <v>179</v>
      </c>
      <c r="U26" s="33"/>
      <c r="V26" s="34"/>
      <c r="W26" s="34"/>
      <c r="X26" s="33" t="s">
        <v>202</v>
      </c>
      <c r="Y26" s="33"/>
      <c r="AB26" s="33" t="s">
        <v>223</v>
      </c>
      <c r="AC26" s="33"/>
      <c r="AD26" s="34"/>
      <c r="AE26" s="34"/>
      <c r="AF26" s="33" t="s">
        <v>246</v>
      </c>
      <c r="AG26" s="33"/>
      <c r="AJ26" s="33" t="s">
        <v>267</v>
      </c>
      <c r="AK26" s="33"/>
      <c r="AL26" s="34"/>
      <c r="AM26" s="34"/>
      <c r="AN26" s="33" t="s">
        <v>290</v>
      </c>
      <c r="AO26" s="33"/>
      <c r="AP26" s="1"/>
      <c r="AQ26" s="32"/>
    </row>
    <row r="27" spans="2:43">
      <c r="B27" s="24"/>
      <c r="D27" s="33" t="s">
        <v>92</v>
      </c>
      <c r="E27" s="33"/>
      <c r="H27" s="33" t="s">
        <v>115</v>
      </c>
      <c r="I27" s="33"/>
      <c r="L27" s="33" t="s">
        <v>136</v>
      </c>
      <c r="M27" s="33"/>
      <c r="P27" s="33" t="s">
        <v>159</v>
      </c>
      <c r="Q27" s="33"/>
      <c r="T27" s="33" t="s">
        <v>180</v>
      </c>
      <c r="U27" s="33"/>
      <c r="X27" s="33" t="s">
        <v>203</v>
      </c>
      <c r="Y27" s="33"/>
      <c r="AB27" s="33" t="s">
        <v>224</v>
      </c>
      <c r="AC27" s="33"/>
      <c r="AF27" s="33" t="s">
        <v>247</v>
      </c>
      <c r="AG27" s="33"/>
      <c r="AJ27" s="33" t="s">
        <v>268</v>
      </c>
      <c r="AK27" s="33"/>
      <c r="AN27" s="33" t="s">
        <v>291</v>
      </c>
      <c r="AO27" s="33"/>
      <c r="AP27" s="1"/>
      <c r="AQ27" s="32"/>
    </row>
    <row r="28" spans="2:43">
      <c r="B28" s="24"/>
      <c r="D28" s="33" t="s">
        <v>93</v>
      </c>
      <c r="E28" s="33"/>
      <c r="H28" s="33" t="s">
        <v>116</v>
      </c>
      <c r="I28" s="33"/>
      <c r="L28" s="33" t="s">
        <v>137</v>
      </c>
      <c r="M28" s="33"/>
      <c r="P28" s="33" t="s">
        <v>160</v>
      </c>
      <c r="Q28" s="33"/>
      <c r="T28" s="33" t="s">
        <v>181</v>
      </c>
      <c r="U28" s="33"/>
      <c r="X28" s="33" t="s">
        <v>204</v>
      </c>
      <c r="Y28" s="33"/>
      <c r="AB28" s="33" t="s">
        <v>225</v>
      </c>
      <c r="AC28" s="33"/>
      <c r="AF28" s="33" t="s">
        <v>248</v>
      </c>
      <c r="AG28" s="33"/>
      <c r="AJ28" s="33" t="s">
        <v>269</v>
      </c>
      <c r="AK28" s="33"/>
      <c r="AN28" s="33" t="s">
        <v>292</v>
      </c>
      <c r="AO28" s="33"/>
      <c r="AP28" s="1"/>
      <c r="AQ28" s="32"/>
    </row>
    <row r="29" spans="2:43">
      <c r="B29" s="24"/>
      <c r="D29" s="33" t="s">
        <v>94</v>
      </c>
      <c r="E29" s="33"/>
      <c r="H29" s="33" t="s">
        <v>117</v>
      </c>
      <c r="I29" s="33"/>
      <c r="L29" s="33" t="s">
        <v>138</v>
      </c>
      <c r="M29" s="33"/>
      <c r="P29" s="33" t="s">
        <v>161</v>
      </c>
      <c r="Q29" s="33"/>
      <c r="T29" s="33" t="s">
        <v>182</v>
      </c>
      <c r="U29" s="33"/>
      <c r="X29" s="33" t="s">
        <v>205</v>
      </c>
      <c r="Y29" s="33"/>
      <c r="AB29" s="33" t="s">
        <v>226</v>
      </c>
      <c r="AC29" s="33"/>
      <c r="AF29" s="33" t="s">
        <v>249</v>
      </c>
      <c r="AG29" s="33"/>
      <c r="AJ29" s="33" t="s">
        <v>270</v>
      </c>
      <c r="AK29" s="33"/>
      <c r="AN29" s="33" t="s">
        <v>293</v>
      </c>
      <c r="AO29" s="33"/>
      <c r="AP29" s="1"/>
      <c r="AQ29" s="32"/>
    </row>
    <row r="30" spans="2:43">
      <c r="B30" s="24"/>
      <c r="D30" s="33" t="s">
        <v>95</v>
      </c>
      <c r="E30" s="33"/>
      <c r="H30" s="33" t="s">
        <v>118</v>
      </c>
      <c r="I30" s="33"/>
      <c r="L30" s="33" t="s">
        <v>139</v>
      </c>
      <c r="M30" s="33"/>
      <c r="P30" s="33" t="s">
        <v>162</v>
      </c>
      <c r="Q30" s="33"/>
      <c r="T30" s="33" t="s">
        <v>183</v>
      </c>
      <c r="U30" s="33"/>
      <c r="X30" s="33" t="s">
        <v>206</v>
      </c>
      <c r="Y30" s="33"/>
      <c r="AB30" s="33" t="s">
        <v>227</v>
      </c>
      <c r="AC30" s="33"/>
      <c r="AF30" s="33" t="s">
        <v>250</v>
      </c>
      <c r="AG30" s="33"/>
      <c r="AJ30" s="33" t="s">
        <v>271</v>
      </c>
      <c r="AK30" s="33"/>
      <c r="AN30" s="33" t="s">
        <v>294</v>
      </c>
      <c r="AO30" s="33"/>
      <c r="AP30" s="1"/>
      <c r="AQ30" s="32"/>
    </row>
    <row r="31" spans="2:43">
      <c r="B31" s="18"/>
      <c r="C31" s="19"/>
      <c r="D31" s="33" t="s">
        <v>96</v>
      </c>
      <c r="E31" s="33"/>
      <c r="F31" s="19"/>
      <c r="G31" s="19"/>
      <c r="H31" s="33" t="s">
        <v>119</v>
      </c>
      <c r="I31" s="33"/>
      <c r="J31" s="19"/>
      <c r="K31" s="19"/>
      <c r="L31" s="33" t="s">
        <v>140</v>
      </c>
      <c r="M31" s="33"/>
      <c r="N31" s="19"/>
      <c r="O31" s="19"/>
      <c r="P31" s="33" t="s">
        <v>163</v>
      </c>
      <c r="Q31" s="33"/>
      <c r="R31" s="19"/>
      <c r="S31" s="19"/>
      <c r="T31" s="33" t="s">
        <v>184</v>
      </c>
      <c r="U31" s="33"/>
      <c r="V31" s="19"/>
      <c r="W31" s="19"/>
      <c r="X31" s="33" t="s">
        <v>207</v>
      </c>
      <c r="Y31" s="33"/>
      <c r="Z31" s="19"/>
      <c r="AA31" s="19"/>
      <c r="AB31" s="33" t="s">
        <v>228</v>
      </c>
      <c r="AC31" s="33"/>
      <c r="AD31" s="19"/>
      <c r="AE31" s="19"/>
      <c r="AF31" s="33" t="s">
        <v>251</v>
      </c>
      <c r="AG31" s="33"/>
      <c r="AH31" s="19"/>
      <c r="AI31" s="19"/>
      <c r="AJ31" s="33" t="s">
        <v>272</v>
      </c>
      <c r="AK31" s="33"/>
      <c r="AL31" s="19"/>
      <c r="AM31" s="19"/>
      <c r="AN31" s="33" t="s">
        <v>295</v>
      </c>
      <c r="AO31" s="33"/>
      <c r="AP31" s="19"/>
      <c r="AQ31" s="22"/>
    </row>
    <row r="32" spans="2:43">
      <c r="B32" s="7"/>
      <c r="C32" s="8"/>
      <c r="D32" s="8"/>
      <c r="E32" s="8"/>
      <c r="F32" s="8"/>
      <c r="G32" s="20" t="s">
        <v>314</v>
      </c>
      <c r="H32" s="2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0" t="s">
        <v>315</v>
      </c>
      <c r="X32" s="21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20" t="s">
        <v>316</v>
      </c>
      <c r="AN32" s="21"/>
      <c r="AO32" s="8"/>
      <c r="AP32" s="8"/>
      <c r="AQ32" s="9"/>
    </row>
    <row r="33" spans="2:43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22"/>
    </row>
    <row r="34" ht="22.25" customHeight="1" spans="2:43">
      <c r="B34" s="11" t="s">
        <v>439</v>
      </c>
      <c r="C34" s="12"/>
      <c r="D34" s="1"/>
      <c r="E34" s="1"/>
      <c r="F34" s="1"/>
      <c r="G34" s="1"/>
      <c r="H34" s="1"/>
      <c r="I34" s="11" t="s">
        <v>440</v>
      </c>
      <c r="J34" s="12"/>
      <c r="K34" s="11" t="s">
        <v>441</v>
      </c>
      <c r="L34" s="12"/>
      <c r="M34" s="1"/>
      <c r="N34" s="1"/>
      <c r="O34" s="1"/>
      <c r="P34" s="11" t="s">
        <v>442</v>
      </c>
      <c r="Q34" s="12"/>
      <c r="R34" s="1"/>
      <c r="S34" s="1"/>
      <c r="T34" s="11" t="s">
        <v>443</v>
      </c>
      <c r="U34" s="12"/>
      <c r="V34" s="1"/>
      <c r="W34" s="1"/>
      <c r="X34" s="1"/>
      <c r="Y34" s="11" t="s">
        <v>444</v>
      </c>
      <c r="Z34" s="12"/>
      <c r="AA34" s="11" t="s">
        <v>445</v>
      </c>
      <c r="AB34" s="12"/>
      <c r="AC34" s="1"/>
      <c r="AD34" s="1"/>
      <c r="AE34" s="1"/>
      <c r="AF34" s="1"/>
      <c r="AG34" s="11" t="s">
        <v>446</v>
      </c>
      <c r="AH34" s="12"/>
      <c r="AI34" s="11" t="s">
        <v>447</v>
      </c>
      <c r="AJ34" s="12"/>
      <c r="AM34" s="1"/>
      <c r="AN34" s="1"/>
      <c r="AO34" s="1"/>
      <c r="AP34" s="11" t="s">
        <v>448</v>
      </c>
      <c r="AQ34" s="12"/>
    </row>
    <row r="35" spans="2:43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2"/>
    </row>
    <row r="37" ht="14.15" customHeight="1" spans="2:43">
      <c r="B37" s="40" t="s">
        <v>339</v>
      </c>
      <c r="C37" s="40"/>
      <c r="D37" s="40"/>
      <c r="E37" s="40"/>
      <c r="F37" s="40"/>
      <c r="G37" s="41"/>
      <c r="H37" s="42">
        <f>getcolorcount($D$9:$AO$31,G37)</f>
        <v>440</v>
      </c>
    </row>
    <row r="38" spans="2:43">
      <c r="B38" s="40"/>
      <c r="C38" s="40"/>
      <c r="D38" s="40"/>
      <c r="E38" s="40"/>
      <c r="F38" s="40"/>
      <c r="G38" s="43"/>
      <c r="H38" s="42">
        <f>getcolorcount($D$9:$AO$31,G38)</f>
        <v>0</v>
      </c>
    </row>
    <row r="39" spans="2:43">
      <c r="B39" s="40"/>
      <c r="C39" s="40"/>
      <c r="D39" s="40"/>
      <c r="E39" s="40"/>
      <c r="F39" s="40"/>
      <c r="G39" s="44"/>
      <c r="H39" s="42">
        <f>getcolorcount($D$9:$AO$31,G39)</f>
        <v>440</v>
      </c>
    </row>
    <row r="40" spans="2:43">
      <c r="B40" s="40"/>
      <c r="C40" s="40"/>
      <c r="D40" s="40"/>
      <c r="E40" s="40"/>
      <c r="F40" s="40"/>
      <c r="G40" s="45"/>
      <c r="H40" s="42">
        <f>getcolorcount($D$9:$AO$31,G40)</f>
        <v>0</v>
      </c>
      <c r="J40" s="2"/>
      <c r="K40" s="46"/>
    </row>
    <row r="41" spans="2:43">
      <c r="B41" s="47"/>
      <c r="C41" s="47"/>
      <c r="D41" s="47"/>
      <c r="E41" s="47"/>
      <c r="F41" s="47"/>
      <c r="G41" s="48"/>
      <c r="J41" s="35"/>
      <c r="K41" s="46"/>
    </row>
    <row r="42" spans="2:43">
      <c r="B42" s="49" t="s">
        <v>340</v>
      </c>
      <c r="C42" s="49"/>
      <c r="D42" s="49"/>
      <c r="E42" s="49"/>
      <c r="F42" s="49">
        <v>220</v>
      </c>
      <c r="G42" s="1"/>
      <c r="H42" s="1"/>
    </row>
    <row r="43" spans="2:43">
      <c r="B43" s="49" t="s">
        <v>341</v>
      </c>
      <c r="C43" s="49"/>
      <c r="D43" s="49"/>
      <c r="E43" s="49"/>
      <c r="F43" s="49">
        <f>H40/2</f>
        <v>0</v>
      </c>
      <c r="G43" s="50"/>
      <c r="H43" s="1"/>
    </row>
    <row r="44" spans="2:43">
      <c r="B44" s="49" t="s">
        <v>342</v>
      </c>
      <c r="C44" s="49"/>
      <c r="D44" s="49"/>
      <c r="E44" s="49"/>
      <c r="F44" s="49">
        <f>F42-F43</f>
        <v>220</v>
      </c>
      <c r="G44" s="44"/>
      <c r="H44" s="1"/>
    </row>
  </sheetData>
  <mergeCells count="281">
    <mergeCell ref="B3:C3"/>
    <mergeCell ref="I3:J3"/>
    <mergeCell ref="K3:L3"/>
    <mergeCell ref="R3:S3"/>
    <mergeCell ref="T3:U3"/>
    <mergeCell ref="Y3:Z3"/>
    <mergeCell ref="AA3:AB3"/>
    <mergeCell ref="AG3:AH3"/>
    <mergeCell ref="AI3:AJ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D27:E27"/>
    <mergeCell ref="H27:I27"/>
    <mergeCell ref="L27:M27"/>
    <mergeCell ref="P27:Q27"/>
    <mergeCell ref="T27:U27"/>
    <mergeCell ref="X27:Y27"/>
    <mergeCell ref="AB27:AC27"/>
    <mergeCell ref="AF27:AG27"/>
    <mergeCell ref="AJ27:AK27"/>
    <mergeCell ref="AN27:AO27"/>
    <mergeCell ref="D28:E28"/>
    <mergeCell ref="H28:I28"/>
    <mergeCell ref="L28:M28"/>
    <mergeCell ref="P28:Q28"/>
    <mergeCell ref="T28:U28"/>
    <mergeCell ref="X28:Y28"/>
    <mergeCell ref="AB28:AC28"/>
    <mergeCell ref="AF28:AG28"/>
    <mergeCell ref="AJ28:AK28"/>
    <mergeCell ref="AN28:AO28"/>
    <mergeCell ref="D29:E29"/>
    <mergeCell ref="H29:I29"/>
    <mergeCell ref="L29:M29"/>
    <mergeCell ref="P29:Q29"/>
    <mergeCell ref="T29:U29"/>
    <mergeCell ref="X29:Y29"/>
    <mergeCell ref="AB29:AC29"/>
    <mergeCell ref="AF29:AG29"/>
    <mergeCell ref="AJ29:AK29"/>
    <mergeCell ref="AN29:AO29"/>
    <mergeCell ref="D30:E30"/>
    <mergeCell ref="H30:I30"/>
    <mergeCell ref="L30:M30"/>
    <mergeCell ref="P30:Q30"/>
    <mergeCell ref="T30:U30"/>
    <mergeCell ref="X30:Y30"/>
    <mergeCell ref="AB30:AC30"/>
    <mergeCell ref="AF30:AG30"/>
    <mergeCell ref="AJ30:AK30"/>
    <mergeCell ref="AN30:AO30"/>
    <mergeCell ref="D31:E31"/>
    <mergeCell ref="H31:I31"/>
    <mergeCell ref="L31:M31"/>
    <mergeCell ref="P31:Q31"/>
    <mergeCell ref="T31:U31"/>
    <mergeCell ref="X31:Y31"/>
    <mergeCell ref="AB31:AC31"/>
    <mergeCell ref="AF31:AG31"/>
    <mergeCell ref="AJ31:AK31"/>
    <mergeCell ref="AN31:AO31"/>
    <mergeCell ref="G32:H32"/>
    <mergeCell ref="W32:X32"/>
    <mergeCell ref="AM32:AN32"/>
    <mergeCell ref="B34:C34"/>
    <mergeCell ref="I34:J34"/>
    <mergeCell ref="K34:L34"/>
    <mergeCell ref="P34:Q34"/>
    <mergeCell ref="T34:U34"/>
    <mergeCell ref="Y34:Z34"/>
    <mergeCell ref="AA34:AB34"/>
    <mergeCell ref="AG34:AH34"/>
    <mergeCell ref="AI34:AJ34"/>
    <mergeCell ref="AP34:AQ34"/>
    <mergeCell ref="B42:E42"/>
    <mergeCell ref="B43:E43"/>
    <mergeCell ref="B44:E44"/>
    <mergeCell ref="AS1:AS5"/>
    <mergeCell ref="B37:F41"/>
  </mergeCells>
  <pageMargins left="0.7" right="0.7" top="0.75" bottom="0.75" header="0.3" footer="0.3"/>
  <pageSetup paperSize="9" scale="76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机柜上电汇总表</vt:lpstr>
      <vt:lpstr>机柜上下电时间统计</vt:lpstr>
      <vt:lpstr>201-M2机柜平面图 </vt:lpstr>
      <vt:lpstr>202-M1机柜平面图</vt:lpstr>
      <vt:lpstr>301-M4机柜平面图</vt:lpstr>
      <vt:lpstr>302-M3机柜平面图 </vt:lpstr>
      <vt:lpstr>402-M5机柜平面图</vt:lpstr>
      <vt:lpstr>401-M6机柜平面图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拯救地球好累</cp:lastModifiedBy>
  <dcterms:created xsi:type="dcterms:W3CDTF">2006-09-16T00:00:00Z</dcterms:created>
  <dcterms:modified xsi:type="dcterms:W3CDTF">2026-09-09T01:31:26Z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4F5B6F79C2B14B368BE584DF93C169A3_12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